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6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b val="1"/>
      <color rgb="00777777"/>
      <sz val="10"/>
    </font>
    <font>
      <name val="맑은 고딕"/>
      <color rgb="00999999"/>
      <sz val="9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1"/>
    </font>
    <font>
      <name val="맑은 고딕"/>
      <color rgb="00444444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0" borderId="0" pivotButton="0" quotePrefix="0" xfId="0"/>
    <xf numFmtId="164" fontId="11" fillId="0" borderId="0" pivotButton="0" quotePrefix="0" xfId="0"/>
    <xf numFmtId="167" fontId="9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8" fontId="9" fillId="0" borderId="0" applyAlignment="1" pivotButton="0" quotePrefix="0" xfId="0">
      <alignment horizontal="right"/>
    </xf>
    <xf numFmtId="0" fontId="15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7" fillId="4" borderId="1" pivotButton="0" quotePrefix="0" xfId="0"/>
    <xf numFmtId="166" fontId="7" fillId="4" borderId="1" pivotButton="0" quotePrefix="0" xfId="0"/>
    <xf numFmtId="164" fontId="7" fillId="4" borderId="1" pivotButton="0" quotePrefix="0" xfId="0"/>
    <xf numFmtId="168" fontId="7" fillId="4" borderId="1" pivotButton="0" quotePrefix="0" xfId="0"/>
    <xf numFmtId="167" fontId="7" fillId="4" borderId="1" pivotButton="0" quotePrefix="0" xfId="0"/>
    <xf numFmtId="16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164" fontId="15" fillId="0" borderId="0" applyAlignment="1" pivotButton="0" quotePrefix="0" xfId="0">
      <alignment horizontal="left"/>
    </xf>
    <xf numFmtId="166" fontId="15" fillId="0" borderId="0" applyAlignment="1" pivotButton="0" quotePrefix="0" xfId="0">
      <alignment horizontal="left"/>
    </xf>
    <xf numFmtId="167" fontId="15" fillId="0" borderId="0" applyAlignment="1" pivotButton="0" quotePrefix="0" xfId="0">
      <alignment horizontal="left"/>
    </xf>
    <xf numFmtId="0" fontId="10" fillId="0" borderId="0" pivotButton="0" quotePrefix="0" xfId="0"/>
    <xf numFmtId="0" fontId="8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7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양식</author>
  </authors>
  <commentList>
    <comment ref="G5" authorId="0" shapeId="0">
      <text>
        <t>내가 받은 부의금 × 지출 비율(H3).
받은 부의금 비율대로 지출을 나눈 금액입니다.</t>
      </text>
    </comment>
    <comment ref="H5" authorId="0" shapeId="0">
      <text>
        <t>내가 받은 부의금 − 지출 분담.</t>
      </text>
    </comment>
    <comment ref="I5" authorId="0" shapeId="0">
      <text>
        <t>실제로 나눠 드린 금액을 적는 칸입니다.
만 원 단위로 맞추거나, 똑같이 나누는 등 다르게 정하셨다면 여기에 적으세요.</t>
      </text>
    </comment>
  </commentList>
</comments>
</file>

<file path=xl/comments/comment2.xml><?xml version="1.0" encoding="utf-8"?>
<comments xmlns="http://schemas.openxmlformats.org/spreadsheetml/2006/main">
  <authors>
    <author>양식</author>
  </authors>
  <commentList>
    <comment ref="G1" authorId="0" shapeId="0">
      <text>
        <t>일차는 자동으로 매겨집니다.
하루가 끝나면 이름 칸에 '1일차 소계'처럼 적은 줄을 넣으세요. 그 줄 아래부터 다음 날입니다.
어떤 줄만 다른 날로 바꾸려면 이 열의 그 칸에 숫자(예: 2)를 직접 적으면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부의금 정산 양식</t>
        </is>
      </c>
    </row>
    <row r="2">
      <c r="B2" s="2" t="inlineStr"/>
    </row>
    <row r="3">
      <c r="B3" s="3" t="inlineStr">
        <is>
          <t>삼가 고인의 명복을 빕니다.</t>
        </is>
      </c>
    </row>
    <row r="4">
      <c r="B4" s="4" t="inlineStr">
        <is>
          <t>경황 없으실 텐데, 적기만 하시면 계산은 이 파일이 합니다.</t>
        </is>
      </c>
    </row>
    <row r="5">
      <c r="B5" s="2" t="inlineStr"/>
    </row>
    <row r="6">
      <c r="B6" s="2" t="inlineStr">
        <is>
          <t>① '가족 목록' 탭에 부의금을 받는 가족 이름을 적으세요. (최대 20명)</t>
        </is>
      </c>
    </row>
    <row r="7">
      <c r="B7" s="5" t="inlineStr">
        <is>
          <t xml:space="preserve">    여럿이 함께 받은 돈은 '공동'이나 '아빠·작은아빠'처럼 이름을 하나 만들어 쓰세요.</t>
        </is>
      </c>
    </row>
    <row r="8">
      <c r="B8" s="2" t="inlineStr">
        <is>
          <t>② '부의금 입력' 탭에 한 줄에 한 분씩 적으세요. 받은 가족은 목록에서 고르고, 금액은 숫자로(50000).</t>
        </is>
      </c>
    </row>
    <row r="9">
      <c r="B9" s="2" t="inlineStr">
        <is>
          <t>③ 하루가 끝나면 이름 칸에 '1일차 소계', 금액 칸에 그날 합계를 적으세요. 요약 탭에서 맞는지 비교해 줍니다.</t>
        </is>
      </c>
    </row>
    <row r="10">
      <c r="B10" s="5" t="inlineStr">
        <is>
          <t xml:space="preserve">    마지막에 '총합계' 줄을 적어도 됩니다. '소계'·'합계' 줄은 합계에 두 번 들어가지 않습니다.</t>
        </is>
      </c>
    </row>
    <row r="11">
      <c r="B11" s="2" t="inlineStr">
        <is>
          <t>④ 화환·근조기·바구니는 '근조 화환' 탭, 장례 비용은 '지출' 탭에 적으세요.</t>
        </is>
      </c>
    </row>
    <row r="12">
      <c r="B12" s="5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s="2" t="inlineStr">
        <is>
          <t>⑤ '요약' 탭에서 가족별 합계·지출 분담·남는 몫을, '가족별' 탭에서 노란 칸의 이름을 골라 그분 명단을 봅니다.</t>
        </is>
      </c>
    </row>
    <row r="14">
      <c r="B14" s="5" t="inlineStr">
        <is>
          <t xml:space="preserve">    지출 분담 = 받은 부의금 × 지출 비율(지출 총액 ÷ 부의금 총액). 다르게 나눴다면 '실제 지급' 칸에 적으세요.</t>
        </is>
      </c>
    </row>
    <row r="15">
      <c r="B15" s="2" t="inlineStr"/>
    </row>
    <row r="16">
      <c r="B16" s="2" t="inlineStr">
        <is>
          <t>일차는 자동으로 매겨집니다. '1일차 소계' 줄 위는 1일차, 그 아래부터 다음 소계 줄까지는 2일차입니다.</t>
        </is>
      </c>
    </row>
    <row r="17">
      <c r="B17" s="5" t="inlineStr">
        <is>
          <t xml:space="preserve">    어떤 줄만 다른 날로 바꾸려면 그 줄의 '일차' 칸에 숫자(예: 2)를 직접 적으세요. 그 줄만 바뀝니다.</t>
        </is>
      </c>
    </row>
    <row r="18">
      <c r="B18" s="2" t="inlineStr"/>
    </row>
    <row r="19">
      <c r="B19" s="2" t="inlineStr">
        <is>
          <t>노란색 줄은 확인이 필요한 줄입니다. (금액이 글자로 적힘, 이름이나 받은 가족이 빔, 같은 줄이 두 번 적힘 등)</t>
        </is>
      </c>
    </row>
    <row r="20">
      <c r="B20" s="5" t="inlineStr">
        <is>
          <t>같은 분이 근조기와 화환을 함께 보내신 건 중복으로 보지 않습니다.</t>
        </is>
      </c>
    </row>
    <row r="21">
      <c r="B21" s="5" t="inlineStr">
        <is>
          <t>연한 노란 칸이 적는 칸입니다. 나머지 칸은 수식이니 지우지 마세요.</t>
        </is>
      </c>
    </row>
    <row r="22">
      <c r="B22" s="2" t="inlineStr"/>
    </row>
    <row r="23">
      <c r="B23" s="5" t="inlineStr">
        <is>
          <t>부의금 1000줄, 화환 500줄, 지출 300줄까지 적을 수 있습니다. 구글 시트에 올려 써도 됩니다.</t>
        </is>
      </c>
    </row>
    <row r="24">
      <c r="B24" s="2" t="inlineStr"/>
    </row>
    <row r="25">
      <c r="B25" s="6" t="inlineStr">
        <is>
          <t>면책 조항</t>
        </is>
      </c>
    </row>
    <row r="26">
      <c r="B26" s="7" t="inlineStr">
        <is>
          <t>이 양식은 계산을 편하게 하도록 돕는 도구일 뿐이며, 결과가 정확하다고 보장하지 않습니다. 중요한 금액은 반드시 직접 확인하세요. 이 양식을 쓰거나 그 결과를 근거로 해서 생긴 계산 오류, 금전 정산, 가족·지인 간 분쟁, 그 밖의 어떤 손해에 대해서도 만든 사람은 책임을 지지 않습니다. 법률·세무 자문이 아닙니다.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8" customWidth="1" min="14" max="14"/>
    <col width="12" customWidth="1" min="15" max="15"/>
  </cols>
  <sheetData>
    <row r="1">
      <c r="A1" s="8" t="inlineStr">
        <is>
          <t>총 합계</t>
        </is>
      </c>
      <c r="B1" s="9">
        <f>SUMIF('부의금 입력'!$G$2:$G$1001,"&gt;0",'부의금 입력'!$C$2:$C$1001)</f>
        <v/>
      </c>
      <c r="D1" s="8" t="inlineStr">
        <is>
          <t>조화·물품</t>
        </is>
      </c>
      <c r="E1" s="10">
        <f>SUM('근조 화환'!$H$2:$H$501)</f>
        <v/>
      </c>
      <c r="G1" s="8" t="inlineStr">
        <is>
          <t>장부 총합계</t>
        </is>
      </c>
      <c r="H1" s="11">
        <f>IF(COUNTIF('부의금 입력'!$B$2:$B$1001,"*총합계*")=0,"",SUMIF('부의금 입력'!$B$2:$B$1001,"*총합계*",'부의금 입력'!$C$2:$C$1001))</f>
        <v/>
      </c>
    </row>
    <row r="2">
      <c r="A2" s="8" t="inlineStr">
        <is>
          <t>총 건수</t>
        </is>
      </c>
      <c r="B2" s="12">
        <f>COUNTIF('부의금 입력'!$G$2:$G$1001,"&gt;0")</f>
        <v/>
      </c>
      <c r="D2" s="8" t="inlineStr">
        <is>
          <t>지출 총액</t>
        </is>
      </c>
      <c r="E2" s="11">
        <f>지출!H4</f>
        <v/>
      </c>
      <c r="G2" s="8" t="inlineStr">
        <is>
          <t>장부와 차이</t>
        </is>
      </c>
      <c r="H2" s="11">
        <f>IF(H1="","",B1-H1)</f>
        <v/>
      </c>
    </row>
    <row r="3">
      <c r="A3" s="8" t="inlineStr">
        <is>
          <t>확인 필요</t>
        </is>
      </c>
      <c r="B3" s="12">
        <f>SUM('부의금 입력'!$J$2:$J$1001)+SUM('근조 화환'!$I$2:$I$501)+SUM(지출!$Y$2:$Y$301)</f>
        <v/>
      </c>
      <c r="D3" s="8" t="inlineStr">
        <is>
          <t>남는 돈</t>
        </is>
      </c>
      <c r="E3" s="11">
        <f>지출!H5</f>
        <v/>
      </c>
      <c r="G3" s="8" t="inlineStr">
        <is>
          <t>지출 비율</t>
        </is>
      </c>
      <c r="H3" s="13">
        <f>IF(B1=0,"-",지출!H4/B1)</f>
        <v/>
      </c>
    </row>
    <row r="4">
      <c r="K4" s="14" t="inlineStr">
        <is>
          <t>일차별 소계</t>
        </is>
      </c>
    </row>
    <row r="5">
      <c r="A5" s="15" t="inlineStr">
        <is>
          <t>받은 가족</t>
        </is>
      </c>
      <c r="B5" s="15" t="inlineStr">
        <is>
          <t>건수</t>
        </is>
      </c>
      <c r="C5" s="15" t="inlineStr">
        <is>
          <t>합계</t>
        </is>
      </c>
      <c r="D5" s="15" t="inlineStr">
        <is>
          <t>비중</t>
        </is>
      </c>
      <c r="E5" s="15" t="inlineStr">
        <is>
          <t>조화·물품</t>
        </is>
      </c>
      <c r="G5" s="15" t="inlineStr">
        <is>
          <t>지출 분담</t>
        </is>
      </c>
      <c r="H5" s="15" t="inlineStr">
        <is>
          <t>남는 몫</t>
        </is>
      </c>
      <c r="I5" s="15" t="inlineStr">
        <is>
          <t>실제 지급</t>
        </is>
      </c>
      <c r="K5" s="15" t="inlineStr">
        <is>
          <t>일차</t>
        </is>
      </c>
      <c r="L5" s="15" t="inlineStr">
        <is>
          <t>건수</t>
        </is>
      </c>
      <c r="M5" s="15" t="inlineStr">
        <is>
          <t>합계</t>
        </is>
      </c>
      <c r="N5" s="15" t="inlineStr">
        <is>
          <t>장부에 적은 소계</t>
        </is>
      </c>
      <c r="O5" s="15" t="inlineStr">
        <is>
          <t>차이</t>
        </is>
      </c>
    </row>
    <row r="6">
      <c r="A6" s="16">
        <f>IF('가족 목록'!A2="","",'가족 목록'!A2)</f>
        <v/>
      </c>
      <c r="B6" s="17">
        <f>IF($A6="","",COUNTIFS('부의금 입력'!$A$2:$A$1001,$A6,'부의금 입력'!$G$2:$G$1001,"&gt;0"))</f>
        <v/>
      </c>
      <c r="C6" s="18">
        <f>IF($A6="","",SUMIFS('부의금 입력'!$C$2:$C$1001,'부의금 입력'!$A$2:$A$1001,$A6,'부의금 입력'!$G$2:$G$1001,"&gt;0"))</f>
        <v/>
      </c>
      <c r="D6" s="19">
        <f>IF($A6="","",IF($B$1=0,0,C6/$B$1))</f>
        <v/>
      </c>
      <c r="E6" s="20">
        <f>IF($A6="","",COUNTIF('근조 화환'!$A$2:$A$501,$A6))</f>
        <v/>
      </c>
      <c r="G6" s="18">
        <f>IF($A6="","",IF($B$1=0,0,C6*지출!$H$4/$B$1))</f>
        <v/>
      </c>
      <c r="H6" s="18">
        <f>IF($A6="","",C6-G6)</f>
        <v/>
      </c>
      <c r="I6" s="21" t="n"/>
      <c r="K6" s="22">
        <f>IF(1&lt;=MAX('부의금 입력'!$G$2:$G$1001),1,"")</f>
        <v/>
      </c>
      <c r="L6" s="17">
        <f>IF(K6="","",COUNTIF('부의금 입력'!$G$2:$G$1001,K6))</f>
        <v/>
      </c>
      <c r="M6" s="18">
        <f>IF(K6="","",SUMIF('부의금 입력'!$G$2:$G$1001,K6,'부의금 입력'!$C$2:$C$1001))</f>
        <v/>
      </c>
      <c r="N6" s="18">
        <f>IF(K6="","",IF(COUNTIF('부의금 입력'!$I$2:$I$1001,K6)=0,"",SUMIF('부의금 입력'!$I$2:$I$1001,K6,'부의금 입력'!$C$2:$C$1001)))</f>
        <v/>
      </c>
      <c r="O6" s="18">
        <f>IF(OR(K6="",N6=""),"",M6-N6)</f>
        <v/>
      </c>
    </row>
    <row r="7">
      <c r="A7" s="16">
        <f>IF('가족 목록'!A3="","",'가족 목록'!A3)</f>
        <v/>
      </c>
      <c r="B7" s="17">
        <f>IF($A7="","",COUNTIFS('부의금 입력'!$A$2:$A$1001,$A7,'부의금 입력'!$G$2:$G$1001,"&gt;0"))</f>
        <v/>
      </c>
      <c r="C7" s="18">
        <f>IF($A7="","",SUMIFS('부의금 입력'!$C$2:$C$1001,'부의금 입력'!$A$2:$A$1001,$A7,'부의금 입력'!$G$2:$G$1001,"&gt;0"))</f>
        <v/>
      </c>
      <c r="D7" s="19">
        <f>IF($A7="","",IF($B$1=0,0,C7/$B$1))</f>
        <v/>
      </c>
      <c r="E7" s="20">
        <f>IF($A7="","",COUNTIF('근조 화환'!$A$2:$A$501,$A7))</f>
        <v/>
      </c>
      <c r="G7" s="18">
        <f>IF($A7="","",IF($B$1=0,0,C7*지출!$H$4/$B$1))</f>
        <v/>
      </c>
      <c r="H7" s="18">
        <f>IF($A7="","",C7-G7)</f>
        <v/>
      </c>
      <c r="I7" s="21" t="n"/>
      <c r="K7" s="22">
        <f>IF(2&lt;=MAX('부의금 입력'!$G$2:$G$1001),2,"")</f>
        <v/>
      </c>
      <c r="L7" s="17">
        <f>IF(K7="","",COUNTIF('부의금 입력'!$G$2:$G$1001,K7))</f>
        <v/>
      </c>
      <c r="M7" s="18">
        <f>IF(K7="","",SUMIF('부의금 입력'!$G$2:$G$1001,K7,'부의금 입력'!$C$2:$C$1001))</f>
        <v/>
      </c>
      <c r="N7" s="18">
        <f>IF(K7="","",IF(COUNTIF('부의금 입력'!$I$2:$I$1001,K7)=0,"",SUMIF('부의금 입력'!$I$2:$I$1001,K7,'부의금 입력'!$C$2:$C$1001)))</f>
        <v/>
      </c>
      <c r="O7" s="18">
        <f>IF(OR(K7="",N7=""),"",M7-N7)</f>
        <v/>
      </c>
    </row>
    <row r="8">
      <c r="A8" s="16">
        <f>IF('가족 목록'!A4="","",'가족 목록'!A4)</f>
        <v/>
      </c>
      <c r="B8" s="17">
        <f>IF($A8="","",COUNTIFS('부의금 입력'!$A$2:$A$1001,$A8,'부의금 입력'!$G$2:$G$1001,"&gt;0"))</f>
        <v/>
      </c>
      <c r="C8" s="18">
        <f>IF($A8="","",SUMIFS('부의금 입력'!$C$2:$C$1001,'부의금 입력'!$A$2:$A$1001,$A8,'부의금 입력'!$G$2:$G$1001,"&gt;0"))</f>
        <v/>
      </c>
      <c r="D8" s="19">
        <f>IF($A8="","",IF($B$1=0,0,C8/$B$1))</f>
        <v/>
      </c>
      <c r="E8" s="20">
        <f>IF($A8="","",COUNTIF('근조 화환'!$A$2:$A$501,$A8))</f>
        <v/>
      </c>
      <c r="G8" s="18">
        <f>IF($A8="","",IF($B$1=0,0,C8*지출!$H$4/$B$1))</f>
        <v/>
      </c>
      <c r="H8" s="18">
        <f>IF($A8="","",C8-G8)</f>
        <v/>
      </c>
      <c r="I8" s="21" t="n"/>
      <c r="K8" s="22">
        <f>IF(3&lt;=MAX('부의금 입력'!$G$2:$G$1001),3,"")</f>
        <v/>
      </c>
      <c r="L8" s="17">
        <f>IF(K8="","",COUNTIF('부의금 입력'!$G$2:$G$1001,K8))</f>
        <v/>
      </c>
      <c r="M8" s="18">
        <f>IF(K8="","",SUMIF('부의금 입력'!$G$2:$G$1001,K8,'부의금 입력'!$C$2:$C$1001))</f>
        <v/>
      </c>
      <c r="N8" s="18">
        <f>IF(K8="","",IF(COUNTIF('부의금 입력'!$I$2:$I$1001,K8)=0,"",SUMIF('부의금 입력'!$I$2:$I$1001,K8,'부의금 입력'!$C$2:$C$1001)))</f>
        <v/>
      </c>
      <c r="O8" s="18">
        <f>IF(OR(K8="",N8=""),"",M8-N8)</f>
        <v/>
      </c>
    </row>
    <row r="9">
      <c r="A9" s="16">
        <f>IF('가족 목록'!A5="","",'가족 목록'!A5)</f>
        <v/>
      </c>
      <c r="B9" s="17">
        <f>IF($A9="","",COUNTIFS('부의금 입력'!$A$2:$A$1001,$A9,'부의금 입력'!$G$2:$G$1001,"&gt;0"))</f>
        <v/>
      </c>
      <c r="C9" s="18">
        <f>IF($A9="","",SUMIFS('부의금 입력'!$C$2:$C$1001,'부의금 입력'!$A$2:$A$1001,$A9,'부의금 입력'!$G$2:$G$1001,"&gt;0"))</f>
        <v/>
      </c>
      <c r="D9" s="19">
        <f>IF($A9="","",IF($B$1=0,0,C9/$B$1))</f>
        <v/>
      </c>
      <c r="E9" s="20">
        <f>IF($A9="","",COUNTIF('근조 화환'!$A$2:$A$501,$A9))</f>
        <v/>
      </c>
      <c r="G9" s="18">
        <f>IF($A9="","",IF($B$1=0,0,C9*지출!$H$4/$B$1))</f>
        <v/>
      </c>
      <c r="H9" s="18">
        <f>IF($A9="","",C9-G9)</f>
        <v/>
      </c>
      <c r="I9" s="21" t="n"/>
      <c r="K9" s="22">
        <f>IF(4&lt;=MAX('부의금 입력'!$G$2:$G$1001),4,"")</f>
        <v/>
      </c>
      <c r="L9" s="17">
        <f>IF(K9="","",COUNTIF('부의금 입력'!$G$2:$G$1001,K9))</f>
        <v/>
      </c>
      <c r="M9" s="18">
        <f>IF(K9="","",SUMIF('부의금 입력'!$G$2:$G$1001,K9,'부의금 입력'!$C$2:$C$1001))</f>
        <v/>
      </c>
      <c r="N9" s="18">
        <f>IF(K9="","",IF(COUNTIF('부의금 입력'!$I$2:$I$1001,K9)=0,"",SUMIF('부의금 입력'!$I$2:$I$1001,K9,'부의금 입력'!$C$2:$C$1001)))</f>
        <v/>
      </c>
      <c r="O9" s="18">
        <f>IF(OR(K9="",N9=""),"",M9-N9)</f>
        <v/>
      </c>
    </row>
    <row r="10">
      <c r="A10" s="16">
        <f>IF('가족 목록'!A6="","",'가족 목록'!A6)</f>
        <v/>
      </c>
      <c r="B10" s="17">
        <f>IF($A10="","",COUNTIFS('부의금 입력'!$A$2:$A$1001,$A10,'부의금 입력'!$G$2:$G$1001,"&gt;0"))</f>
        <v/>
      </c>
      <c r="C10" s="18">
        <f>IF($A10="","",SUMIFS('부의금 입력'!$C$2:$C$1001,'부의금 입력'!$A$2:$A$1001,$A10,'부의금 입력'!$G$2:$G$1001,"&gt;0"))</f>
        <v/>
      </c>
      <c r="D10" s="19">
        <f>IF($A10="","",IF($B$1=0,0,C10/$B$1))</f>
        <v/>
      </c>
      <c r="E10" s="20">
        <f>IF($A10="","",COUNTIF('근조 화환'!$A$2:$A$501,$A10))</f>
        <v/>
      </c>
      <c r="G10" s="18">
        <f>IF($A10="","",IF($B$1=0,0,C10*지출!$H$4/$B$1))</f>
        <v/>
      </c>
      <c r="H10" s="18">
        <f>IF($A10="","",C10-G10)</f>
        <v/>
      </c>
      <c r="I10" s="21" t="n"/>
      <c r="K10" s="22">
        <f>IF(5&lt;=MAX('부의금 입력'!$G$2:$G$1001),5,"")</f>
        <v/>
      </c>
      <c r="L10" s="17">
        <f>IF(K10="","",COUNTIF('부의금 입력'!$G$2:$G$1001,K10))</f>
        <v/>
      </c>
      <c r="M10" s="18">
        <f>IF(K10="","",SUMIF('부의금 입력'!$G$2:$G$1001,K10,'부의금 입력'!$C$2:$C$1001))</f>
        <v/>
      </c>
      <c r="N10" s="18">
        <f>IF(K10="","",IF(COUNTIF('부의금 입력'!$I$2:$I$1001,K10)=0,"",SUMIF('부의금 입력'!$I$2:$I$1001,K10,'부의금 입력'!$C$2:$C$1001)))</f>
        <v/>
      </c>
      <c r="O10" s="18">
        <f>IF(OR(K10="",N10=""),"",M10-N10)</f>
        <v/>
      </c>
    </row>
    <row r="11">
      <c r="A11" s="16">
        <f>IF('가족 목록'!A7="","",'가족 목록'!A7)</f>
        <v/>
      </c>
      <c r="B11" s="17">
        <f>IF($A11="","",COUNTIFS('부의금 입력'!$A$2:$A$1001,$A11,'부의금 입력'!$G$2:$G$1001,"&gt;0"))</f>
        <v/>
      </c>
      <c r="C11" s="18">
        <f>IF($A11="","",SUMIFS('부의금 입력'!$C$2:$C$1001,'부의금 입력'!$A$2:$A$1001,$A11,'부의금 입력'!$G$2:$G$1001,"&gt;0"))</f>
        <v/>
      </c>
      <c r="D11" s="19">
        <f>IF($A11="","",IF($B$1=0,0,C11/$B$1))</f>
        <v/>
      </c>
      <c r="E11" s="20">
        <f>IF($A11="","",COUNTIF('근조 화환'!$A$2:$A$501,$A11))</f>
        <v/>
      </c>
      <c r="G11" s="18">
        <f>IF($A11="","",IF($B$1=0,0,C11*지출!$H$4/$B$1))</f>
        <v/>
      </c>
      <c r="H11" s="18">
        <f>IF($A11="","",C11-G11)</f>
        <v/>
      </c>
      <c r="I11" s="21" t="n"/>
      <c r="K11" s="22">
        <f>IF(6&lt;=MAX('부의금 입력'!$G$2:$G$1001),6,"")</f>
        <v/>
      </c>
      <c r="L11" s="17">
        <f>IF(K11="","",COUNTIF('부의금 입력'!$G$2:$G$1001,K11))</f>
        <v/>
      </c>
      <c r="M11" s="18">
        <f>IF(K11="","",SUMIF('부의금 입력'!$G$2:$G$1001,K11,'부의금 입력'!$C$2:$C$1001))</f>
        <v/>
      </c>
      <c r="N11" s="18">
        <f>IF(K11="","",IF(COUNTIF('부의금 입력'!$I$2:$I$1001,K11)=0,"",SUMIF('부의금 입력'!$I$2:$I$1001,K11,'부의금 입력'!$C$2:$C$1001)))</f>
        <v/>
      </c>
      <c r="O11" s="18">
        <f>IF(OR(K11="",N11=""),"",M11-N11)</f>
        <v/>
      </c>
    </row>
    <row r="12">
      <c r="A12" s="16">
        <f>IF('가족 목록'!A8="","",'가족 목록'!A8)</f>
        <v/>
      </c>
      <c r="B12" s="17">
        <f>IF($A12="","",COUNTIFS('부의금 입력'!$A$2:$A$1001,$A12,'부의금 입력'!$G$2:$G$1001,"&gt;0"))</f>
        <v/>
      </c>
      <c r="C12" s="18">
        <f>IF($A12="","",SUMIFS('부의금 입력'!$C$2:$C$1001,'부의금 입력'!$A$2:$A$1001,$A12,'부의금 입력'!$G$2:$G$1001,"&gt;0"))</f>
        <v/>
      </c>
      <c r="D12" s="19">
        <f>IF($A12="","",IF($B$1=0,0,C12/$B$1))</f>
        <v/>
      </c>
      <c r="E12" s="20">
        <f>IF($A12="","",COUNTIF('근조 화환'!$A$2:$A$501,$A12))</f>
        <v/>
      </c>
      <c r="G12" s="18">
        <f>IF($A12="","",IF($B$1=0,0,C12*지출!$H$4/$B$1))</f>
        <v/>
      </c>
      <c r="H12" s="18">
        <f>IF($A12="","",C12-G12)</f>
        <v/>
      </c>
      <c r="I12" s="21" t="n"/>
      <c r="K12" s="22">
        <f>IF(7&lt;=MAX('부의금 입력'!$G$2:$G$1001),7,"")</f>
        <v/>
      </c>
      <c r="L12" s="17">
        <f>IF(K12="","",COUNTIF('부의금 입력'!$G$2:$G$1001,K12))</f>
        <v/>
      </c>
      <c r="M12" s="18">
        <f>IF(K12="","",SUMIF('부의금 입력'!$G$2:$G$1001,K12,'부의금 입력'!$C$2:$C$1001))</f>
        <v/>
      </c>
      <c r="N12" s="18">
        <f>IF(K12="","",IF(COUNTIF('부의금 입력'!$I$2:$I$1001,K12)=0,"",SUMIF('부의금 입력'!$I$2:$I$1001,K12,'부의금 입력'!$C$2:$C$1001)))</f>
        <v/>
      </c>
      <c r="O12" s="18">
        <f>IF(OR(K12="",N12=""),"",M12-N12)</f>
        <v/>
      </c>
    </row>
    <row r="13">
      <c r="A13" s="16">
        <f>IF('가족 목록'!A9="","",'가족 목록'!A9)</f>
        <v/>
      </c>
      <c r="B13" s="17">
        <f>IF($A13="","",COUNTIFS('부의금 입력'!$A$2:$A$1001,$A13,'부의금 입력'!$G$2:$G$1001,"&gt;0"))</f>
        <v/>
      </c>
      <c r="C13" s="18">
        <f>IF($A13="","",SUMIFS('부의금 입력'!$C$2:$C$1001,'부의금 입력'!$A$2:$A$1001,$A13,'부의금 입력'!$G$2:$G$1001,"&gt;0"))</f>
        <v/>
      </c>
      <c r="D13" s="19">
        <f>IF($A13="","",IF($B$1=0,0,C13/$B$1))</f>
        <v/>
      </c>
      <c r="E13" s="20">
        <f>IF($A13="","",COUNTIF('근조 화환'!$A$2:$A$501,$A13))</f>
        <v/>
      </c>
      <c r="G13" s="18">
        <f>IF($A13="","",IF($B$1=0,0,C13*지출!$H$4/$B$1))</f>
        <v/>
      </c>
      <c r="H13" s="18">
        <f>IF($A13="","",C13-G13)</f>
        <v/>
      </c>
      <c r="I13" s="21" t="n"/>
      <c r="K13" s="22">
        <f>IF(8&lt;=MAX('부의금 입력'!$G$2:$G$1001),8,"")</f>
        <v/>
      </c>
      <c r="L13" s="17">
        <f>IF(K13="","",COUNTIF('부의금 입력'!$G$2:$G$1001,K13))</f>
        <v/>
      </c>
      <c r="M13" s="18">
        <f>IF(K13="","",SUMIF('부의금 입력'!$G$2:$G$1001,K13,'부의금 입력'!$C$2:$C$1001))</f>
        <v/>
      </c>
      <c r="N13" s="18">
        <f>IF(K13="","",IF(COUNTIF('부의금 입력'!$I$2:$I$1001,K13)=0,"",SUMIF('부의금 입력'!$I$2:$I$1001,K13,'부의금 입력'!$C$2:$C$1001)))</f>
        <v/>
      </c>
      <c r="O13" s="18">
        <f>IF(OR(K13="",N13=""),"",M13-N13)</f>
        <v/>
      </c>
    </row>
    <row r="14">
      <c r="A14" s="16">
        <f>IF('가족 목록'!A10="","",'가족 목록'!A10)</f>
        <v/>
      </c>
      <c r="B14" s="17">
        <f>IF($A14="","",COUNTIFS('부의금 입력'!$A$2:$A$1001,$A14,'부의금 입력'!$G$2:$G$1001,"&gt;0"))</f>
        <v/>
      </c>
      <c r="C14" s="18">
        <f>IF($A14="","",SUMIFS('부의금 입력'!$C$2:$C$1001,'부의금 입력'!$A$2:$A$1001,$A14,'부의금 입력'!$G$2:$G$1001,"&gt;0"))</f>
        <v/>
      </c>
      <c r="D14" s="19">
        <f>IF($A14="","",IF($B$1=0,0,C14/$B$1))</f>
        <v/>
      </c>
      <c r="E14" s="20">
        <f>IF($A14="","",COUNTIF('근조 화환'!$A$2:$A$501,$A14))</f>
        <v/>
      </c>
      <c r="G14" s="18">
        <f>IF($A14="","",IF($B$1=0,0,C14*지출!$H$4/$B$1))</f>
        <v/>
      </c>
      <c r="H14" s="18">
        <f>IF($A14="","",C14-G14)</f>
        <v/>
      </c>
      <c r="I14" s="21" t="n"/>
      <c r="K14" s="22">
        <f>IF(9&lt;=MAX('부의금 입력'!$G$2:$G$1001),9,"")</f>
        <v/>
      </c>
      <c r="L14" s="17">
        <f>IF(K14="","",COUNTIF('부의금 입력'!$G$2:$G$1001,K14))</f>
        <v/>
      </c>
      <c r="M14" s="18">
        <f>IF(K14="","",SUMIF('부의금 입력'!$G$2:$G$1001,K14,'부의금 입력'!$C$2:$C$1001))</f>
        <v/>
      </c>
      <c r="N14" s="18">
        <f>IF(K14="","",IF(COUNTIF('부의금 입력'!$I$2:$I$1001,K14)=0,"",SUMIF('부의금 입력'!$I$2:$I$1001,K14,'부의금 입력'!$C$2:$C$1001)))</f>
        <v/>
      </c>
      <c r="O14" s="18">
        <f>IF(OR(K14="",N14=""),"",M14-N14)</f>
        <v/>
      </c>
    </row>
    <row r="15">
      <c r="A15" s="16">
        <f>IF('가족 목록'!A11="","",'가족 목록'!A11)</f>
        <v/>
      </c>
      <c r="B15" s="17">
        <f>IF($A15="","",COUNTIFS('부의금 입력'!$A$2:$A$1001,$A15,'부의금 입력'!$G$2:$G$1001,"&gt;0"))</f>
        <v/>
      </c>
      <c r="C15" s="18">
        <f>IF($A15="","",SUMIFS('부의금 입력'!$C$2:$C$1001,'부의금 입력'!$A$2:$A$1001,$A15,'부의금 입력'!$G$2:$G$1001,"&gt;0"))</f>
        <v/>
      </c>
      <c r="D15" s="19">
        <f>IF($A15="","",IF($B$1=0,0,C15/$B$1))</f>
        <v/>
      </c>
      <c r="E15" s="20">
        <f>IF($A15="","",COUNTIF('근조 화환'!$A$2:$A$501,$A15))</f>
        <v/>
      </c>
      <c r="G15" s="18">
        <f>IF($A15="","",IF($B$1=0,0,C15*지출!$H$4/$B$1))</f>
        <v/>
      </c>
      <c r="H15" s="18">
        <f>IF($A15="","",C15-G15)</f>
        <v/>
      </c>
      <c r="I15" s="21" t="n"/>
      <c r="K15" s="22">
        <f>IF(10&lt;=MAX('부의금 입력'!$G$2:$G$1001),10,"")</f>
        <v/>
      </c>
      <c r="L15" s="17">
        <f>IF(K15="","",COUNTIF('부의금 입력'!$G$2:$G$1001,K15))</f>
        <v/>
      </c>
      <c r="M15" s="18">
        <f>IF(K15="","",SUMIF('부의금 입력'!$G$2:$G$1001,K15,'부의금 입력'!$C$2:$C$1001))</f>
        <v/>
      </c>
      <c r="N15" s="18">
        <f>IF(K15="","",IF(COUNTIF('부의금 입력'!$I$2:$I$1001,K15)=0,"",SUMIF('부의금 입력'!$I$2:$I$1001,K15,'부의금 입력'!$C$2:$C$1001)))</f>
        <v/>
      </c>
      <c r="O15" s="18">
        <f>IF(OR(K15="",N15=""),"",M15-N15)</f>
        <v/>
      </c>
    </row>
    <row r="16">
      <c r="A16" s="16">
        <f>IF('가족 목록'!A12="","",'가족 목록'!A12)</f>
        <v/>
      </c>
      <c r="B16" s="17">
        <f>IF($A16="","",COUNTIFS('부의금 입력'!$A$2:$A$1001,$A16,'부의금 입력'!$G$2:$G$1001,"&gt;0"))</f>
        <v/>
      </c>
      <c r="C16" s="18">
        <f>IF($A16="","",SUMIFS('부의금 입력'!$C$2:$C$1001,'부의금 입력'!$A$2:$A$1001,$A16,'부의금 입력'!$G$2:$G$1001,"&gt;0"))</f>
        <v/>
      </c>
      <c r="D16" s="19">
        <f>IF($A16="","",IF($B$1=0,0,C16/$B$1))</f>
        <v/>
      </c>
      <c r="E16" s="20">
        <f>IF($A16="","",COUNTIF('근조 화환'!$A$2:$A$501,$A16))</f>
        <v/>
      </c>
      <c r="G16" s="18">
        <f>IF($A16="","",IF($B$1=0,0,C16*지출!$H$4/$B$1))</f>
        <v/>
      </c>
      <c r="H16" s="18">
        <f>IF($A16="","",C16-G16)</f>
        <v/>
      </c>
      <c r="I16" s="21" t="n"/>
    </row>
    <row r="17">
      <c r="A17" s="16">
        <f>IF('가족 목록'!A13="","",'가족 목록'!A13)</f>
        <v/>
      </c>
      <c r="B17" s="17">
        <f>IF($A17="","",COUNTIFS('부의금 입력'!$A$2:$A$1001,$A17,'부의금 입력'!$G$2:$G$1001,"&gt;0"))</f>
        <v/>
      </c>
      <c r="C17" s="18">
        <f>IF($A17="","",SUMIFS('부의금 입력'!$C$2:$C$1001,'부의금 입력'!$A$2:$A$1001,$A17,'부의금 입력'!$G$2:$G$1001,"&gt;0"))</f>
        <v/>
      </c>
      <c r="D17" s="19">
        <f>IF($A17="","",IF($B$1=0,0,C17/$B$1))</f>
        <v/>
      </c>
      <c r="E17" s="20">
        <f>IF($A17="","",COUNTIF('근조 화환'!$A$2:$A$501,$A17))</f>
        <v/>
      </c>
      <c r="G17" s="18">
        <f>IF($A17="","",IF($B$1=0,0,C17*지출!$H$4/$B$1))</f>
        <v/>
      </c>
      <c r="H17" s="18">
        <f>IF($A17="","",C17-G17)</f>
        <v/>
      </c>
      <c r="I17" s="21" t="n"/>
    </row>
    <row r="18">
      <c r="A18" s="16">
        <f>IF('가족 목록'!A14="","",'가족 목록'!A14)</f>
        <v/>
      </c>
      <c r="B18" s="17">
        <f>IF($A18="","",COUNTIFS('부의금 입력'!$A$2:$A$1001,$A18,'부의금 입력'!$G$2:$G$1001,"&gt;0"))</f>
        <v/>
      </c>
      <c r="C18" s="18">
        <f>IF($A18="","",SUMIFS('부의금 입력'!$C$2:$C$1001,'부의금 입력'!$A$2:$A$1001,$A18,'부의금 입력'!$G$2:$G$1001,"&gt;0"))</f>
        <v/>
      </c>
      <c r="D18" s="19">
        <f>IF($A18="","",IF($B$1=0,0,C18/$B$1))</f>
        <v/>
      </c>
      <c r="E18" s="20">
        <f>IF($A18="","",COUNTIF('근조 화환'!$A$2:$A$501,$A18))</f>
        <v/>
      </c>
      <c r="G18" s="18">
        <f>IF($A18="","",IF($B$1=0,0,C18*지출!$H$4/$B$1))</f>
        <v/>
      </c>
      <c r="H18" s="18">
        <f>IF($A18="","",C18-G18)</f>
        <v/>
      </c>
      <c r="I18" s="21" t="n"/>
    </row>
    <row r="19">
      <c r="A19" s="16">
        <f>IF('가족 목록'!A15="","",'가족 목록'!A15)</f>
        <v/>
      </c>
      <c r="B19" s="17">
        <f>IF($A19="","",COUNTIFS('부의금 입력'!$A$2:$A$1001,$A19,'부의금 입력'!$G$2:$G$1001,"&gt;0"))</f>
        <v/>
      </c>
      <c r="C19" s="18">
        <f>IF($A19="","",SUMIFS('부의금 입력'!$C$2:$C$1001,'부의금 입력'!$A$2:$A$1001,$A19,'부의금 입력'!$G$2:$G$1001,"&gt;0"))</f>
        <v/>
      </c>
      <c r="D19" s="19">
        <f>IF($A19="","",IF($B$1=0,0,C19/$B$1))</f>
        <v/>
      </c>
      <c r="E19" s="20">
        <f>IF($A19="","",COUNTIF('근조 화환'!$A$2:$A$501,$A19))</f>
        <v/>
      </c>
      <c r="G19" s="18">
        <f>IF($A19="","",IF($B$1=0,0,C19*지출!$H$4/$B$1))</f>
        <v/>
      </c>
      <c r="H19" s="18">
        <f>IF($A19="","",C19-G19)</f>
        <v/>
      </c>
      <c r="I19" s="21" t="n"/>
    </row>
    <row r="20">
      <c r="A20" s="16">
        <f>IF('가족 목록'!A16="","",'가족 목록'!A16)</f>
        <v/>
      </c>
      <c r="B20" s="17">
        <f>IF($A20="","",COUNTIFS('부의금 입력'!$A$2:$A$1001,$A20,'부의금 입력'!$G$2:$G$1001,"&gt;0"))</f>
        <v/>
      </c>
      <c r="C20" s="18">
        <f>IF($A20="","",SUMIFS('부의금 입력'!$C$2:$C$1001,'부의금 입력'!$A$2:$A$1001,$A20,'부의금 입력'!$G$2:$G$1001,"&gt;0"))</f>
        <v/>
      </c>
      <c r="D20" s="19">
        <f>IF($A20="","",IF($B$1=0,0,C20/$B$1))</f>
        <v/>
      </c>
      <c r="E20" s="20">
        <f>IF($A20="","",COUNTIF('근조 화환'!$A$2:$A$501,$A20))</f>
        <v/>
      </c>
      <c r="G20" s="18">
        <f>IF($A20="","",IF($B$1=0,0,C20*지출!$H$4/$B$1))</f>
        <v/>
      </c>
      <c r="H20" s="18">
        <f>IF($A20="","",C20-G20)</f>
        <v/>
      </c>
      <c r="I20" s="21" t="n"/>
    </row>
    <row r="21">
      <c r="A21" s="16">
        <f>IF('가족 목록'!A17="","",'가족 목록'!A17)</f>
        <v/>
      </c>
      <c r="B21" s="17">
        <f>IF($A21="","",COUNTIFS('부의금 입력'!$A$2:$A$1001,$A21,'부의금 입력'!$G$2:$G$1001,"&gt;0"))</f>
        <v/>
      </c>
      <c r="C21" s="18">
        <f>IF($A21="","",SUMIFS('부의금 입력'!$C$2:$C$1001,'부의금 입력'!$A$2:$A$1001,$A21,'부의금 입력'!$G$2:$G$1001,"&gt;0"))</f>
        <v/>
      </c>
      <c r="D21" s="19">
        <f>IF($A21="","",IF($B$1=0,0,C21/$B$1))</f>
        <v/>
      </c>
      <c r="E21" s="20">
        <f>IF($A21="","",COUNTIF('근조 화환'!$A$2:$A$501,$A21))</f>
        <v/>
      </c>
      <c r="G21" s="18">
        <f>IF($A21="","",IF($B$1=0,0,C21*지출!$H$4/$B$1))</f>
        <v/>
      </c>
      <c r="H21" s="18">
        <f>IF($A21="","",C21-G21)</f>
        <v/>
      </c>
      <c r="I21" s="21" t="n"/>
    </row>
    <row r="22">
      <c r="A22" s="16">
        <f>IF('가족 목록'!A18="","",'가족 목록'!A18)</f>
        <v/>
      </c>
      <c r="B22" s="17">
        <f>IF($A22="","",COUNTIFS('부의금 입력'!$A$2:$A$1001,$A22,'부의금 입력'!$G$2:$G$1001,"&gt;0"))</f>
        <v/>
      </c>
      <c r="C22" s="18">
        <f>IF($A22="","",SUMIFS('부의금 입력'!$C$2:$C$1001,'부의금 입력'!$A$2:$A$1001,$A22,'부의금 입력'!$G$2:$G$1001,"&gt;0"))</f>
        <v/>
      </c>
      <c r="D22" s="19">
        <f>IF($A22="","",IF($B$1=0,0,C22/$B$1))</f>
        <v/>
      </c>
      <c r="E22" s="20">
        <f>IF($A22="","",COUNTIF('근조 화환'!$A$2:$A$501,$A22))</f>
        <v/>
      </c>
      <c r="G22" s="18">
        <f>IF($A22="","",IF($B$1=0,0,C22*지출!$H$4/$B$1))</f>
        <v/>
      </c>
      <c r="H22" s="18">
        <f>IF($A22="","",C22-G22)</f>
        <v/>
      </c>
      <c r="I22" s="21" t="n"/>
    </row>
    <row r="23">
      <c r="A23" s="16">
        <f>IF('가족 목록'!A19="","",'가족 목록'!A19)</f>
        <v/>
      </c>
      <c r="B23" s="17">
        <f>IF($A23="","",COUNTIFS('부의금 입력'!$A$2:$A$1001,$A23,'부의금 입력'!$G$2:$G$1001,"&gt;0"))</f>
        <v/>
      </c>
      <c r="C23" s="18">
        <f>IF($A23="","",SUMIFS('부의금 입력'!$C$2:$C$1001,'부의금 입력'!$A$2:$A$1001,$A23,'부의금 입력'!$G$2:$G$1001,"&gt;0"))</f>
        <v/>
      </c>
      <c r="D23" s="19">
        <f>IF($A23="","",IF($B$1=0,0,C23/$B$1))</f>
        <v/>
      </c>
      <c r="E23" s="20">
        <f>IF($A23="","",COUNTIF('근조 화환'!$A$2:$A$501,$A23))</f>
        <v/>
      </c>
      <c r="G23" s="18">
        <f>IF($A23="","",IF($B$1=0,0,C23*지출!$H$4/$B$1))</f>
        <v/>
      </c>
      <c r="H23" s="18">
        <f>IF($A23="","",C23-G23)</f>
        <v/>
      </c>
      <c r="I23" s="21" t="n"/>
    </row>
    <row r="24">
      <c r="A24" s="16">
        <f>IF('가족 목록'!A20="","",'가족 목록'!A20)</f>
        <v/>
      </c>
      <c r="B24" s="17">
        <f>IF($A24="","",COUNTIFS('부의금 입력'!$A$2:$A$1001,$A24,'부의금 입력'!$G$2:$G$1001,"&gt;0"))</f>
        <v/>
      </c>
      <c r="C24" s="18">
        <f>IF($A24="","",SUMIFS('부의금 입력'!$C$2:$C$1001,'부의금 입력'!$A$2:$A$1001,$A24,'부의금 입력'!$G$2:$G$1001,"&gt;0"))</f>
        <v/>
      </c>
      <c r="D24" s="19">
        <f>IF($A24="","",IF($B$1=0,0,C24/$B$1))</f>
        <v/>
      </c>
      <c r="E24" s="20">
        <f>IF($A24="","",COUNTIF('근조 화환'!$A$2:$A$501,$A24))</f>
        <v/>
      </c>
      <c r="G24" s="18">
        <f>IF($A24="","",IF($B$1=0,0,C24*지출!$H$4/$B$1))</f>
        <v/>
      </c>
      <c r="H24" s="18">
        <f>IF($A24="","",C24-G24)</f>
        <v/>
      </c>
      <c r="I24" s="21" t="n"/>
    </row>
    <row r="25">
      <c r="A25" s="16">
        <f>IF('가족 목록'!A21="","",'가족 목록'!A21)</f>
        <v/>
      </c>
      <c r="B25" s="17">
        <f>IF($A25="","",COUNTIFS('부의금 입력'!$A$2:$A$1001,$A25,'부의금 입력'!$G$2:$G$1001,"&gt;0"))</f>
        <v/>
      </c>
      <c r="C25" s="18">
        <f>IF($A25="","",SUMIFS('부의금 입력'!$C$2:$C$1001,'부의금 입력'!$A$2:$A$1001,$A25,'부의금 입력'!$G$2:$G$1001,"&gt;0"))</f>
        <v/>
      </c>
      <c r="D25" s="19">
        <f>IF($A25="","",IF($B$1=0,0,C25/$B$1))</f>
        <v/>
      </c>
      <c r="E25" s="20">
        <f>IF($A25="","",COUNTIF('근조 화환'!$A$2:$A$501,$A25))</f>
        <v/>
      </c>
      <c r="G25" s="18">
        <f>IF($A25="","",IF($B$1=0,0,C25*지출!$H$4/$B$1))</f>
        <v/>
      </c>
      <c r="H25" s="18">
        <f>IF($A25="","",C25-G25)</f>
        <v/>
      </c>
      <c r="I25" s="21" t="n"/>
    </row>
    <row r="26">
      <c r="A26" s="23" t="inlineStr">
        <is>
          <t>합계</t>
        </is>
      </c>
      <c r="B26" s="24">
        <f>SUM(B6:B25)</f>
        <v/>
      </c>
      <c r="C26" s="25">
        <f>SUM(C6:C25)</f>
        <v/>
      </c>
      <c r="D26" s="26">
        <f>SUM(D6:D25)</f>
        <v/>
      </c>
      <c r="E26" s="27">
        <f>SUM(E6:E25)</f>
        <v/>
      </c>
      <c r="G26" s="25">
        <f>SUM(G6:G25)</f>
        <v/>
      </c>
      <c r="H26" s="25">
        <f>SUM(H6:H25)</f>
        <v/>
      </c>
      <c r="I26" s="25">
        <f>SUM(I6:I25)</f>
        <v/>
      </c>
    </row>
    <row r="27">
      <c r="A27" s="8" t="inlineStr">
        <is>
          <t>가족 목록에 없는 기록</t>
        </is>
      </c>
      <c r="C27" s="28">
        <f>B1-C26</f>
        <v/>
      </c>
    </row>
    <row r="29">
      <c r="A29" s="29" t="inlineStr">
        <is>
          <t>지출 분담 계산 방식</t>
        </is>
      </c>
    </row>
    <row r="30">
      <c r="A30" s="30" t="inlineStr">
        <is>
          <t>· 지출 비율 = 지출 총액 ÷ 부의금 총액</t>
        </is>
      </c>
    </row>
    <row r="31">
      <c r="A31" s="30" t="inlineStr">
        <is>
          <t>· 지출 분담 = 받은 부의금 × 지출 비율</t>
        </is>
      </c>
    </row>
    <row r="32">
      <c r="A32" s="30" t="inlineStr">
        <is>
          <t>· 남는 몫 = 받은 부의금 − 지출 분담</t>
        </is>
      </c>
    </row>
    <row r="33">
      <c r="A33" s="8" t="inlineStr">
        <is>
          <t>· 예) 비율 80%, 받은 부의금 100만 원 → 분담 80만 원, 남는 몫 20만 원</t>
        </is>
      </c>
    </row>
    <row r="34">
      <c r="A34" s="8" t="inlineStr">
        <is>
          <t>· 다르게 나눴다면 '실제 지급' 칸에 적으세요.</t>
        </is>
      </c>
    </row>
  </sheetData>
  <mergeCells count="1">
    <mergeCell ref="K4:O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14" t="inlineStr">
        <is>
          <t>받은 가족</t>
        </is>
      </c>
      <c r="B1" s="31">
        <f>'가족 목록'!A2</f>
        <v/>
      </c>
      <c r="C1" s="14" t="inlineStr">
        <is>
          <t>합계</t>
        </is>
      </c>
      <c r="D1" s="32">
        <f>SUMIFS('부의금 입력'!$C$2:$C$1001,'부의금 입력'!$A$2:$A$1001,$B$1,'부의금 입력'!$G$2:$G$1001,"&gt;0")</f>
        <v/>
      </c>
      <c r="E1" s="14" t="inlineStr">
        <is>
          <t>건수</t>
        </is>
      </c>
      <c r="F1" s="33">
        <f>COUNTIFS('부의금 입력'!$A$2:$A$1001,$B$1,'부의금 입력'!$G$2:$G$1001,"&gt;0")</f>
        <v/>
      </c>
      <c r="H1" s="14" t="inlineStr">
        <is>
          <t>조화·물품</t>
        </is>
      </c>
      <c r="I1" s="34">
        <f>COUNTIF('근조 화환'!$A$2:$A$501,$B$1)</f>
        <v/>
      </c>
    </row>
    <row r="2">
      <c r="A2" s="35" t="inlineStr">
        <is>
          <t>▲ 노란 칸에서 이름을 고르면 그분 명단이 나옵니다.</t>
        </is>
      </c>
    </row>
    <row r="3">
      <c r="A3" s="15" t="inlineStr">
        <is>
          <t>번호</t>
        </is>
      </c>
      <c r="B3" s="15" t="inlineStr">
        <is>
          <t>이름</t>
        </is>
      </c>
      <c r="C3" s="15" t="inlineStr">
        <is>
          <t>금액</t>
        </is>
      </c>
      <c r="D3" s="15" t="inlineStr">
        <is>
          <t>소속·관계</t>
        </is>
      </c>
      <c r="E3" s="15" t="inlineStr">
        <is>
          <t>메모</t>
        </is>
      </c>
      <c r="H3" s="15" t="inlineStr">
        <is>
          <t>보낸 분</t>
        </is>
      </c>
      <c r="I3" s="15" t="inlineStr">
        <is>
          <t>종류</t>
        </is>
      </c>
      <c r="J3" s="15" t="inlineStr">
        <is>
          <t>소속·관계</t>
        </is>
      </c>
      <c r="K3" s="15" t="inlineStr">
        <is>
          <t>메모</t>
        </is>
      </c>
    </row>
    <row r="4">
      <c r="A4" s="16">
        <f>IF(1&lt;=$F$1,1,"")</f>
        <v/>
      </c>
      <c r="B4" s="16">
        <f>IF($A4="","",INDEX('부의금 입력'!$B$2:$B$1001,MATCH($A4,'부의금 입력'!$H$2:$H$1001,0))&amp;"")</f>
        <v/>
      </c>
      <c r="C4" s="18">
        <f>IF($A4="","",INDEX('부의금 입력'!$C$2:$C$1001,MATCH($A4,'부의금 입력'!$H$2:$H$1001,0)))</f>
        <v/>
      </c>
      <c r="D4" s="16">
        <f>IF($A4="","",INDEX('부의금 입력'!$D$2:$D$1001,MATCH($A4,'부의금 입력'!$H$2:$H$1001,0))&amp;"")</f>
        <v/>
      </c>
      <c r="E4" s="16">
        <f>IF($A4="","",INDEX('부의금 입력'!$E$2:$E$1001,MATCH($A4,'부의금 입력'!$H$2:$H$1001,0))&amp;"")</f>
        <v/>
      </c>
      <c r="H4" s="16">
        <f>IF(1&gt;$I$1,"",INDEX('근조 화환'!$B$2:$B$501,MATCH(1,'근조 화환'!$G$2:$G$501,0))&amp;"")</f>
        <v/>
      </c>
      <c r="I4" s="16">
        <f>IF(1&gt;$I$1,"",INDEX('근조 화환'!$C$2:$C$501,MATCH(1,'근조 화환'!$G$2:$G$501,0))&amp;"")</f>
        <v/>
      </c>
      <c r="J4" s="16">
        <f>IF(1&gt;$I$1,"",INDEX('근조 화환'!$D$2:$D$501,MATCH(1,'근조 화환'!$G$2:$G$501,0))&amp;"")</f>
        <v/>
      </c>
      <c r="K4" s="16">
        <f>IF(1&gt;$I$1,"",INDEX('근조 화환'!$E$2:$E$501,MATCH(1,'근조 화환'!$G$2:$G$501,0))&amp;"")</f>
        <v/>
      </c>
    </row>
    <row r="5">
      <c r="A5" s="16">
        <f>IF(2&lt;=$F$1,2,"")</f>
        <v/>
      </c>
      <c r="B5" s="16">
        <f>IF($A5="","",INDEX('부의금 입력'!$B$2:$B$1001,MATCH($A5,'부의금 입력'!$H$2:$H$1001,0))&amp;"")</f>
        <v/>
      </c>
      <c r="C5" s="18">
        <f>IF($A5="","",INDEX('부의금 입력'!$C$2:$C$1001,MATCH($A5,'부의금 입력'!$H$2:$H$1001,0)))</f>
        <v/>
      </c>
      <c r="D5" s="16">
        <f>IF($A5="","",INDEX('부의금 입력'!$D$2:$D$1001,MATCH($A5,'부의금 입력'!$H$2:$H$1001,0))&amp;"")</f>
        <v/>
      </c>
      <c r="E5" s="16">
        <f>IF($A5="","",INDEX('부의금 입력'!$E$2:$E$1001,MATCH($A5,'부의금 입력'!$H$2:$H$1001,0))&amp;"")</f>
        <v/>
      </c>
      <c r="H5" s="16">
        <f>IF(2&gt;$I$1,"",INDEX('근조 화환'!$B$2:$B$501,MATCH(2,'근조 화환'!$G$2:$G$501,0))&amp;"")</f>
        <v/>
      </c>
      <c r="I5" s="16">
        <f>IF(2&gt;$I$1,"",INDEX('근조 화환'!$C$2:$C$501,MATCH(2,'근조 화환'!$G$2:$G$501,0))&amp;"")</f>
        <v/>
      </c>
      <c r="J5" s="16">
        <f>IF(2&gt;$I$1,"",INDEX('근조 화환'!$D$2:$D$501,MATCH(2,'근조 화환'!$G$2:$G$501,0))&amp;"")</f>
        <v/>
      </c>
      <c r="K5" s="16">
        <f>IF(2&gt;$I$1,"",INDEX('근조 화환'!$E$2:$E$501,MATCH(2,'근조 화환'!$G$2:$G$501,0))&amp;"")</f>
        <v/>
      </c>
    </row>
    <row r="6">
      <c r="A6" s="16">
        <f>IF(3&lt;=$F$1,3,"")</f>
        <v/>
      </c>
      <c r="B6" s="16">
        <f>IF($A6="","",INDEX('부의금 입력'!$B$2:$B$1001,MATCH($A6,'부의금 입력'!$H$2:$H$1001,0))&amp;"")</f>
        <v/>
      </c>
      <c r="C6" s="18">
        <f>IF($A6="","",INDEX('부의금 입력'!$C$2:$C$1001,MATCH($A6,'부의금 입력'!$H$2:$H$1001,0)))</f>
        <v/>
      </c>
      <c r="D6" s="16">
        <f>IF($A6="","",INDEX('부의금 입력'!$D$2:$D$1001,MATCH($A6,'부의금 입력'!$H$2:$H$1001,0))&amp;"")</f>
        <v/>
      </c>
      <c r="E6" s="16">
        <f>IF($A6="","",INDEX('부의금 입력'!$E$2:$E$1001,MATCH($A6,'부의금 입력'!$H$2:$H$1001,0))&amp;"")</f>
        <v/>
      </c>
      <c r="H6" s="16">
        <f>IF(3&gt;$I$1,"",INDEX('근조 화환'!$B$2:$B$501,MATCH(3,'근조 화환'!$G$2:$G$501,0))&amp;"")</f>
        <v/>
      </c>
      <c r="I6" s="16">
        <f>IF(3&gt;$I$1,"",INDEX('근조 화환'!$C$2:$C$501,MATCH(3,'근조 화환'!$G$2:$G$501,0))&amp;"")</f>
        <v/>
      </c>
      <c r="J6" s="16">
        <f>IF(3&gt;$I$1,"",INDEX('근조 화환'!$D$2:$D$501,MATCH(3,'근조 화환'!$G$2:$G$501,0))&amp;"")</f>
        <v/>
      </c>
      <c r="K6" s="16">
        <f>IF(3&gt;$I$1,"",INDEX('근조 화환'!$E$2:$E$501,MATCH(3,'근조 화환'!$G$2:$G$501,0))&amp;"")</f>
        <v/>
      </c>
    </row>
    <row r="7">
      <c r="A7" s="16">
        <f>IF(4&lt;=$F$1,4,"")</f>
        <v/>
      </c>
      <c r="B7" s="16">
        <f>IF($A7="","",INDEX('부의금 입력'!$B$2:$B$1001,MATCH($A7,'부의금 입력'!$H$2:$H$1001,0))&amp;"")</f>
        <v/>
      </c>
      <c r="C7" s="18">
        <f>IF($A7="","",INDEX('부의금 입력'!$C$2:$C$1001,MATCH($A7,'부의금 입력'!$H$2:$H$1001,0)))</f>
        <v/>
      </c>
      <c r="D7" s="16">
        <f>IF($A7="","",INDEX('부의금 입력'!$D$2:$D$1001,MATCH($A7,'부의금 입력'!$H$2:$H$1001,0))&amp;"")</f>
        <v/>
      </c>
      <c r="E7" s="16">
        <f>IF($A7="","",INDEX('부의금 입력'!$E$2:$E$1001,MATCH($A7,'부의금 입력'!$H$2:$H$1001,0))&amp;"")</f>
        <v/>
      </c>
      <c r="H7" s="16">
        <f>IF(4&gt;$I$1,"",INDEX('근조 화환'!$B$2:$B$501,MATCH(4,'근조 화환'!$G$2:$G$501,0))&amp;"")</f>
        <v/>
      </c>
      <c r="I7" s="16">
        <f>IF(4&gt;$I$1,"",INDEX('근조 화환'!$C$2:$C$501,MATCH(4,'근조 화환'!$G$2:$G$501,0))&amp;"")</f>
        <v/>
      </c>
      <c r="J7" s="16">
        <f>IF(4&gt;$I$1,"",INDEX('근조 화환'!$D$2:$D$501,MATCH(4,'근조 화환'!$G$2:$G$501,0))&amp;"")</f>
        <v/>
      </c>
      <c r="K7" s="16">
        <f>IF(4&gt;$I$1,"",INDEX('근조 화환'!$E$2:$E$501,MATCH(4,'근조 화환'!$G$2:$G$501,0))&amp;"")</f>
        <v/>
      </c>
    </row>
    <row r="8">
      <c r="A8" s="16">
        <f>IF(5&lt;=$F$1,5,"")</f>
        <v/>
      </c>
      <c r="B8" s="16">
        <f>IF($A8="","",INDEX('부의금 입력'!$B$2:$B$1001,MATCH($A8,'부의금 입력'!$H$2:$H$1001,0))&amp;"")</f>
        <v/>
      </c>
      <c r="C8" s="18">
        <f>IF($A8="","",INDEX('부의금 입력'!$C$2:$C$1001,MATCH($A8,'부의금 입력'!$H$2:$H$1001,0)))</f>
        <v/>
      </c>
      <c r="D8" s="16">
        <f>IF($A8="","",INDEX('부의금 입력'!$D$2:$D$1001,MATCH($A8,'부의금 입력'!$H$2:$H$1001,0))&amp;"")</f>
        <v/>
      </c>
      <c r="E8" s="16">
        <f>IF($A8="","",INDEX('부의금 입력'!$E$2:$E$1001,MATCH($A8,'부의금 입력'!$H$2:$H$1001,0))&amp;"")</f>
        <v/>
      </c>
      <c r="H8" s="16">
        <f>IF(5&gt;$I$1,"",INDEX('근조 화환'!$B$2:$B$501,MATCH(5,'근조 화환'!$G$2:$G$501,0))&amp;"")</f>
        <v/>
      </c>
      <c r="I8" s="16">
        <f>IF(5&gt;$I$1,"",INDEX('근조 화환'!$C$2:$C$501,MATCH(5,'근조 화환'!$G$2:$G$501,0))&amp;"")</f>
        <v/>
      </c>
      <c r="J8" s="16">
        <f>IF(5&gt;$I$1,"",INDEX('근조 화환'!$D$2:$D$501,MATCH(5,'근조 화환'!$G$2:$G$501,0))&amp;"")</f>
        <v/>
      </c>
      <c r="K8" s="16">
        <f>IF(5&gt;$I$1,"",INDEX('근조 화환'!$E$2:$E$501,MATCH(5,'근조 화환'!$G$2:$G$501,0))&amp;"")</f>
        <v/>
      </c>
    </row>
    <row r="9">
      <c r="A9" s="16">
        <f>IF(6&lt;=$F$1,6,"")</f>
        <v/>
      </c>
      <c r="B9" s="16">
        <f>IF($A9="","",INDEX('부의금 입력'!$B$2:$B$1001,MATCH($A9,'부의금 입력'!$H$2:$H$1001,0))&amp;"")</f>
        <v/>
      </c>
      <c r="C9" s="18">
        <f>IF($A9="","",INDEX('부의금 입력'!$C$2:$C$1001,MATCH($A9,'부의금 입력'!$H$2:$H$1001,0)))</f>
        <v/>
      </c>
      <c r="D9" s="16">
        <f>IF($A9="","",INDEX('부의금 입력'!$D$2:$D$1001,MATCH($A9,'부의금 입력'!$H$2:$H$1001,0))&amp;"")</f>
        <v/>
      </c>
      <c r="E9" s="16">
        <f>IF($A9="","",INDEX('부의금 입력'!$E$2:$E$1001,MATCH($A9,'부의금 입력'!$H$2:$H$1001,0))&amp;"")</f>
        <v/>
      </c>
      <c r="H9" s="16">
        <f>IF(6&gt;$I$1,"",INDEX('근조 화환'!$B$2:$B$501,MATCH(6,'근조 화환'!$G$2:$G$501,0))&amp;"")</f>
        <v/>
      </c>
      <c r="I9" s="16">
        <f>IF(6&gt;$I$1,"",INDEX('근조 화환'!$C$2:$C$501,MATCH(6,'근조 화환'!$G$2:$G$501,0))&amp;"")</f>
        <v/>
      </c>
      <c r="J9" s="16">
        <f>IF(6&gt;$I$1,"",INDEX('근조 화환'!$D$2:$D$501,MATCH(6,'근조 화환'!$G$2:$G$501,0))&amp;"")</f>
        <v/>
      </c>
      <c r="K9" s="16">
        <f>IF(6&gt;$I$1,"",INDEX('근조 화환'!$E$2:$E$501,MATCH(6,'근조 화환'!$G$2:$G$501,0))&amp;"")</f>
        <v/>
      </c>
    </row>
    <row r="10">
      <c r="A10" s="16">
        <f>IF(7&lt;=$F$1,7,"")</f>
        <v/>
      </c>
      <c r="B10" s="16">
        <f>IF($A10="","",INDEX('부의금 입력'!$B$2:$B$1001,MATCH($A10,'부의금 입력'!$H$2:$H$1001,0))&amp;"")</f>
        <v/>
      </c>
      <c r="C10" s="18">
        <f>IF($A10="","",INDEX('부의금 입력'!$C$2:$C$1001,MATCH($A10,'부의금 입력'!$H$2:$H$1001,0)))</f>
        <v/>
      </c>
      <c r="D10" s="16">
        <f>IF($A10="","",INDEX('부의금 입력'!$D$2:$D$1001,MATCH($A10,'부의금 입력'!$H$2:$H$1001,0))&amp;"")</f>
        <v/>
      </c>
      <c r="E10" s="16">
        <f>IF($A10="","",INDEX('부의금 입력'!$E$2:$E$1001,MATCH($A10,'부의금 입력'!$H$2:$H$1001,0))&amp;"")</f>
        <v/>
      </c>
      <c r="H10" s="16">
        <f>IF(7&gt;$I$1,"",INDEX('근조 화환'!$B$2:$B$501,MATCH(7,'근조 화환'!$G$2:$G$501,0))&amp;"")</f>
        <v/>
      </c>
      <c r="I10" s="16">
        <f>IF(7&gt;$I$1,"",INDEX('근조 화환'!$C$2:$C$501,MATCH(7,'근조 화환'!$G$2:$G$501,0))&amp;"")</f>
        <v/>
      </c>
      <c r="J10" s="16">
        <f>IF(7&gt;$I$1,"",INDEX('근조 화환'!$D$2:$D$501,MATCH(7,'근조 화환'!$G$2:$G$501,0))&amp;"")</f>
        <v/>
      </c>
      <c r="K10" s="16">
        <f>IF(7&gt;$I$1,"",INDEX('근조 화환'!$E$2:$E$501,MATCH(7,'근조 화환'!$G$2:$G$501,0))&amp;"")</f>
        <v/>
      </c>
    </row>
    <row r="11">
      <c r="A11" s="16">
        <f>IF(8&lt;=$F$1,8,"")</f>
        <v/>
      </c>
      <c r="B11" s="16">
        <f>IF($A11="","",INDEX('부의금 입력'!$B$2:$B$1001,MATCH($A11,'부의금 입력'!$H$2:$H$1001,0))&amp;"")</f>
        <v/>
      </c>
      <c r="C11" s="18">
        <f>IF($A11="","",INDEX('부의금 입력'!$C$2:$C$1001,MATCH($A11,'부의금 입력'!$H$2:$H$1001,0)))</f>
        <v/>
      </c>
      <c r="D11" s="16">
        <f>IF($A11="","",INDEX('부의금 입력'!$D$2:$D$1001,MATCH($A11,'부의금 입력'!$H$2:$H$1001,0))&amp;"")</f>
        <v/>
      </c>
      <c r="E11" s="16">
        <f>IF($A11="","",INDEX('부의금 입력'!$E$2:$E$1001,MATCH($A11,'부의금 입력'!$H$2:$H$1001,0))&amp;"")</f>
        <v/>
      </c>
      <c r="H11" s="16">
        <f>IF(8&gt;$I$1,"",INDEX('근조 화환'!$B$2:$B$501,MATCH(8,'근조 화환'!$G$2:$G$501,0))&amp;"")</f>
        <v/>
      </c>
      <c r="I11" s="16">
        <f>IF(8&gt;$I$1,"",INDEX('근조 화환'!$C$2:$C$501,MATCH(8,'근조 화환'!$G$2:$G$501,0))&amp;"")</f>
        <v/>
      </c>
      <c r="J11" s="16">
        <f>IF(8&gt;$I$1,"",INDEX('근조 화환'!$D$2:$D$501,MATCH(8,'근조 화환'!$G$2:$G$501,0))&amp;"")</f>
        <v/>
      </c>
      <c r="K11" s="16">
        <f>IF(8&gt;$I$1,"",INDEX('근조 화환'!$E$2:$E$501,MATCH(8,'근조 화환'!$G$2:$G$501,0))&amp;"")</f>
        <v/>
      </c>
    </row>
    <row r="12">
      <c r="A12" s="16">
        <f>IF(9&lt;=$F$1,9,"")</f>
        <v/>
      </c>
      <c r="B12" s="16">
        <f>IF($A12="","",INDEX('부의금 입력'!$B$2:$B$1001,MATCH($A12,'부의금 입력'!$H$2:$H$1001,0))&amp;"")</f>
        <v/>
      </c>
      <c r="C12" s="18">
        <f>IF($A12="","",INDEX('부의금 입력'!$C$2:$C$1001,MATCH($A12,'부의금 입력'!$H$2:$H$1001,0)))</f>
        <v/>
      </c>
      <c r="D12" s="16">
        <f>IF($A12="","",INDEX('부의금 입력'!$D$2:$D$1001,MATCH($A12,'부의금 입력'!$H$2:$H$1001,0))&amp;"")</f>
        <v/>
      </c>
      <c r="E12" s="16">
        <f>IF($A12="","",INDEX('부의금 입력'!$E$2:$E$1001,MATCH($A12,'부의금 입력'!$H$2:$H$1001,0))&amp;"")</f>
        <v/>
      </c>
      <c r="H12" s="16">
        <f>IF(9&gt;$I$1,"",INDEX('근조 화환'!$B$2:$B$501,MATCH(9,'근조 화환'!$G$2:$G$501,0))&amp;"")</f>
        <v/>
      </c>
      <c r="I12" s="16">
        <f>IF(9&gt;$I$1,"",INDEX('근조 화환'!$C$2:$C$501,MATCH(9,'근조 화환'!$G$2:$G$501,0))&amp;"")</f>
        <v/>
      </c>
      <c r="J12" s="16">
        <f>IF(9&gt;$I$1,"",INDEX('근조 화환'!$D$2:$D$501,MATCH(9,'근조 화환'!$G$2:$G$501,0))&amp;"")</f>
        <v/>
      </c>
      <c r="K12" s="16">
        <f>IF(9&gt;$I$1,"",INDEX('근조 화환'!$E$2:$E$501,MATCH(9,'근조 화환'!$G$2:$G$501,0))&amp;"")</f>
        <v/>
      </c>
    </row>
    <row r="13">
      <c r="A13" s="16">
        <f>IF(10&lt;=$F$1,10,"")</f>
        <v/>
      </c>
      <c r="B13" s="16">
        <f>IF($A13="","",INDEX('부의금 입력'!$B$2:$B$1001,MATCH($A13,'부의금 입력'!$H$2:$H$1001,0))&amp;"")</f>
        <v/>
      </c>
      <c r="C13" s="18">
        <f>IF($A13="","",INDEX('부의금 입력'!$C$2:$C$1001,MATCH($A13,'부의금 입력'!$H$2:$H$1001,0)))</f>
        <v/>
      </c>
      <c r="D13" s="16">
        <f>IF($A13="","",INDEX('부의금 입력'!$D$2:$D$1001,MATCH($A13,'부의금 입력'!$H$2:$H$1001,0))&amp;"")</f>
        <v/>
      </c>
      <c r="E13" s="16">
        <f>IF($A13="","",INDEX('부의금 입력'!$E$2:$E$1001,MATCH($A13,'부의금 입력'!$H$2:$H$1001,0))&amp;"")</f>
        <v/>
      </c>
      <c r="H13" s="16">
        <f>IF(10&gt;$I$1,"",INDEX('근조 화환'!$B$2:$B$501,MATCH(10,'근조 화환'!$G$2:$G$501,0))&amp;"")</f>
        <v/>
      </c>
      <c r="I13" s="16">
        <f>IF(10&gt;$I$1,"",INDEX('근조 화환'!$C$2:$C$501,MATCH(10,'근조 화환'!$G$2:$G$501,0))&amp;"")</f>
        <v/>
      </c>
      <c r="J13" s="16">
        <f>IF(10&gt;$I$1,"",INDEX('근조 화환'!$D$2:$D$501,MATCH(10,'근조 화환'!$G$2:$G$501,0))&amp;"")</f>
        <v/>
      </c>
      <c r="K13" s="16">
        <f>IF(10&gt;$I$1,"",INDEX('근조 화환'!$E$2:$E$501,MATCH(10,'근조 화환'!$G$2:$G$501,0))&amp;"")</f>
        <v/>
      </c>
    </row>
    <row r="14">
      <c r="A14" s="16">
        <f>IF(11&lt;=$F$1,11,"")</f>
        <v/>
      </c>
      <c r="B14" s="16">
        <f>IF($A14="","",INDEX('부의금 입력'!$B$2:$B$1001,MATCH($A14,'부의금 입력'!$H$2:$H$1001,0))&amp;"")</f>
        <v/>
      </c>
      <c r="C14" s="18">
        <f>IF($A14="","",INDEX('부의금 입력'!$C$2:$C$1001,MATCH($A14,'부의금 입력'!$H$2:$H$1001,0)))</f>
        <v/>
      </c>
      <c r="D14" s="16">
        <f>IF($A14="","",INDEX('부의금 입력'!$D$2:$D$1001,MATCH($A14,'부의금 입력'!$H$2:$H$1001,0))&amp;"")</f>
        <v/>
      </c>
      <c r="E14" s="16">
        <f>IF($A14="","",INDEX('부의금 입력'!$E$2:$E$1001,MATCH($A14,'부의금 입력'!$H$2:$H$1001,0))&amp;"")</f>
        <v/>
      </c>
      <c r="H14" s="16">
        <f>IF(11&gt;$I$1,"",INDEX('근조 화환'!$B$2:$B$501,MATCH(11,'근조 화환'!$G$2:$G$501,0))&amp;"")</f>
        <v/>
      </c>
      <c r="I14" s="16">
        <f>IF(11&gt;$I$1,"",INDEX('근조 화환'!$C$2:$C$501,MATCH(11,'근조 화환'!$G$2:$G$501,0))&amp;"")</f>
        <v/>
      </c>
      <c r="J14" s="16">
        <f>IF(11&gt;$I$1,"",INDEX('근조 화환'!$D$2:$D$501,MATCH(11,'근조 화환'!$G$2:$G$501,0))&amp;"")</f>
        <v/>
      </c>
      <c r="K14" s="16">
        <f>IF(11&gt;$I$1,"",INDEX('근조 화환'!$E$2:$E$501,MATCH(11,'근조 화환'!$G$2:$G$501,0))&amp;"")</f>
        <v/>
      </c>
    </row>
    <row r="15">
      <c r="A15" s="16">
        <f>IF(12&lt;=$F$1,12,"")</f>
        <v/>
      </c>
      <c r="B15" s="16">
        <f>IF($A15="","",INDEX('부의금 입력'!$B$2:$B$1001,MATCH($A15,'부의금 입력'!$H$2:$H$1001,0))&amp;"")</f>
        <v/>
      </c>
      <c r="C15" s="18">
        <f>IF($A15="","",INDEX('부의금 입력'!$C$2:$C$1001,MATCH($A15,'부의금 입력'!$H$2:$H$1001,0)))</f>
        <v/>
      </c>
      <c r="D15" s="16">
        <f>IF($A15="","",INDEX('부의금 입력'!$D$2:$D$1001,MATCH($A15,'부의금 입력'!$H$2:$H$1001,0))&amp;"")</f>
        <v/>
      </c>
      <c r="E15" s="16">
        <f>IF($A15="","",INDEX('부의금 입력'!$E$2:$E$1001,MATCH($A15,'부의금 입력'!$H$2:$H$1001,0))&amp;"")</f>
        <v/>
      </c>
      <c r="H15" s="16">
        <f>IF(12&gt;$I$1,"",INDEX('근조 화환'!$B$2:$B$501,MATCH(12,'근조 화환'!$G$2:$G$501,0))&amp;"")</f>
        <v/>
      </c>
      <c r="I15" s="16">
        <f>IF(12&gt;$I$1,"",INDEX('근조 화환'!$C$2:$C$501,MATCH(12,'근조 화환'!$G$2:$G$501,0))&amp;"")</f>
        <v/>
      </c>
      <c r="J15" s="16">
        <f>IF(12&gt;$I$1,"",INDEX('근조 화환'!$D$2:$D$501,MATCH(12,'근조 화환'!$G$2:$G$501,0))&amp;"")</f>
        <v/>
      </c>
      <c r="K15" s="16">
        <f>IF(12&gt;$I$1,"",INDEX('근조 화환'!$E$2:$E$501,MATCH(12,'근조 화환'!$G$2:$G$501,0))&amp;"")</f>
        <v/>
      </c>
    </row>
    <row r="16">
      <c r="A16" s="16">
        <f>IF(13&lt;=$F$1,13,"")</f>
        <v/>
      </c>
      <c r="B16" s="16">
        <f>IF($A16="","",INDEX('부의금 입력'!$B$2:$B$1001,MATCH($A16,'부의금 입력'!$H$2:$H$1001,0))&amp;"")</f>
        <v/>
      </c>
      <c r="C16" s="18">
        <f>IF($A16="","",INDEX('부의금 입력'!$C$2:$C$1001,MATCH($A16,'부의금 입력'!$H$2:$H$1001,0)))</f>
        <v/>
      </c>
      <c r="D16" s="16">
        <f>IF($A16="","",INDEX('부의금 입력'!$D$2:$D$1001,MATCH($A16,'부의금 입력'!$H$2:$H$1001,0))&amp;"")</f>
        <v/>
      </c>
      <c r="E16" s="16">
        <f>IF($A16="","",INDEX('부의금 입력'!$E$2:$E$1001,MATCH($A16,'부의금 입력'!$H$2:$H$1001,0))&amp;"")</f>
        <v/>
      </c>
      <c r="H16" s="16">
        <f>IF(13&gt;$I$1,"",INDEX('근조 화환'!$B$2:$B$501,MATCH(13,'근조 화환'!$G$2:$G$501,0))&amp;"")</f>
        <v/>
      </c>
      <c r="I16" s="16">
        <f>IF(13&gt;$I$1,"",INDEX('근조 화환'!$C$2:$C$501,MATCH(13,'근조 화환'!$G$2:$G$501,0))&amp;"")</f>
        <v/>
      </c>
      <c r="J16" s="16">
        <f>IF(13&gt;$I$1,"",INDEX('근조 화환'!$D$2:$D$501,MATCH(13,'근조 화환'!$G$2:$G$501,0))&amp;"")</f>
        <v/>
      </c>
      <c r="K16" s="16">
        <f>IF(13&gt;$I$1,"",INDEX('근조 화환'!$E$2:$E$501,MATCH(13,'근조 화환'!$G$2:$G$501,0))&amp;"")</f>
        <v/>
      </c>
    </row>
    <row r="17">
      <c r="A17" s="16">
        <f>IF(14&lt;=$F$1,14,"")</f>
        <v/>
      </c>
      <c r="B17" s="16">
        <f>IF($A17="","",INDEX('부의금 입력'!$B$2:$B$1001,MATCH($A17,'부의금 입력'!$H$2:$H$1001,0))&amp;"")</f>
        <v/>
      </c>
      <c r="C17" s="18">
        <f>IF($A17="","",INDEX('부의금 입력'!$C$2:$C$1001,MATCH($A17,'부의금 입력'!$H$2:$H$1001,0)))</f>
        <v/>
      </c>
      <c r="D17" s="16">
        <f>IF($A17="","",INDEX('부의금 입력'!$D$2:$D$1001,MATCH($A17,'부의금 입력'!$H$2:$H$1001,0))&amp;"")</f>
        <v/>
      </c>
      <c r="E17" s="16">
        <f>IF($A17="","",INDEX('부의금 입력'!$E$2:$E$1001,MATCH($A17,'부의금 입력'!$H$2:$H$1001,0))&amp;"")</f>
        <v/>
      </c>
      <c r="H17" s="16">
        <f>IF(14&gt;$I$1,"",INDEX('근조 화환'!$B$2:$B$501,MATCH(14,'근조 화환'!$G$2:$G$501,0))&amp;"")</f>
        <v/>
      </c>
      <c r="I17" s="16">
        <f>IF(14&gt;$I$1,"",INDEX('근조 화환'!$C$2:$C$501,MATCH(14,'근조 화환'!$G$2:$G$501,0))&amp;"")</f>
        <v/>
      </c>
      <c r="J17" s="16">
        <f>IF(14&gt;$I$1,"",INDEX('근조 화환'!$D$2:$D$501,MATCH(14,'근조 화환'!$G$2:$G$501,0))&amp;"")</f>
        <v/>
      </c>
      <c r="K17" s="16">
        <f>IF(14&gt;$I$1,"",INDEX('근조 화환'!$E$2:$E$501,MATCH(14,'근조 화환'!$G$2:$G$501,0))&amp;"")</f>
        <v/>
      </c>
    </row>
    <row r="18">
      <c r="A18" s="16">
        <f>IF(15&lt;=$F$1,15,"")</f>
        <v/>
      </c>
      <c r="B18" s="16">
        <f>IF($A18="","",INDEX('부의금 입력'!$B$2:$B$1001,MATCH($A18,'부의금 입력'!$H$2:$H$1001,0))&amp;"")</f>
        <v/>
      </c>
      <c r="C18" s="18">
        <f>IF($A18="","",INDEX('부의금 입력'!$C$2:$C$1001,MATCH($A18,'부의금 입력'!$H$2:$H$1001,0)))</f>
        <v/>
      </c>
      <c r="D18" s="16">
        <f>IF($A18="","",INDEX('부의금 입력'!$D$2:$D$1001,MATCH($A18,'부의금 입력'!$H$2:$H$1001,0))&amp;"")</f>
        <v/>
      </c>
      <c r="E18" s="16">
        <f>IF($A18="","",INDEX('부의금 입력'!$E$2:$E$1001,MATCH($A18,'부의금 입력'!$H$2:$H$1001,0))&amp;"")</f>
        <v/>
      </c>
      <c r="H18" s="16">
        <f>IF(15&gt;$I$1,"",INDEX('근조 화환'!$B$2:$B$501,MATCH(15,'근조 화환'!$G$2:$G$501,0))&amp;"")</f>
        <v/>
      </c>
      <c r="I18" s="16">
        <f>IF(15&gt;$I$1,"",INDEX('근조 화환'!$C$2:$C$501,MATCH(15,'근조 화환'!$G$2:$G$501,0))&amp;"")</f>
        <v/>
      </c>
      <c r="J18" s="16">
        <f>IF(15&gt;$I$1,"",INDEX('근조 화환'!$D$2:$D$501,MATCH(15,'근조 화환'!$G$2:$G$501,0))&amp;"")</f>
        <v/>
      </c>
      <c r="K18" s="16">
        <f>IF(15&gt;$I$1,"",INDEX('근조 화환'!$E$2:$E$501,MATCH(15,'근조 화환'!$G$2:$G$501,0))&amp;"")</f>
        <v/>
      </c>
    </row>
    <row r="19">
      <c r="A19" s="16">
        <f>IF(16&lt;=$F$1,16,"")</f>
        <v/>
      </c>
      <c r="B19" s="16">
        <f>IF($A19="","",INDEX('부의금 입력'!$B$2:$B$1001,MATCH($A19,'부의금 입력'!$H$2:$H$1001,0))&amp;"")</f>
        <v/>
      </c>
      <c r="C19" s="18">
        <f>IF($A19="","",INDEX('부의금 입력'!$C$2:$C$1001,MATCH($A19,'부의금 입력'!$H$2:$H$1001,0)))</f>
        <v/>
      </c>
      <c r="D19" s="16">
        <f>IF($A19="","",INDEX('부의금 입력'!$D$2:$D$1001,MATCH($A19,'부의금 입력'!$H$2:$H$1001,0))&amp;"")</f>
        <v/>
      </c>
      <c r="E19" s="16">
        <f>IF($A19="","",INDEX('부의금 입력'!$E$2:$E$1001,MATCH($A19,'부의금 입력'!$H$2:$H$1001,0))&amp;"")</f>
        <v/>
      </c>
      <c r="H19" s="16">
        <f>IF(16&gt;$I$1,"",INDEX('근조 화환'!$B$2:$B$501,MATCH(16,'근조 화환'!$G$2:$G$501,0))&amp;"")</f>
        <v/>
      </c>
      <c r="I19" s="16">
        <f>IF(16&gt;$I$1,"",INDEX('근조 화환'!$C$2:$C$501,MATCH(16,'근조 화환'!$G$2:$G$501,0))&amp;"")</f>
        <v/>
      </c>
      <c r="J19" s="16">
        <f>IF(16&gt;$I$1,"",INDEX('근조 화환'!$D$2:$D$501,MATCH(16,'근조 화환'!$G$2:$G$501,0))&amp;"")</f>
        <v/>
      </c>
      <c r="K19" s="16">
        <f>IF(16&gt;$I$1,"",INDEX('근조 화환'!$E$2:$E$501,MATCH(16,'근조 화환'!$G$2:$G$501,0))&amp;"")</f>
        <v/>
      </c>
    </row>
    <row r="20">
      <c r="A20" s="16">
        <f>IF(17&lt;=$F$1,17,"")</f>
        <v/>
      </c>
      <c r="B20" s="16">
        <f>IF($A20="","",INDEX('부의금 입력'!$B$2:$B$1001,MATCH($A20,'부의금 입력'!$H$2:$H$1001,0))&amp;"")</f>
        <v/>
      </c>
      <c r="C20" s="18">
        <f>IF($A20="","",INDEX('부의금 입력'!$C$2:$C$1001,MATCH($A20,'부의금 입력'!$H$2:$H$1001,0)))</f>
        <v/>
      </c>
      <c r="D20" s="16">
        <f>IF($A20="","",INDEX('부의금 입력'!$D$2:$D$1001,MATCH($A20,'부의금 입력'!$H$2:$H$1001,0))&amp;"")</f>
        <v/>
      </c>
      <c r="E20" s="16">
        <f>IF($A20="","",INDEX('부의금 입력'!$E$2:$E$1001,MATCH($A20,'부의금 입력'!$H$2:$H$1001,0))&amp;"")</f>
        <v/>
      </c>
      <c r="H20" s="16">
        <f>IF(17&gt;$I$1,"",INDEX('근조 화환'!$B$2:$B$501,MATCH(17,'근조 화환'!$G$2:$G$501,0))&amp;"")</f>
        <v/>
      </c>
      <c r="I20" s="16">
        <f>IF(17&gt;$I$1,"",INDEX('근조 화환'!$C$2:$C$501,MATCH(17,'근조 화환'!$G$2:$G$501,0))&amp;"")</f>
        <v/>
      </c>
      <c r="J20" s="16">
        <f>IF(17&gt;$I$1,"",INDEX('근조 화환'!$D$2:$D$501,MATCH(17,'근조 화환'!$G$2:$G$501,0))&amp;"")</f>
        <v/>
      </c>
      <c r="K20" s="16">
        <f>IF(17&gt;$I$1,"",INDEX('근조 화환'!$E$2:$E$501,MATCH(17,'근조 화환'!$G$2:$G$501,0))&amp;"")</f>
        <v/>
      </c>
    </row>
    <row r="21">
      <c r="A21" s="16">
        <f>IF(18&lt;=$F$1,18,"")</f>
        <v/>
      </c>
      <c r="B21" s="16">
        <f>IF($A21="","",INDEX('부의금 입력'!$B$2:$B$1001,MATCH($A21,'부의금 입력'!$H$2:$H$1001,0))&amp;"")</f>
        <v/>
      </c>
      <c r="C21" s="18">
        <f>IF($A21="","",INDEX('부의금 입력'!$C$2:$C$1001,MATCH($A21,'부의금 입력'!$H$2:$H$1001,0)))</f>
        <v/>
      </c>
      <c r="D21" s="16">
        <f>IF($A21="","",INDEX('부의금 입력'!$D$2:$D$1001,MATCH($A21,'부의금 입력'!$H$2:$H$1001,0))&amp;"")</f>
        <v/>
      </c>
      <c r="E21" s="16">
        <f>IF($A21="","",INDEX('부의금 입력'!$E$2:$E$1001,MATCH($A21,'부의금 입력'!$H$2:$H$1001,0))&amp;"")</f>
        <v/>
      </c>
      <c r="H21" s="16">
        <f>IF(18&gt;$I$1,"",INDEX('근조 화환'!$B$2:$B$501,MATCH(18,'근조 화환'!$G$2:$G$501,0))&amp;"")</f>
        <v/>
      </c>
      <c r="I21" s="16">
        <f>IF(18&gt;$I$1,"",INDEX('근조 화환'!$C$2:$C$501,MATCH(18,'근조 화환'!$G$2:$G$501,0))&amp;"")</f>
        <v/>
      </c>
      <c r="J21" s="16">
        <f>IF(18&gt;$I$1,"",INDEX('근조 화환'!$D$2:$D$501,MATCH(18,'근조 화환'!$G$2:$G$501,0))&amp;"")</f>
        <v/>
      </c>
      <c r="K21" s="16">
        <f>IF(18&gt;$I$1,"",INDEX('근조 화환'!$E$2:$E$501,MATCH(18,'근조 화환'!$G$2:$G$501,0))&amp;"")</f>
        <v/>
      </c>
    </row>
    <row r="22">
      <c r="A22" s="16">
        <f>IF(19&lt;=$F$1,19,"")</f>
        <v/>
      </c>
      <c r="B22" s="16">
        <f>IF($A22="","",INDEX('부의금 입력'!$B$2:$B$1001,MATCH($A22,'부의금 입력'!$H$2:$H$1001,0))&amp;"")</f>
        <v/>
      </c>
      <c r="C22" s="18">
        <f>IF($A22="","",INDEX('부의금 입력'!$C$2:$C$1001,MATCH($A22,'부의금 입력'!$H$2:$H$1001,0)))</f>
        <v/>
      </c>
      <c r="D22" s="16">
        <f>IF($A22="","",INDEX('부의금 입력'!$D$2:$D$1001,MATCH($A22,'부의금 입력'!$H$2:$H$1001,0))&amp;"")</f>
        <v/>
      </c>
      <c r="E22" s="16">
        <f>IF($A22="","",INDEX('부의금 입력'!$E$2:$E$1001,MATCH($A22,'부의금 입력'!$H$2:$H$1001,0))&amp;"")</f>
        <v/>
      </c>
      <c r="H22" s="16">
        <f>IF(19&gt;$I$1,"",INDEX('근조 화환'!$B$2:$B$501,MATCH(19,'근조 화환'!$G$2:$G$501,0))&amp;"")</f>
        <v/>
      </c>
      <c r="I22" s="16">
        <f>IF(19&gt;$I$1,"",INDEX('근조 화환'!$C$2:$C$501,MATCH(19,'근조 화환'!$G$2:$G$501,0))&amp;"")</f>
        <v/>
      </c>
      <c r="J22" s="16">
        <f>IF(19&gt;$I$1,"",INDEX('근조 화환'!$D$2:$D$501,MATCH(19,'근조 화환'!$G$2:$G$501,0))&amp;"")</f>
        <v/>
      </c>
      <c r="K22" s="16">
        <f>IF(19&gt;$I$1,"",INDEX('근조 화환'!$E$2:$E$501,MATCH(19,'근조 화환'!$G$2:$G$501,0))&amp;"")</f>
        <v/>
      </c>
    </row>
    <row r="23">
      <c r="A23" s="16">
        <f>IF(20&lt;=$F$1,20,"")</f>
        <v/>
      </c>
      <c r="B23" s="16">
        <f>IF($A23="","",INDEX('부의금 입력'!$B$2:$B$1001,MATCH($A23,'부의금 입력'!$H$2:$H$1001,0))&amp;"")</f>
        <v/>
      </c>
      <c r="C23" s="18">
        <f>IF($A23="","",INDEX('부의금 입력'!$C$2:$C$1001,MATCH($A23,'부의금 입력'!$H$2:$H$1001,0)))</f>
        <v/>
      </c>
      <c r="D23" s="16">
        <f>IF($A23="","",INDEX('부의금 입력'!$D$2:$D$1001,MATCH($A23,'부의금 입력'!$H$2:$H$1001,0))&amp;"")</f>
        <v/>
      </c>
      <c r="E23" s="16">
        <f>IF($A23="","",INDEX('부의금 입력'!$E$2:$E$1001,MATCH($A23,'부의금 입력'!$H$2:$H$1001,0))&amp;"")</f>
        <v/>
      </c>
      <c r="H23" s="16">
        <f>IF(20&gt;$I$1,"",INDEX('근조 화환'!$B$2:$B$501,MATCH(20,'근조 화환'!$G$2:$G$501,0))&amp;"")</f>
        <v/>
      </c>
      <c r="I23" s="16">
        <f>IF(20&gt;$I$1,"",INDEX('근조 화환'!$C$2:$C$501,MATCH(20,'근조 화환'!$G$2:$G$501,0))&amp;"")</f>
        <v/>
      </c>
      <c r="J23" s="16">
        <f>IF(20&gt;$I$1,"",INDEX('근조 화환'!$D$2:$D$501,MATCH(20,'근조 화환'!$G$2:$G$501,0))&amp;"")</f>
        <v/>
      </c>
      <c r="K23" s="16">
        <f>IF(20&gt;$I$1,"",INDEX('근조 화환'!$E$2:$E$501,MATCH(20,'근조 화환'!$G$2:$G$501,0))&amp;"")</f>
        <v/>
      </c>
    </row>
    <row r="24">
      <c r="A24" s="16">
        <f>IF(21&lt;=$F$1,21,"")</f>
        <v/>
      </c>
      <c r="B24" s="16">
        <f>IF($A24="","",INDEX('부의금 입력'!$B$2:$B$1001,MATCH($A24,'부의금 입력'!$H$2:$H$1001,0))&amp;"")</f>
        <v/>
      </c>
      <c r="C24" s="18">
        <f>IF($A24="","",INDEX('부의금 입력'!$C$2:$C$1001,MATCH($A24,'부의금 입력'!$H$2:$H$1001,0)))</f>
        <v/>
      </c>
      <c r="D24" s="16">
        <f>IF($A24="","",INDEX('부의금 입력'!$D$2:$D$1001,MATCH($A24,'부의금 입력'!$H$2:$H$1001,0))&amp;"")</f>
        <v/>
      </c>
      <c r="E24" s="16">
        <f>IF($A24="","",INDEX('부의금 입력'!$E$2:$E$1001,MATCH($A24,'부의금 입력'!$H$2:$H$1001,0))&amp;"")</f>
        <v/>
      </c>
      <c r="H24" s="16">
        <f>IF(21&gt;$I$1,"",INDEX('근조 화환'!$B$2:$B$501,MATCH(21,'근조 화환'!$G$2:$G$501,0))&amp;"")</f>
        <v/>
      </c>
      <c r="I24" s="16">
        <f>IF(21&gt;$I$1,"",INDEX('근조 화환'!$C$2:$C$501,MATCH(21,'근조 화환'!$G$2:$G$501,0))&amp;"")</f>
        <v/>
      </c>
      <c r="J24" s="16">
        <f>IF(21&gt;$I$1,"",INDEX('근조 화환'!$D$2:$D$501,MATCH(21,'근조 화환'!$G$2:$G$501,0))&amp;"")</f>
        <v/>
      </c>
      <c r="K24" s="16">
        <f>IF(21&gt;$I$1,"",INDEX('근조 화환'!$E$2:$E$501,MATCH(21,'근조 화환'!$G$2:$G$501,0))&amp;"")</f>
        <v/>
      </c>
    </row>
    <row r="25">
      <c r="A25" s="16">
        <f>IF(22&lt;=$F$1,22,"")</f>
        <v/>
      </c>
      <c r="B25" s="16">
        <f>IF($A25="","",INDEX('부의금 입력'!$B$2:$B$1001,MATCH($A25,'부의금 입력'!$H$2:$H$1001,0))&amp;"")</f>
        <v/>
      </c>
      <c r="C25" s="18">
        <f>IF($A25="","",INDEX('부의금 입력'!$C$2:$C$1001,MATCH($A25,'부의금 입력'!$H$2:$H$1001,0)))</f>
        <v/>
      </c>
      <c r="D25" s="16">
        <f>IF($A25="","",INDEX('부의금 입력'!$D$2:$D$1001,MATCH($A25,'부의금 입력'!$H$2:$H$1001,0))&amp;"")</f>
        <v/>
      </c>
      <c r="E25" s="16">
        <f>IF($A25="","",INDEX('부의금 입력'!$E$2:$E$1001,MATCH($A25,'부의금 입력'!$H$2:$H$1001,0))&amp;"")</f>
        <v/>
      </c>
      <c r="H25" s="16">
        <f>IF(22&gt;$I$1,"",INDEX('근조 화환'!$B$2:$B$501,MATCH(22,'근조 화환'!$G$2:$G$501,0))&amp;"")</f>
        <v/>
      </c>
      <c r="I25" s="16">
        <f>IF(22&gt;$I$1,"",INDEX('근조 화환'!$C$2:$C$501,MATCH(22,'근조 화환'!$G$2:$G$501,0))&amp;"")</f>
        <v/>
      </c>
      <c r="J25" s="16">
        <f>IF(22&gt;$I$1,"",INDEX('근조 화환'!$D$2:$D$501,MATCH(22,'근조 화환'!$G$2:$G$501,0))&amp;"")</f>
        <v/>
      </c>
      <c r="K25" s="16">
        <f>IF(22&gt;$I$1,"",INDEX('근조 화환'!$E$2:$E$501,MATCH(22,'근조 화환'!$G$2:$G$501,0))&amp;"")</f>
        <v/>
      </c>
    </row>
    <row r="26">
      <c r="A26" s="16">
        <f>IF(23&lt;=$F$1,23,"")</f>
        <v/>
      </c>
      <c r="B26" s="16">
        <f>IF($A26="","",INDEX('부의금 입력'!$B$2:$B$1001,MATCH($A26,'부의금 입력'!$H$2:$H$1001,0))&amp;"")</f>
        <v/>
      </c>
      <c r="C26" s="18">
        <f>IF($A26="","",INDEX('부의금 입력'!$C$2:$C$1001,MATCH($A26,'부의금 입력'!$H$2:$H$1001,0)))</f>
        <v/>
      </c>
      <c r="D26" s="16">
        <f>IF($A26="","",INDEX('부의금 입력'!$D$2:$D$1001,MATCH($A26,'부의금 입력'!$H$2:$H$1001,0))&amp;"")</f>
        <v/>
      </c>
      <c r="E26" s="16">
        <f>IF($A26="","",INDEX('부의금 입력'!$E$2:$E$1001,MATCH($A26,'부의금 입력'!$H$2:$H$1001,0))&amp;"")</f>
        <v/>
      </c>
      <c r="H26" s="16">
        <f>IF(23&gt;$I$1,"",INDEX('근조 화환'!$B$2:$B$501,MATCH(23,'근조 화환'!$G$2:$G$501,0))&amp;"")</f>
        <v/>
      </c>
      <c r="I26" s="16">
        <f>IF(23&gt;$I$1,"",INDEX('근조 화환'!$C$2:$C$501,MATCH(23,'근조 화환'!$G$2:$G$501,0))&amp;"")</f>
        <v/>
      </c>
      <c r="J26" s="16">
        <f>IF(23&gt;$I$1,"",INDEX('근조 화환'!$D$2:$D$501,MATCH(23,'근조 화환'!$G$2:$G$501,0))&amp;"")</f>
        <v/>
      </c>
      <c r="K26" s="16">
        <f>IF(23&gt;$I$1,"",INDEX('근조 화환'!$E$2:$E$501,MATCH(23,'근조 화환'!$G$2:$G$501,0))&amp;"")</f>
        <v/>
      </c>
    </row>
    <row r="27">
      <c r="A27" s="16">
        <f>IF(24&lt;=$F$1,24,"")</f>
        <v/>
      </c>
      <c r="B27" s="16">
        <f>IF($A27="","",INDEX('부의금 입력'!$B$2:$B$1001,MATCH($A27,'부의금 입력'!$H$2:$H$1001,0))&amp;"")</f>
        <v/>
      </c>
      <c r="C27" s="18">
        <f>IF($A27="","",INDEX('부의금 입력'!$C$2:$C$1001,MATCH($A27,'부의금 입력'!$H$2:$H$1001,0)))</f>
        <v/>
      </c>
      <c r="D27" s="16">
        <f>IF($A27="","",INDEX('부의금 입력'!$D$2:$D$1001,MATCH($A27,'부의금 입력'!$H$2:$H$1001,0))&amp;"")</f>
        <v/>
      </c>
      <c r="E27" s="16">
        <f>IF($A27="","",INDEX('부의금 입력'!$E$2:$E$1001,MATCH($A27,'부의금 입력'!$H$2:$H$1001,0))&amp;"")</f>
        <v/>
      </c>
      <c r="H27" s="16">
        <f>IF(24&gt;$I$1,"",INDEX('근조 화환'!$B$2:$B$501,MATCH(24,'근조 화환'!$G$2:$G$501,0))&amp;"")</f>
        <v/>
      </c>
      <c r="I27" s="16">
        <f>IF(24&gt;$I$1,"",INDEX('근조 화환'!$C$2:$C$501,MATCH(24,'근조 화환'!$G$2:$G$501,0))&amp;"")</f>
        <v/>
      </c>
      <c r="J27" s="16">
        <f>IF(24&gt;$I$1,"",INDEX('근조 화환'!$D$2:$D$501,MATCH(24,'근조 화환'!$G$2:$G$501,0))&amp;"")</f>
        <v/>
      </c>
      <c r="K27" s="16">
        <f>IF(24&gt;$I$1,"",INDEX('근조 화환'!$E$2:$E$501,MATCH(24,'근조 화환'!$G$2:$G$501,0))&amp;"")</f>
        <v/>
      </c>
    </row>
    <row r="28">
      <c r="A28" s="16">
        <f>IF(25&lt;=$F$1,25,"")</f>
        <v/>
      </c>
      <c r="B28" s="16">
        <f>IF($A28="","",INDEX('부의금 입력'!$B$2:$B$1001,MATCH($A28,'부의금 입력'!$H$2:$H$1001,0))&amp;"")</f>
        <v/>
      </c>
      <c r="C28" s="18">
        <f>IF($A28="","",INDEX('부의금 입력'!$C$2:$C$1001,MATCH($A28,'부의금 입력'!$H$2:$H$1001,0)))</f>
        <v/>
      </c>
      <c r="D28" s="16">
        <f>IF($A28="","",INDEX('부의금 입력'!$D$2:$D$1001,MATCH($A28,'부의금 입력'!$H$2:$H$1001,0))&amp;"")</f>
        <v/>
      </c>
      <c r="E28" s="16">
        <f>IF($A28="","",INDEX('부의금 입력'!$E$2:$E$1001,MATCH($A28,'부의금 입력'!$H$2:$H$1001,0))&amp;"")</f>
        <v/>
      </c>
      <c r="H28" s="16">
        <f>IF(25&gt;$I$1,"",INDEX('근조 화환'!$B$2:$B$501,MATCH(25,'근조 화환'!$G$2:$G$501,0))&amp;"")</f>
        <v/>
      </c>
      <c r="I28" s="16">
        <f>IF(25&gt;$I$1,"",INDEX('근조 화환'!$C$2:$C$501,MATCH(25,'근조 화환'!$G$2:$G$501,0))&amp;"")</f>
        <v/>
      </c>
      <c r="J28" s="16">
        <f>IF(25&gt;$I$1,"",INDEX('근조 화환'!$D$2:$D$501,MATCH(25,'근조 화환'!$G$2:$G$501,0))&amp;"")</f>
        <v/>
      </c>
      <c r="K28" s="16">
        <f>IF(25&gt;$I$1,"",INDEX('근조 화환'!$E$2:$E$501,MATCH(25,'근조 화환'!$G$2:$G$501,0))&amp;"")</f>
        <v/>
      </c>
    </row>
    <row r="29">
      <c r="A29" s="16">
        <f>IF(26&lt;=$F$1,26,"")</f>
        <v/>
      </c>
      <c r="B29" s="16">
        <f>IF($A29="","",INDEX('부의금 입력'!$B$2:$B$1001,MATCH($A29,'부의금 입력'!$H$2:$H$1001,0))&amp;"")</f>
        <v/>
      </c>
      <c r="C29" s="18">
        <f>IF($A29="","",INDEX('부의금 입력'!$C$2:$C$1001,MATCH($A29,'부의금 입력'!$H$2:$H$1001,0)))</f>
        <v/>
      </c>
      <c r="D29" s="16">
        <f>IF($A29="","",INDEX('부의금 입력'!$D$2:$D$1001,MATCH($A29,'부의금 입력'!$H$2:$H$1001,0))&amp;"")</f>
        <v/>
      </c>
      <c r="E29" s="16">
        <f>IF($A29="","",INDEX('부의금 입력'!$E$2:$E$1001,MATCH($A29,'부의금 입력'!$H$2:$H$1001,0))&amp;"")</f>
        <v/>
      </c>
      <c r="H29" s="16">
        <f>IF(26&gt;$I$1,"",INDEX('근조 화환'!$B$2:$B$501,MATCH(26,'근조 화환'!$G$2:$G$501,0))&amp;"")</f>
        <v/>
      </c>
      <c r="I29" s="16">
        <f>IF(26&gt;$I$1,"",INDEX('근조 화환'!$C$2:$C$501,MATCH(26,'근조 화환'!$G$2:$G$501,0))&amp;"")</f>
        <v/>
      </c>
      <c r="J29" s="16">
        <f>IF(26&gt;$I$1,"",INDEX('근조 화환'!$D$2:$D$501,MATCH(26,'근조 화환'!$G$2:$G$501,0))&amp;"")</f>
        <v/>
      </c>
      <c r="K29" s="16">
        <f>IF(26&gt;$I$1,"",INDEX('근조 화환'!$E$2:$E$501,MATCH(26,'근조 화환'!$G$2:$G$501,0))&amp;"")</f>
        <v/>
      </c>
    </row>
    <row r="30">
      <c r="A30" s="16">
        <f>IF(27&lt;=$F$1,27,"")</f>
        <v/>
      </c>
      <c r="B30" s="16">
        <f>IF($A30="","",INDEX('부의금 입력'!$B$2:$B$1001,MATCH($A30,'부의금 입력'!$H$2:$H$1001,0))&amp;"")</f>
        <v/>
      </c>
      <c r="C30" s="18">
        <f>IF($A30="","",INDEX('부의금 입력'!$C$2:$C$1001,MATCH($A30,'부의금 입력'!$H$2:$H$1001,0)))</f>
        <v/>
      </c>
      <c r="D30" s="16">
        <f>IF($A30="","",INDEX('부의금 입력'!$D$2:$D$1001,MATCH($A30,'부의금 입력'!$H$2:$H$1001,0))&amp;"")</f>
        <v/>
      </c>
      <c r="E30" s="16">
        <f>IF($A30="","",INDEX('부의금 입력'!$E$2:$E$1001,MATCH($A30,'부의금 입력'!$H$2:$H$1001,0))&amp;"")</f>
        <v/>
      </c>
      <c r="H30" s="16">
        <f>IF(27&gt;$I$1,"",INDEX('근조 화환'!$B$2:$B$501,MATCH(27,'근조 화환'!$G$2:$G$501,0))&amp;"")</f>
        <v/>
      </c>
      <c r="I30" s="16">
        <f>IF(27&gt;$I$1,"",INDEX('근조 화환'!$C$2:$C$501,MATCH(27,'근조 화환'!$G$2:$G$501,0))&amp;"")</f>
        <v/>
      </c>
      <c r="J30" s="16">
        <f>IF(27&gt;$I$1,"",INDEX('근조 화환'!$D$2:$D$501,MATCH(27,'근조 화환'!$G$2:$G$501,0))&amp;"")</f>
        <v/>
      </c>
      <c r="K30" s="16">
        <f>IF(27&gt;$I$1,"",INDEX('근조 화환'!$E$2:$E$501,MATCH(27,'근조 화환'!$G$2:$G$501,0))&amp;"")</f>
        <v/>
      </c>
    </row>
    <row r="31">
      <c r="A31" s="16">
        <f>IF(28&lt;=$F$1,28,"")</f>
        <v/>
      </c>
      <c r="B31" s="16">
        <f>IF($A31="","",INDEX('부의금 입력'!$B$2:$B$1001,MATCH($A31,'부의금 입력'!$H$2:$H$1001,0))&amp;"")</f>
        <v/>
      </c>
      <c r="C31" s="18">
        <f>IF($A31="","",INDEX('부의금 입력'!$C$2:$C$1001,MATCH($A31,'부의금 입력'!$H$2:$H$1001,0)))</f>
        <v/>
      </c>
      <c r="D31" s="16">
        <f>IF($A31="","",INDEX('부의금 입력'!$D$2:$D$1001,MATCH($A31,'부의금 입력'!$H$2:$H$1001,0))&amp;"")</f>
        <v/>
      </c>
      <c r="E31" s="16">
        <f>IF($A31="","",INDEX('부의금 입력'!$E$2:$E$1001,MATCH($A31,'부의금 입력'!$H$2:$H$1001,0))&amp;"")</f>
        <v/>
      </c>
      <c r="H31" s="16">
        <f>IF(28&gt;$I$1,"",INDEX('근조 화환'!$B$2:$B$501,MATCH(28,'근조 화환'!$G$2:$G$501,0))&amp;"")</f>
        <v/>
      </c>
      <c r="I31" s="16">
        <f>IF(28&gt;$I$1,"",INDEX('근조 화환'!$C$2:$C$501,MATCH(28,'근조 화환'!$G$2:$G$501,0))&amp;"")</f>
        <v/>
      </c>
      <c r="J31" s="16">
        <f>IF(28&gt;$I$1,"",INDEX('근조 화환'!$D$2:$D$501,MATCH(28,'근조 화환'!$G$2:$G$501,0))&amp;"")</f>
        <v/>
      </c>
      <c r="K31" s="16">
        <f>IF(28&gt;$I$1,"",INDEX('근조 화환'!$E$2:$E$501,MATCH(28,'근조 화환'!$G$2:$G$501,0))&amp;"")</f>
        <v/>
      </c>
    </row>
    <row r="32">
      <c r="A32" s="16">
        <f>IF(29&lt;=$F$1,29,"")</f>
        <v/>
      </c>
      <c r="B32" s="16">
        <f>IF($A32="","",INDEX('부의금 입력'!$B$2:$B$1001,MATCH($A32,'부의금 입력'!$H$2:$H$1001,0))&amp;"")</f>
        <v/>
      </c>
      <c r="C32" s="18">
        <f>IF($A32="","",INDEX('부의금 입력'!$C$2:$C$1001,MATCH($A32,'부의금 입력'!$H$2:$H$1001,0)))</f>
        <v/>
      </c>
      <c r="D32" s="16">
        <f>IF($A32="","",INDEX('부의금 입력'!$D$2:$D$1001,MATCH($A32,'부의금 입력'!$H$2:$H$1001,0))&amp;"")</f>
        <v/>
      </c>
      <c r="E32" s="16">
        <f>IF($A32="","",INDEX('부의금 입력'!$E$2:$E$1001,MATCH($A32,'부의금 입력'!$H$2:$H$1001,0))&amp;"")</f>
        <v/>
      </c>
      <c r="H32" s="16">
        <f>IF(29&gt;$I$1,"",INDEX('근조 화환'!$B$2:$B$501,MATCH(29,'근조 화환'!$G$2:$G$501,0))&amp;"")</f>
        <v/>
      </c>
      <c r="I32" s="16">
        <f>IF(29&gt;$I$1,"",INDEX('근조 화환'!$C$2:$C$501,MATCH(29,'근조 화환'!$G$2:$G$501,0))&amp;"")</f>
        <v/>
      </c>
      <c r="J32" s="16">
        <f>IF(29&gt;$I$1,"",INDEX('근조 화환'!$D$2:$D$501,MATCH(29,'근조 화환'!$G$2:$G$501,0))&amp;"")</f>
        <v/>
      </c>
      <c r="K32" s="16">
        <f>IF(29&gt;$I$1,"",INDEX('근조 화환'!$E$2:$E$501,MATCH(29,'근조 화환'!$G$2:$G$501,0))&amp;"")</f>
        <v/>
      </c>
    </row>
    <row r="33">
      <c r="A33" s="16">
        <f>IF(30&lt;=$F$1,30,"")</f>
        <v/>
      </c>
      <c r="B33" s="16">
        <f>IF($A33="","",INDEX('부의금 입력'!$B$2:$B$1001,MATCH($A33,'부의금 입력'!$H$2:$H$1001,0))&amp;"")</f>
        <v/>
      </c>
      <c r="C33" s="18">
        <f>IF($A33="","",INDEX('부의금 입력'!$C$2:$C$1001,MATCH($A33,'부의금 입력'!$H$2:$H$1001,0)))</f>
        <v/>
      </c>
      <c r="D33" s="16">
        <f>IF($A33="","",INDEX('부의금 입력'!$D$2:$D$1001,MATCH($A33,'부의금 입력'!$H$2:$H$1001,0))&amp;"")</f>
        <v/>
      </c>
      <c r="E33" s="16">
        <f>IF($A33="","",INDEX('부의금 입력'!$E$2:$E$1001,MATCH($A33,'부의금 입력'!$H$2:$H$1001,0))&amp;"")</f>
        <v/>
      </c>
      <c r="H33" s="16">
        <f>IF(30&gt;$I$1,"",INDEX('근조 화환'!$B$2:$B$501,MATCH(30,'근조 화환'!$G$2:$G$501,0))&amp;"")</f>
        <v/>
      </c>
      <c r="I33" s="16">
        <f>IF(30&gt;$I$1,"",INDEX('근조 화환'!$C$2:$C$501,MATCH(30,'근조 화환'!$G$2:$G$501,0))&amp;"")</f>
        <v/>
      </c>
      <c r="J33" s="16">
        <f>IF(30&gt;$I$1,"",INDEX('근조 화환'!$D$2:$D$501,MATCH(30,'근조 화환'!$G$2:$G$501,0))&amp;"")</f>
        <v/>
      </c>
      <c r="K33" s="16">
        <f>IF(30&gt;$I$1,"",INDEX('근조 화환'!$E$2:$E$501,MATCH(30,'근조 화환'!$G$2:$G$501,0))&amp;"")</f>
        <v/>
      </c>
    </row>
    <row r="34">
      <c r="A34" s="16">
        <f>IF(31&lt;=$F$1,31,"")</f>
        <v/>
      </c>
      <c r="B34" s="16">
        <f>IF($A34="","",INDEX('부의금 입력'!$B$2:$B$1001,MATCH($A34,'부의금 입력'!$H$2:$H$1001,0))&amp;"")</f>
        <v/>
      </c>
      <c r="C34" s="18">
        <f>IF($A34="","",INDEX('부의금 입력'!$C$2:$C$1001,MATCH($A34,'부의금 입력'!$H$2:$H$1001,0)))</f>
        <v/>
      </c>
      <c r="D34" s="16">
        <f>IF($A34="","",INDEX('부의금 입력'!$D$2:$D$1001,MATCH($A34,'부의금 입력'!$H$2:$H$1001,0))&amp;"")</f>
        <v/>
      </c>
      <c r="E34" s="16">
        <f>IF($A34="","",INDEX('부의금 입력'!$E$2:$E$1001,MATCH($A34,'부의금 입력'!$H$2:$H$1001,0))&amp;"")</f>
        <v/>
      </c>
      <c r="H34" s="16">
        <f>IF(31&gt;$I$1,"",INDEX('근조 화환'!$B$2:$B$501,MATCH(31,'근조 화환'!$G$2:$G$501,0))&amp;"")</f>
        <v/>
      </c>
      <c r="I34" s="16">
        <f>IF(31&gt;$I$1,"",INDEX('근조 화환'!$C$2:$C$501,MATCH(31,'근조 화환'!$G$2:$G$501,0))&amp;"")</f>
        <v/>
      </c>
      <c r="J34" s="16">
        <f>IF(31&gt;$I$1,"",INDEX('근조 화환'!$D$2:$D$501,MATCH(31,'근조 화환'!$G$2:$G$501,0))&amp;"")</f>
        <v/>
      </c>
      <c r="K34" s="16">
        <f>IF(31&gt;$I$1,"",INDEX('근조 화환'!$E$2:$E$501,MATCH(31,'근조 화환'!$G$2:$G$501,0))&amp;"")</f>
        <v/>
      </c>
    </row>
    <row r="35">
      <c r="A35" s="16">
        <f>IF(32&lt;=$F$1,32,"")</f>
        <v/>
      </c>
      <c r="B35" s="16">
        <f>IF($A35="","",INDEX('부의금 입력'!$B$2:$B$1001,MATCH($A35,'부의금 입력'!$H$2:$H$1001,0))&amp;"")</f>
        <v/>
      </c>
      <c r="C35" s="18">
        <f>IF($A35="","",INDEX('부의금 입력'!$C$2:$C$1001,MATCH($A35,'부의금 입력'!$H$2:$H$1001,0)))</f>
        <v/>
      </c>
      <c r="D35" s="16">
        <f>IF($A35="","",INDEX('부의금 입력'!$D$2:$D$1001,MATCH($A35,'부의금 입력'!$H$2:$H$1001,0))&amp;"")</f>
        <v/>
      </c>
      <c r="E35" s="16">
        <f>IF($A35="","",INDEX('부의금 입력'!$E$2:$E$1001,MATCH($A35,'부의금 입력'!$H$2:$H$1001,0))&amp;"")</f>
        <v/>
      </c>
      <c r="H35" s="16">
        <f>IF(32&gt;$I$1,"",INDEX('근조 화환'!$B$2:$B$501,MATCH(32,'근조 화환'!$G$2:$G$501,0))&amp;"")</f>
        <v/>
      </c>
      <c r="I35" s="16">
        <f>IF(32&gt;$I$1,"",INDEX('근조 화환'!$C$2:$C$501,MATCH(32,'근조 화환'!$G$2:$G$501,0))&amp;"")</f>
        <v/>
      </c>
      <c r="J35" s="16">
        <f>IF(32&gt;$I$1,"",INDEX('근조 화환'!$D$2:$D$501,MATCH(32,'근조 화환'!$G$2:$G$501,0))&amp;"")</f>
        <v/>
      </c>
      <c r="K35" s="16">
        <f>IF(32&gt;$I$1,"",INDEX('근조 화환'!$E$2:$E$501,MATCH(32,'근조 화환'!$G$2:$G$501,0))&amp;"")</f>
        <v/>
      </c>
    </row>
    <row r="36">
      <c r="A36" s="16">
        <f>IF(33&lt;=$F$1,33,"")</f>
        <v/>
      </c>
      <c r="B36" s="16">
        <f>IF($A36="","",INDEX('부의금 입력'!$B$2:$B$1001,MATCH($A36,'부의금 입력'!$H$2:$H$1001,0))&amp;"")</f>
        <v/>
      </c>
      <c r="C36" s="18">
        <f>IF($A36="","",INDEX('부의금 입력'!$C$2:$C$1001,MATCH($A36,'부의금 입력'!$H$2:$H$1001,0)))</f>
        <v/>
      </c>
      <c r="D36" s="16">
        <f>IF($A36="","",INDEX('부의금 입력'!$D$2:$D$1001,MATCH($A36,'부의금 입력'!$H$2:$H$1001,0))&amp;"")</f>
        <v/>
      </c>
      <c r="E36" s="16">
        <f>IF($A36="","",INDEX('부의금 입력'!$E$2:$E$1001,MATCH($A36,'부의금 입력'!$H$2:$H$1001,0))&amp;"")</f>
        <v/>
      </c>
      <c r="H36" s="16">
        <f>IF(33&gt;$I$1,"",INDEX('근조 화환'!$B$2:$B$501,MATCH(33,'근조 화환'!$G$2:$G$501,0))&amp;"")</f>
        <v/>
      </c>
      <c r="I36" s="16">
        <f>IF(33&gt;$I$1,"",INDEX('근조 화환'!$C$2:$C$501,MATCH(33,'근조 화환'!$G$2:$G$501,0))&amp;"")</f>
        <v/>
      </c>
      <c r="J36" s="16">
        <f>IF(33&gt;$I$1,"",INDEX('근조 화환'!$D$2:$D$501,MATCH(33,'근조 화환'!$G$2:$G$501,0))&amp;"")</f>
        <v/>
      </c>
      <c r="K36" s="16">
        <f>IF(33&gt;$I$1,"",INDEX('근조 화환'!$E$2:$E$501,MATCH(33,'근조 화환'!$G$2:$G$501,0))&amp;"")</f>
        <v/>
      </c>
    </row>
    <row r="37">
      <c r="A37" s="16">
        <f>IF(34&lt;=$F$1,34,"")</f>
        <v/>
      </c>
      <c r="B37" s="16">
        <f>IF($A37="","",INDEX('부의금 입력'!$B$2:$B$1001,MATCH($A37,'부의금 입력'!$H$2:$H$1001,0))&amp;"")</f>
        <v/>
      </c>
      <c r="C37" s="18">
        <f>IF($A37="","",INDEX('부의금 입력'!$C$2:$C$1001,MATCH($A37,'부의금 입력'!$H$2:$H$1001,0)))</f>
        <v/>
      </c>
      <c r="D37" s="16">
        <f>IF($A37="","",INDEX('부의금 입력'!$D$2:$D$1001,MATCH($A37,'부의금 입력'!$H$2:$H$1001,0))&amp;"")</f>
        <v/>
      </c>
      <c r="E37" s="16">
        <f>IF($A37="","",INDEX('부의금 입력'!$E$2:$E$1001,MATCH($A37,'부의금 입력'!$H$2:$H$1001,0))&amp;"")</f>
        <v/>
      </c>
      <c r="H37" s="16">
        <f>IF(34&gt;$I$1,"",INDEX('근조 화환'!$B$2:$B$501,MATCH(34,'근조 화환'!$G$2:$G$501,0))&amp;"")</f>
        <v/>
      </c>
      <c r="I37" s="16">
        <f>IF(34&gt;$I$1,"",INDEX('근조 화환'!$C$2:$C$501,MATCH(34,'근조 화환'!$G$2:$G$501,0))&amp;"")</f>
        <v/>
      </c>
      <c r="J37" s="16">
        <f>IF(34&gt;$I$1,"",INDEX('근조 화환'!$D$2:$D$501,MATCH(34,'근조 화환'!$G$2:$G$501,0))&amp;"")</f>
        <v/>
      </c>
      <c r="K37" s="16">
        <f>IF(34&gt;$I$1,"",INDEX('근조 화환'!$E$2:$E$501,MATCH(34,'근조 화환'!$G$2:$G$501,0))&amp;"")</f>
        <v/>
      </c>
    </row>
    <row r="38">
      <c r="A38" s="16">
        <f>IF(35&lt;=$F$1,35,"")</f>
        <v/>
      </c>
      <c r="B38" s="16">
        <f>IF($A38="","",INDEX('부의금 입력'!$B$2:$B$1001,MATCH($A38,'부의금 입력'!$H$2:$H$1001,0))&amp;"")</f>
        <v/>
      </c>
      <c r="C38" s="18">
        <f>IF($A38="","",INDEX('부의금 입력'!$C$2:$C$1001,MATCH($A38,'부의금 입력'!$H$2:$H$1001,0)))</f>
        <v/>
      </c>
      <c r="D38" s="16">
        <f>IF($A38="","",INDEX('부의금 입력'!$D$2:$D$1001,MATCH($A38,'부의금 입력'!$H$2:$H$1001,0))&amp;"")</f>
        <v/>
      </c>
      <c r="E38" s="16">
        <f>IF($A38="","",INDEX('부의금 입력'!$E$2:$E$1001,MATCH($A38,'부의금 입력'!$H$2:$H$1001,0))&amp;"")</f>
        <v/>
      </c>
      <c r="H38" s="16">
        <f>IF(35&gt;$I$1,"",INDEX('근조 화환'!$B$2:$B$501,MATCH(35,'근조 화환'!$G$2:$G$501,0))&amp;"")</f>
        <v/>
      </c>
      <c r="I38" s="16">
        <f>IF(35&gt;$I$1,"",INDEX('근조 화환'!$C$2:$C$501,MATCH(35,'근조 화환'!$G$2:$G$501,0))&amp;"")</f>
        <v/>
      </c>
      <c r="J38" s="16">
        <f>IF(35&gt;$I$1,"",INDEX('근조 화환'!$D$2:$D$501,MATCH(35,'근조 화환'!$G$2:$G$501,0))&amp;"")</f>
        <v/>
      </c>
      <c r="K38" s="16">
        <f>IF(35&gt;$I$1,"",INDEX('근조 화환'!$E$2:$E$501,MATCH(35,'근조 화환'!$G$2:$G$501,0))&amp;"")</f>
        <v/>
      </c>
    </row>
    <row r="39">
      <c r="A39" s="16">
        <f>IF(36&lt;=$F$1,36,"")</f>
        <v/>
      </c>
      <c r="B39" s="16">
        <f>IF($A39="","",INDEX('부의금 입력'!$B$2:$B$1001,MATCH($A39,'부의금 입력'!$H$2:$H$1001,0))&amp;"")</f>
        <v/>
      </c>
      <c r="C39" s="18">
        <f>IF($A39="","",INDEX('부의금 입력'!$C$2:$C$1001,MATCH($A39,'부의금 입력'!$H$2:$H$1001,0)))</f>
        <v/>
      </c>
      <c r="D39" s="16">
        <f>IF($A39="","",INDEX('부의금 입력'!$D$2:$D$1001,MATCH($A39,'부의금 입력'!$H$2:$H$1001,0))&amp;"")</f>
        <v/>
      </c>
      <c r="E39" s="16">
        <f>IF($A39="","",INDEX('부의금 입력'!$E$2:$E$1001,MATCH($A39,'부의금 입력'!$H$2:$H$1001,0))&amp;"")</f>
        <v/>
      </c>
      <c r="H39" s="16">
        <f>IF(36&gt;$I$1,"",INDEX('근조 화환'!$B$2:$B$501,MATCH(36,'근조 화환'!$G$2:$G$501,0))&amp;"")</f>
        <v/>
      </c>
      <c r="I39" s="16">
        <f>IF(36&gt;$I$1,"",INDEX('근조 화환'!$C$2:$C$501,MATCH(36,'근조 화환'!$G$2:$G$501,0))&amp;"")</f>
        <v/>
      </c>
      <c r="J39" s="16">
        <f>IF(36&gt;$I$1,"",INDEX('근조 화환'!$D$2:$D$501,MATCH(36,'근조 화환'!$G$2:$G$501,0))&amp;"")</f>
        <v/>
      </c>
      <c r="K39" s="16">
        <f>IF(36&gt;$I$1,"",INDEX('근조 화환'!$E$2:$E$501,MATCH(36,'근조 화환'!$G$2:$G$501,0))&amp;"")</f>
        <v/>
      </c>
    </row>
    <row r="40">
      <c r="A40" s="16">
        <f>IF(37&lt;=$F$1,37,"")</f>
        <v/>
      </c>
      <c r="B40" s="16">
        <f>IF($A40="","",INDEX('부의금 입력'!$B$2:$B$1001,MATCH($A40,'부의금 입력'!$H$2:$H$1001,0))&amp;"")</f>
        <v/>
      </c>
      <c r="C40" s="18">
        <f>IF($A40="","",INDEX('부의금 입력'!$C$2:$C$1001,MATCH($A40,'부의금 입력'!$H$2:$H$1001,0)))</f>
        <v/>
      </c>
      <c r="D40" s="16">
        <f>IF($A40="","",INDEX('부의금 입력'!$D$2:$D$1001,MATCH($A40,'부의금 입력'!$H$2:$H$1001,0))&amp;"")</f>
        <v/>
      </c>
      <c r="E40" s="16">
        <f>IF($A40="","",INDEX('부의금 입력'!$E$2:$E$1001,MATCH($A40,'부의금 입력'!$H$2:$H$1001,0))&amp;"")</f>
        <v/>
      </c>
      <c r="H40" s="16">
        <f>IF(37&gt;$I$1,"",INDEX('근조 화환'!$B$2:$B$501,MATCH(37,'근조 화환'!$G$2:$G$501,0))&amp;"")</f>
        <v/>
      </c>
      <c r="I40" s="16">
        <f>IF(37&gt;$I$1,"",INDEX('근조 화환'!$C$2:$C$501,MATCH(37,'근조 화환'!$G$2:$G$501,0))&amp;"")</f>
        <v/>
      </c>
      <c r="J40" s="16">
        <f>IF(37&gt;$I$1,"",INDEX('근조 화환'!$D$2:$D$501,MATCH(37,'근조 화환'!$G$2:$G$501,0))&amp;"")</f>
        <v/>
      </c>
      <c r="K40" s="16">
        <f>IF(37&gt;$I$1,"",INDEX('근조 화환'!$E$2:$E$501,MATCH(37,'근조 화환'!$G$2:$G$501,0))&amp;"")</f>
        <v/>
      </c>
    </row>
    <row r="41">
      <c r="A41" s="16">
        <f>IF(38&lt;=$F$1,38,"")</f>
        <v/>
      </c>
      <c r="B41" s="16">
        <f>IF($A41="","",INDEX('부의금 입력'!$B$2:$B$1001,MATCH($A41,'부의금 입력'!$H$2:$H$1001,0))&amp;"")</f>
        <v/>
      </c>
      <c r="C41" s="18">
        <f>IF($A41="","",INDEX('부의금 입력'!$C$2:$C$1001,MATCH($A41,'부의금 입력'!$H$2:$H$1001,0)))</f>
        <v/>
      </c>
      <c r="D41" s="16">
        <f>IF($A41="","",INDEX('부의금 입력'!$D$2:$D$1001,MATCH($A41,'부의금 입력'!$H$2:$H$1001,0))&amp;"")</f>
        <v/>
      </c>
      <c r="E41" s="16">
        <f>IF($A41="","",INDEX('부의금 입력'!$E$2:$E$1001,MATCH($A41,'부의금 입력'!$H$2:$H$1001,0))&amp;"")</f>
        <v/>
      </c>
      <c r="H41" s="16">
        <f>IF(38&gt;$I$1,"",INDEX('근조 화환'!$B$2:$B$501,MATCH(38,'근조 화환'!$G$2:$G$501,0))&amp;"")</f>
        <v/>
      </c>
      <c r="I41" s="16">
        <f>IF(38&gt;$I$1,"",INDEX('근조 화환'!$C$2:$C$501,MATCH(38,'근조 화환'!$G$2:$G$501,0))&amp;"")</f>
        <v/>
      </c>
      <c r="J41" s="16">
        <f>IF(38&gt;$I$1,"",INDEX('근조 화환'!$D$2:$D$501,MATCH(38,'근조 화환'!$G$2:$G$501,0))&amp;"")</f>
        <v/>
      </c>
      <c r="K41" s="16">
        <f>IF(38&gt;$I$1,"",INDEX('근조 화환'!$E$2:$E$501,MATCH(38,'근조 화환'!$G$2:$G$501,0))&amp;"")</f>
        <v/>
      </c>
    </row>
    <row r="42">
      <c r="A42" s="16">
        <f>IF(39&lt;=$F$1,39,"")</f>
        <v/>
      </c>
      <c r="B42" s="16">
        <f>IF($A42="","",INDEX('부의금 입력'!$B$2:$B$1001,MATCH($A42,'부의금 입력'!$H$2:$H$1001,0))&amp;"")</f>
        <v/>
      </c>
      <c r="C42" s="18">
        <f>IF($A42="","",INDEX('부의금 입력'!$C$2:$C$1001,MATCH($A42,'부의금 입력'!$H$2:$H$1001,0)))</f>
        <v/>
      </c>
      <c r="D42" s="16">
        <f>IF($A42="","",INDEX('부의금 입력'!$D$2:$D$1001,MATCH($A42,'부의금 입력'!$H$2:$H$1001,0))&amp;"")</f>
        <v/>
      </c>
      <c r="E42" s="16">
        <f>IF($A42="","",INDEX('부의금 입력'!$E$2:$E$1001,MATCH($A42,'부의금 입력'!$H$2:$H$1001,0))&amp;"")</f>
        <v/>
      </c>
      <c r="H42" s="16">
        <f>IF(39&gt;$I$1,"",INDEX('근조 화환'!$B$2:$B$501,MATCH(39,'근조 화환'!$G$2:$G$501,0))&amp;"")</f>
        <v/>
      </c>
      <c r="I42" s="16">
        <f>IF(39&gt;$I$1,"",INDEX('근조 화환'!$C$2:$C$501,MATCH(39,'근조 화환'!$G$2:$G$501,0))&amp;"")</f>
        <v/>
      </c>
      <c r="J42" s="16">
        <f>IF(39&gt;$I$1,"",INDEX('근조 화환'!$D$2:$D$501,MATCH(39,'근조 화환'!$G$2:$G$501,0))&amp;"")</f>
        <v/>
      </c>
      <c r="K42" s="16">
        <f>IF(39&gt;$I$1,"",INDEX('근조 화환'!$E$2:$E$501,MATCH(39,'근조 화환'!$G$2:$G$501,0))&amp;"")</f>
        <v/>
      </c>
    </row>
    <row r="43">
      <c r="A43" s="16">
        <f>IF(40&lt;=$F$1,40,"")</f>
        <v/>
      </c>
      <c r="B43" s="16">
        <f>IF($A43="","",INDEX('부의금 입력'!$B$2:$B$1001,MATCH($A43,'부의금 입력'!$H$2:$H$1001,0))&amp;"")</f>
        <v/>
      </c>
      <c r="C43" s="18">
        <f>IF($A43="","",INDEX('부의금 입력'!$C$2:$C$1001,MATCH($A43,'부의금 입력'!$H$2:$H$1001,0)))</f>
        <v/>
      </c>
      <c r="D43" s="16">
        <f>IF($A43="","",INDEX('부의금 입력'!$D$2:$D$1001,MATCH($A43,'부의금 입력'!$H$2:$H$1001,0))&amp;"")</f>
        <v/>
      </c>
      <c r="E43" s="16">
        <f>IF($A43="","",INDEX('부의금 입력'!$E$2:$E$1001,MATCH($A43,'부의금 입력'!$H$2:$H$1001,0))&amp;"")</f>
        <v/>
      </c>
      <c r="H43" s="16">
        <f>IF(40&gt;$I$1,"",INDEX('근조 화환'!$B$2:$B$501,MATCH(40,'근조 화환'!$G$2:$G$501,0))&amp;"")</f>
        <v/>
      </c>
      <c r="I43" s="16">
        <f>IF(40&gt;$I$1,"",INDEX('근조 화환'!$C$2:$C$501,MATCH(40,'근조 화환'!$G$2:$G$501,0))&amp;"")</f>
        <v/>
      </c>
      <c r="J43" s="16">
        <f>IF(40&gt;$I$1,"",INDEX('근조 화환'!$D$2:$D$501,MATCH(40,'근조 화환'!$G$2:$G$501,0))&amp;"")</f>
        <v/>
      </c>
      <c r="K43" s="16">
        <f>IF(40&gt;$I$1,"",INDEX('근조 화환'!$E$2:$E$501,MATCH(40,'근조 화환'!$G$2:$G$501,0))&amp;"")</f>
        <v/>
      </c>
    </row>
    <row r="44">
      <c r="A44" s="16">
        <f>IF(41&lt;=$F$1,41,"")</f>
        <v/>
      </c>
      <c r="B44" s="16">
        <f>IF($A44="","",INDEX('부의금 입력'!$B$2:$B$1001,MATCH($A44,'부의금 입력'!$H$2:$H$1001,0))&amp;"")</f>
        <v/>
      </c>
      <c r="C44" s="18">
        <f>IF($A44="","",INDEX('부의금 입력'!$C$2:$C$1001,MATCH($A44,'부의금 입력'!$H$2:$H$1001,0)))</f>
        <v/>
      </c>
      <c r="D44" s="16">
        <f>IF($A44="","",INDEX('부의금 입력'!$D$2:$D$1001,MATCH($A44,'부의금 입력'!$H$2:$H$1001,0))&amp;"")</f>
        <v/>
      </c>
      <c r="E44" s="16">
        <f>IF($A44="","",INDEX('부의금 입력'!$E$2:$E$1001,MATCH($A44,'부의금 입력'!$H$2:$H$1001,0))&amp;"")</f>
        <v/>
      </c>
      <c r="H44" s="16">
        <f>IF(41&gt;$I$1,"",INDEX('근조 화환'!$B$2:$B$501,MATCH(41,'근조 화환'!$G$2:$G$501,0))&amp;"")</f>
        <v/>
      </c>
      <c r="I44" s="16">
        <f>IF(41&gt;$I$1,"",INDEX('근조 화환'!$C$2:$C$501,MATCH(41,'근조 화환'!$G$2:$G$501,0))&amp;"")</f>
        <v/>
      </c>
      <c r="J44" s="16">
        <f>IF(41&gt;$I$1,"",INDEX('근조 화환'!$D$2:$D$501,MATCH(41,'근조 화환'!$G$2:$G$501,0))&amp;"")</f>
        <v/>
      </c>
      <c r="K44" s="16">
        <f>IF(41&gt;$I$1,"",INDEX('근조 화환'!$E$2:$E$501,MATCH(41,'근조 화환'!$G$2:$G$501,0))&amp;"")</f>
        <v/>
      </c>
    </row>
    <row r="45">
      <c r="A45" s="16">
        <f>IF(42&lt;=$F$1,42,"")</f>
        <v/>
      </c>
      <c r="B45" s="16">
        <f>IF($A45="","",INDEX('부의금 입력'!$B$2:$B$1001,MATCH($A45,'부의금 입력'!$H$2:$H$1001,0))&amp;"")</f>
        <v/>
      </c>
      <c r="C45" s="18">
        <f>IF($A45="","",INDEX('부의금 입력'!$C$2:$C$1001,MATCH($A45,'부의금 입력'!$H$2:$H$1001,0)))</f>
        <v/>
      </c>
      <c r="D45" s="16">
        <f>IF($A45="","",INDEX('부의금 입력'!$D$2:$D$1001,MATCH($A45,'부의금 입력'!$H$2:$H$1001,0))&amp;"")</f>
        <v/>
      </c>
      <c r="E45" s="16">
        <f>IF($A45="","",INDEX('부의금 입력'!$E$2:$E$1001,MATCH($A45,'부의금 입력'!$H$2:$H$1001,0))&amp;"")</f>
        <v/>
      </c>
      <c r="H45" s="16">
        <f>IF(42&gt;$I$1,"",INDEX('근조 화환'!$B$2:$B$501,MATCH(42,'근조 화환'!$G$2:$G$501,0))&amp;"")</f>
        <v/>
      </c>
      <c r="I45" s="16">
        <f>IF(42&gt;$I$1,"",INDEX('근조 화환'!$C$2:$C$501,MATCH(42,'근조 화환'!$G$2:$G$501,0))&amp;"")</f>
        <v/>
      </c>
      <c r="J45" s="16">
        <f>IF(42&gt;$I$1,"",INDEX('근조 화환'!$D$2:$D$501,MATCH(42,'근조 화환'!$G$2:$G$501,0))&amp;"")</f>
        <v/>
      </c>
      <c r="K45" s="16">
        <f>IF(42&gt;$I$1,"",INDEX('근조 화환'!$E$2:$E$501,MATCH(42,'근조 화환'!$G$2:$G$501,0))&amp;"")</f>
        <v/>
      </c>
    </row>
    <row r="46">
      <c r="A46" s="16">
        <f>IF(43&lt;=$F$1,43,"")</f>
        <v/>
      </c>
      <c r="B46" s="16">
        <f>IF($A46="","",INDEX('부의금 입력'!$B$2:$B$1001,MATCH($A46,'부의금 입력'!$H$2:$H$1001,0))&amp;"")</f>
        <v/>
      </c>
      <c r="C46" s="18">
        <f>IF($A46="","",INDEX('부의금 입력'!$C$2:$C$1001,MATCH($A46,'부의금 입력'!$H$2:$H$1001,0)))</f>
        <v/>
      </c>
      <c r="D46" s="16">
        <f>IF($A46="","",INDEX('부의금 입력'!$D$2:$D$1001,MATCH($A46,'부의금 입력'!$H$2:$H$1001,0))&amp;"")</f>
        <v/>
      </c>
      <c r="E46" s="16">
        <f>IF($A46="","",INDEX('부의금 입력'!$E$2:$E$1001,MATCH($A46,'부의금 입력'!$H$2:$H$1001,0))&amp;"")</f>
        <v/>
      </c>
      <c r="H46" s="16">
        <f>IF(43&gt;$I$1,"",INDEX('근조 화환'!$B$2:$B$501,MATCH(43,'근조 화환'!$G$2:$G$501,0))&amp;"")</f>
        <v/>
      </c>
      <c r="I46" s="16">
        <f>IF(43&gt;$I$1,"",INDEX('근조 화환'!$C$2:$C$501,MATCH(43,'근조 화환'!$G$2:$G$501,0))&amp;"")</f>
        <v/>
      </c>
      <c r="J46" s="16">
        <f>IF(43&gt;$I$1,"",INDEX('근조 화환'!$D$2:$D$501,MATCH(43,'근조 화환'!$G$2:$G$501,0))&amp;"")</f>
        <v/>
      </c>
      <c r="K46" s="16">
        <f>IF(43&gt;$I$1,"",INDEX('근조 화환'!$E$2:$E$501,MATCH(43,'근조 화환'!$G$2:$G$501,0))&amp;"")</f>
        <v/>
      </c>
    </row>
    <row r="47">
      <c r="A47" s="16">
        <f>IF(44&lt;=$F$1,44,"")</f>
        <v/>
      </c>
      <c r="B47" s="16">
        <f>IF($A47="","",INDEX('부의금 입력'!$B$2:$B$1001,MATCH($A47,'부의금 입력'!$H$2:$H$1001,0))&amp;"")</f>
        <v/>
      </c>
      <c r="C47" s="18">
        <f>IF($A47="","",INDEX('부의금 입력'!$C$2:$C$1001,MATCH($A47,'부의금 입력'!$H$2:$H$1001,0)))</f>
        <v/>
      </c>
      <c r="D47" s="16">
        <f>IF($A47="","",INDEX('부의금 입력'!$D$2:$D$1001,MATCH($A47,'부의금 입력'!$H$2:$H$1001,0))&amp;"")</f>
        <v/>
      </c>
      <c r="E47" s="16">
        <f>IF($A47="","",INDEX('부의금 입력'!$E$2:$E$1001,MATCH($A47,'부의금 입력'!$H$2:$H$1001,0))&amp;"")</f>
        <v/>
      </c>
      <c r="H47" s="16">
        <f>IF(44&gt;$I$1,"",INDEX('근조 화환'!$B$2:$B$501,MATCH(44,'근조 화환'!$G$2:$G$501,0))&amp;"")</f>
        <v/>
      </c>
      <c r="I47" s="16">
        <f>IF(44&gt;$I$1,"",INDEX('근조 화환'!$C$2:$C$501,MATCH(44,'근조 화환'!$G$2:$G$501,0))&amp;"")</f>
        <v/>
      </c>
      <c r="J47" s="16">
        <f>IF(44&gt;$I$1,"",INDEX('근조 화환'!$D$2:$D$501,MATCH(44,'근조 화환'!$G$2:$G$501,0))&amp;"")</f>
        <v/>
      </c>
      <c r="K47" s="16">
        <f>IF(44&gt;$I$1,"",INDEX('근조 화환'!$E$2:$E$501,MATCH(44,'근조 화환'!$G$2:$G$501,0))&amp;"")</f>
        <v/>
      </c>
    </row>
    <row r="48">
      <c r="A48" s="16">
        <f>IF(45&lt;=$F$1,45,"")</f>
        <v/>
      </c>
      <c r="B48" s="16">
        <f>IF($A48="","",INDEX('부의금 입력'!$B$2:$B$1001,MATCH($A48,'부의금 입력'!$H$2:$H$1001,0))&amp;"")</f>
        <v/>
      </c>
      <c r="C48" s="18">
        <f>IF($A48="","",INDEX('부의금 입력'!$C$2:$C$1001,MATCH($A48,'부의금 입력'!$H$2:$H$1001,0)))</f>
        <v/>
      </c>
      <c r="D48" s="16">
        <f>IF($A48="","",INDEX('부의금 입력'!$D$2:$D$1001,MATCH($A48,'부의금 입력'!$H$2:$H$1001,0))&amp;"")</f>
        <v/>
      </c>
      <c r="E48" s="16">
        <f>IF($A48="","",INDEX('부의금 입력'!$E$2:$E$1001,MATCH($A48,'부의금 입력'!$H$2:$H$1001,0))&amp;"")</f>
        <v/>
      </c>
      <c r="H48" s="16">
        <f>IF(45&gt;$I$1,"",INDEX('근조 화환'!$B$2:$B$501,MATCH(45,'근조 화환'!$G$2:$G$501,0))&amp;"")</f>
        <v/>
      </c>
      <c r="I48" s="16">
        <f>IF(45&gt;$I$1,"",INDEX('근조 화환'!$C$2:$C$501,MATCH(45,'근조 화환'!$G$2:$G$501,0))&amp;"")</f>
        <v/>
      </c>
      <c r="J48" s="16">
        <f>IF(45&gt;$I$1,"",INDEX('근조 화환'!$D$2:$D$501,MATCH(45,'근조 화환'!$G$2:$G$501,0))&amp;"")</f>
        <v/>
      </c>
      <c r="K48" s="16">
        <f>IF(45&gt;$I$1,"",INDEX('근조 화환'!$E$2:$E$501,MATCH(45,'근조 화환'!$G$2:$G$501,0))&amp;"")</f>
        <v/>
      </c>
    </row>
    <row r="49">
      <c r="A49" s="16">
        <f>IF(46&lt;=$F$1,46,"")</f>
        <v/>
      </c>
      <c r="B49" s="16">
        <f>IF($A49="","",INDEX('부의금 입력'!$B$2:$B$1001,MATCH($A49,'부의금 입력'!$H$2:$H$1001,0))&amp;"")</f>
        <v/>
      </c>
      <c r="C49" s="18">
        <f>IF($A49="","",INDEX('부의금 입력'!$C$2:$C$1001,MATCH($A49,'부의금 입력'!$H$2:$H$1001,0)))</f>
        <v/>
      </c>
      <c r="D49" s="16">
        <f>IF($A49="","",INDEX('부의금 입력'!$D$2:$D$1001,MATCH($A49,'부의금 입력'!$H$2:$H$1001,0))&amp;"")</f>
        <v/>
      </c>
      <c r="E49" s="16">
        <f>IF($A49="","",INDEX('부의금 입력'!$E$2:$E$1001,MATCH($A49,'부의금 입력'!$H$2:$H$1001,0))&amp;"")</f>
        <v/>
      </c>
      <c r="H49" s="16">
        <f>IF(46&gt;$I$1,"",INDEX('근조 화환'!$B$2:$B$501,MATCH(46,'근조 화환'!$G$2:$G$501,0))&amp;"")</f>
        <v/>
      </c>
      <c r="I49" s="16">
        <f>IF(46&gt;$I$1,"",INDEX('근조 화환'!$C$2:$C$501,MATCH(46,'근조 화환'!$G$2:$G$501,0))&amp;"")</f>
        <v/>
      </c>
      <c r="J49" s="16">
        <f>IF(46&gt;$I$1,"",INDEX('근조 화환'!$D$2:$D$501,MATCH(46,'근조 화환'!$G$2:$G$501,0))&amp;"")</f>
        <v/>
      </c>
      <c r="K49" s="16">
        <f>IF(46&gt;$I$1,"",INDEX('근조 화환'!$E$2:$E$501,MATCH(46,'근조 화환'!$G$2:$G$501,0))&amp;"")</f>
        <v/>
      </c>
    </row>
    <row r="50">
      <c r="A50" s="16">
        <f>IF(47&lt;=$F$1,47,"")</f>
        <v/>
      </c>
      <c r="B50" s="16">
        <f>IF($A50="","",INDEX('부의금 입력'!$B$2:$B$1001,MATCH($A50,'부의금 입력'!$H$2:$H$1001,0))&amp;"")</f>
        <v/>
      </c>
      <c r="C50" s="18">
        <f>IF($A50="","",INDEX('부의금 입력'!$C$2:$C$1001,MATCH($A50,'부의금 입력'!$H$2:$H$1001,0)))</f>
        <v/>
      </c>
      <c r="D50" s="16">
        <f>IF($A50="","",INDEX('부의금 입력'!$D$2:$D$1001,MATCH($A50,'부의금 입력'!$H$2:$H$1001,0))&amp;"")</f>
        <v/>
      </c>
      <c r="E50" s="16">
        <f>IF($A50="","",INDEX('부의금 입력'!$E$2:$E$1001,MATCH($A50,'부의금 입력'!$H$2:$H$1001,0))&amp;"")</f>
        <v/>
      </c>
      <c r="H50" s="16">
        <f>IF(47&gt;$I$1,"",INDEX('근조 화환'!$B$2:$B$501,MATCH(47,'근조 화환'!$G$2:$G$501,0))&amp;"")</f>
        <v/>
      </c>
      <c r="I50" s="16">
        <f>IF(47&gt;$I$1,"",INDEX('근조 화환'!$C$2:$C$501,MATCH(47,'근조 화환'!$G$2:$G$501,0))&amp;"")</f>
        <v/>
      </c>
      <c r="J50" s="16">
        <f>IF(47&gt;$I$1,"",INDEX('근조 화환'!$D$2:$D$501,MATCH(47,'근조 화환'!$G$2:$G$501,0))&amp;"")</f>
        <v/>
      </c>
      <c r="K50" s="16">
        <f>IF(47&gt;$I$1,"",INDEX('근조 화환'!$E$2:$E$501,MATCH(47,'근조 화환'!$G$2:$G$501,0))&amp;"")</f>
        <v/>
      </c>
    </row>
    <row r="51">
      <c r="A51" s="16">
        <f>IF(48&lt;=$F$1,48,"")</f>
        <v/>
      </c>
      <c r="B51" s="16">
        <f>IF($A51="","",INDEX('부의금 입력'!$B$2:$B$1001,MATCH($A51,'부의금 입력'!$H$2:$H$1001,0))&amp;"")</f>
        <v/>
      </c>
      <c r="C51" s="18">
        <f>IF($A51="","",INDEX('부의금 입력'!$C$2:$C$1001,MATCH($A51,'부의금 입력'!$H$2:$H$1001,0)))</f>
        <v/>
      </c>
      <c r="D51" s="16">
        <f>IF($A51="","",INDEX('부의금 입력'!$D$2:$D$1001,MATCH($A51,'부의금 입력'!$H$2:$H$1001,0))&amp;"")</f>
        <v/>
      </c>
      <c r="E51" s="16">
        <f>IF($A51="","",INDEX('부의금 입력'!$E$2:$E$1001,MATCH($A51,'부의금 입력'!$H$2:$H$1001,0))&amp;"")</f>
        <v/>
      </c>
      <c r="H51" s="16">
        <f>IF(48&gt;$I$1,"",INDEX('근조 화환'!$B$2:$B$501,MATCH(48,'근조 화환'!$G$2:$G$501,0))&amp;"")</f>
        <v/>
      </c>
      <c r="I51" s="16">
        <f>IF(48&gt;$I$1,"",INDEX('근조 화환'!$C$2:$C$501,MATCH(48,'근조 화환'!$G$2:$G$501,0))&amp;"")</f>
        <v/>
      </c>
      <c r="J51" s="16">
        <f>IF(48&gt;$I$1,"",INDEX('근조 화환'!$D$2:$D$501,MATCH(48,'근조 화환'!$G$2:$G$501,0))&amp;"")</f>
        <v/>
      </c>
      <c r="K51" s="16">
        <f>IF(48&gt;$I$1,"",INDEX('근조 화환'!$E$2:$E$501,MATCH(48,'근조 화환'!$G$2:$G$501,0))&amp;"")</f>
        <v/>
      </c>
    </row>
    <row r="52">
      <c r="A52" s="16">
        <f>IF(49&lt;=$F$1,49,"")</f>
        <v/>
      </c>
      <c r="B52" s="16">
        <f>IF($A52="","",INDEX('부의금 입력'!$B$2:$B$1001,MATCH($A52,'부의금 입력'!$H$2:$H$1001,0))&amp;"")</f>
        <v/>
      </c>
      <c r="C52" s="18">
        <f>IF($A52="","",INDEX('부의금 입력'!$C$2:$C$1001,MATCH($A52,'부의금 입력'!$H$2:$H$1001,0)))</f>
        <v/>
      </c>
      <c r="D52" s="16">
        <f>IF($A52="","",INDEX('부의금 입력'!$D$2:$D$1001,MATCH($A52,'부의금 입력'!$H$2:$H$1001,0))&amp;"")</f>
        <v/>
      </c>
      <c r="E52" s="16">
        <f>IF($A52="","",INDEX('부의금 입력'!$E$2:$E$1001,MATCH($A52,'부의금 입력'!$H$2:$H$1001,0))&amp;"")</f>
        <v/>
      </c>
      <c r="H52" s="16">
        <f>IF(49&gt;$I$1,"",INDEX('근조 화환'!$B$2:$B$501,MATCH(49,'근조 화환'!$G$2:$G$501,0))&amp;"")</f>
        <v/>
      </c>
      <c r="I52" s="16">
        <f>IF(49&gt;$I$1,"",INDEX('근조 화환'!$C$2:$C$501,MATCH(49,'근조 화환'!$G$2:$G$501,0))&amp;"")</f>
        <v/>
      </c>
      <c r="J52" s="16">
        <f>IF(49&gt;$I$1,"",INDEX('근조 화환'!$D$2:$D$501,MATCH(49,'근조 화환'!$G$2:$G$501,0))&amp;"")</f>
        <v/>
      </c>
      <c r="K52" s="16">
        <f>IF(49&gt;$I$1,"",INDEX('근조 화환'!$E$2:$E$501,MATCH(49,'근조 화환'!$G$2:$G$501,0))&amp;"")</f>
        <v/>
      </c>
    </row>
    <row r="53">
      <c r="A53" s="16">
        <f>IF(50&lt;=$F$1,50,"")</f>
        <v/>
      </c>
      <c r="B53" s="16">
        <f>IF($A53="","",INDEX('부의금 입력'!$B$2:$B$1001,MATCH($A53,'부의금 입력'!$H$2:$H$1001,0))&amp;"")</f>
        <v/>
      </c>
      <c r="C53" s="18">
        <f>IF($A53="","",INDEX('부의금 입력'!$C$2:$C$1001,MATCH($A53,'부의금 입력'!$H$2:$H$1001,0)))</f>
        <v/>
      </c>
      <c r="D53" s="16">
        <f>IF($A53="","",INDEX('부의금 입력'!$D$2:$D$1001,MATCH($A53,'부의금 입력'!$H$2:$H$1001,0))&amp;"")</f>
        <v/>
      </c>
      <c r="E53" s="16">
        <f>IF($A53="","",INDEX('부의금 입력'!$E$2:$E$1001,MATCH($A53,'부의금 입력'!$H$2:$H$1001,0))&amp;"")</f>
        <v/>
      </c>
      <c r="H53" s="16">
        <f>IF(50&gt;$I$1,"",INDEX('근조 화환'!$B$2:$B$501,MATCH(50,'근조 화환'!$G$2:$G$501,0))&amp;"")</f>
        <v/>
      </c>
      <c r="I53" s="16">
        <f>IF(50&gt;$I$1,"",INDEX('근조 화환'!$C$2:$C$501,MATCH(50,'근조 화환'!$G$2:$G$501,0))&amp;"")</f>
        <v/>
      </c>
      <c r="J53" s="16">
        <f>IF(50&gt;$I$1,"",INDEX('근조 화환'!$D$2:$D$501,MATCH(50,'근조 화환'!$G$2:$G$501,0))&amp;"")</f>
        <v/>
      </c>
      <c r="K53" s="16">
        <f>IF(50&gt;$I$1,"",INDEX('근조 화환'!$E$2:$E$501,MATCH(50,'근조 화환'!$G$2:$G$501,0))&amp;"")</f>
        <v/>
      </c>
    </row>
    <row r="54">
      <c r="A54" s="16">
        <f>IF(51&lt;=$F$1,51,"")</f>
        <v/>
      </c>
      <c r="B54" s="16">
        <f>IF($A54="","",INDEX('부의금 입력'!$B$2:$B$1001,MATCH($A54,'부의금 입력'!$H$2:$H$1001,0))&amp;"")</f>
        <v/>
      </c>
      <c r="C54" s="18">
        <f>IF($A54="","",INDEX('부의금 입력'!$C$2:$C$1001,MATCH($A54,'부의금 입력'!$H$2:$H$1001,0)))</f>
        <v/>
      </c>
      <c r="D54" s="16">
        <f>IF($A54="","",INDEX('부의금 입력'!$D$2:$D$1001,MATCH($A54,'부의금 입력'!$H$2:$H$1001,0))&amp;"")</f>
        <v/>
      </c>
      <c r="E54" s="16">
        <f>IF($A54="","",INDEX('부의금 입력'!$E$2:$E$1001,MATCH($A54,'부의금 입력'!$H$2:$H$1001,0))&amp;"")</f>
        <v/>
      </c>
      <c r="H54" s="16">
        <f>IF(51&gt;$I$1,"",INDEX('근조 화환'!$B$2:$B$501,MATCH(51,'근조 화환'!$G$2:$G$501,0))&amp;"")</f>
        <v/>
      </c>
      <c r="I54" s="16">
        <f>IF(51&gt;$I$1,"",INDEX('근조 화환'!$C$2:$C$501,MATCH(51,'근조 화환'!$G$2:$G$501,0))&amp;"")</f>
        <v/>
      </c>
      <c r="J54" s="16">
        <f>IF(51&gt;$I$1,"",INDEX('근조 화환'!$D$2:$D$501,MATCH(51,'근조 화환'!$G$2:$G$501,0))&amp;"")</f>
        <v/>
      </c>
      <c r="K54" s="16">
        <f>IF(51&gt;$I$1,"",INDEX('근조 화환'!$E$2:$E$501,MATCH(51,'근조 화환'!$G$2:$G$501,0))&amp;"")</f>
        <v/>
      </c>
    </row>
    <row r="55">
      <c r="A55" s="16">
        <f>IF(52&lt;=$F$1,52,"")</f>
        <v/>
      </c>
      <c r="B55" s="16">
        <f>IF($A55="","",INDEX('부의금 입력'!$B$2:$B$1001,MATCH($A55,'부의금 입력'!$H$2:$H$1001,0))&amp;"")</f>
        <v/>
      </c>
      <c r="C55" s="18">
        <f>IF($A55="","",INDEX('부의금 입력'!$C$2:$C$1001,MATCH($A55,'부의금 입력'!$H$2:$H$1001,0)))</f>
        <v/>
      </c>
      <c r="D55" s="16">
        <f>IF($A55="","",INDEX('부의금 입력'!$D$2:$D$1001,MATCH($A55,'부의금 입력'!$H$2:$H$1001,0))&amp;"")</f>
        <v/>
      </c>
      <c r="E55" s="16">
        <f>IF($A55="","",INDEX('부의금 입력'!$E$2:$E$1001,MATCH($A55,'부의금 입력'!$H$2:$H$1001,0))&amp;"")</f>
        <v/>
      </c>
      <c r="H55" s="16">
        <f>IF(52&gt;$I$1,"",INDEX('근조 화환'!$B$2:$B$501,MATCH(52,'근조 화환'!$G$2:$G$501,0))&amp;"")</f>
        <v/>
      </c>
      <c r="I55" s="16">
        <f>IF(52&gt;$I$1,"",INDEX('근조 화환'!$C$2:$C$501,MATCH(52,'근조 화환'!$G$2:$G$501,0))&amp;"")</f>
        <v/>
      </c>
      <c r="J55" s="16">
        <f>IF(52&gt;$I$1,"",INDEX('근조 화환'!$D$2:$D$501,MATCH(52,'근조 화환'!$G$2:$G$501,0))&amp;"")</f>
        <v/>
      </c>
      <c r="K55" s="16">
        <f>IF(52&gt;$I$1,"",INDEX('근조 화환'!$E$2:$E$501,MATCH(52,'근조 화환'!$G$2:$G$501,0))&amp;"")</f>
        <v/>
      </c>
    </row>
    <row r="56">
      <c r="A56" s="16">
        <f>IF(53&lt;=$F$1,53,"")</f>
        <v/>
      </c>
      <c r="B56" s="16">
        <f>IF($A56="","",INDEX('부의금 입력'!$B$2:$B$1001,MATCH($A56,'부의금 입력'!$H$2:$H$1001,0))&amp;"")</f>
        <v/>
      </c>
      <c r="C56" s="18">
        <f>IF($A56="","",INDEX('부의금 입력'!$C$2:$C$1001,MATCH($A56,'부의금 입력'!$H$2:$H$1001,0)))</f>
        <v/>
      </c>
      <c r="D56" s="16">
        <f>IF($A56="","",INDEX('부의금 입력'!$D$2:$D$1001,MATCH($A56,'부의금 입력'!$H$2:$H$1001,0))&amp;"")</f>
        <v/>
      </c>
      <c r="E56" s="16">
        <f>IF($A56="","",INDEX('부의금 입력'!$E$2:$E$1001,MATCH($A56,'부의금 입력'!$H$2:$H$1001,0))&amp;"")</f>
        <v/>
      </c>
      <c r="H56" s="16">
        <f>IF(53&gt;$I$1,"",INDEX('근조 화환'!$B$2:$B$501,MATCH(53,'근조 화환'!$G$2:$G$501,0))&amp;"")</f>
        <v/>
      </c>
      <c r="I56" s="16">
        <f>IF(53&gt;$I$1,"",INDEX('근조 화환'!$C$2:$C$501,MATCH(53,'근조 화환'!$G$2:$G$501,0))&amp;"")</f>
        <v/>
      </c>
      <c r="J56" s="16">
        <f>IF(53&gt;$I$1,"",INDEX('근조 화환'!$D$2:$D$501,MATCH(53,'근조 화환'!$G$2:$G$501,0))&amp;"")</f>
        <v/>
      </c>
      <c r="K56" s="16">
        <f>IF(53&gt;$I$1,"",INDEX('근조 화환'!$E$2:$E$501,MATCH(53,'근조 화환'!$G$2:$G$501,0))&amp;"")</f>
        <v/>
      </c>
    </row>
    <row r="57">
      <c r="A57" s="16">
        <f>IF(54&lt;=$F$1,54,"")</f>
        <v/>
      </c>
      <c r="B57" s="16">
        <f>IF($A57="","",INDEX('부의금 입력'!$B$2:$B$1001,MATCH($A57,'부의금 입력'!$H$2:$H$1001,0))&amp;"")</f>
        <v/>
      </c>
      <c r="C57" s="18">
        <f>IF($A57="","",INDEX('부의금 입력'!$C$2:$C$1001,MATCH($A57,'부의금 입력'!$H$2:$H$1001,0)))</f>
        <v/>
      </c>
      <c r="D57" s="16">
        <f>IF($A57="","",INDEX('부의금 입력'!$D$2:$D$1001,MATCH($A57,'부의금 입력'!$H$2:$H$1001,0))&amp;"")</f>
        <v/>
      </c>
      <c r="E57" s="16">
        <f>IF($A57="","",INDEX('부의금 입력'!$E$2:$E$1001,MATCH($A57,'부의금 입력'!$H$2:$H$1001,0))&amp;"")</f>
        <v/>
      </c>
      <c r="H57" s="16">
        <f>IF(54&gt;$I$1,"",INDEX('근조 화환'!$B$2:$B$501,MATCH(54,'근조 화환'!$G$2:$G$501,0))&amp;"")</f>
        <v/>
      </c>
      <c r="I57" s="16">
        <f>IF(54&gt;$I$1,"",INDEX('근조 화환'!$C$2:$C$501,MATCH(54,'근조 화환'!$G$2:$G$501,0))&amp;"")</f>
        <v/>
      </c>
      <c r="J57" s="16">
        <f>IF(54&gt;$I$1,"",INDEX('근조 화환'!$D$2:$D$501,MATCH(54,'근조 화환'!$G$2:$G$501,0))&amp;"")</f>
        <v/>
      </c>
      <c r="K57" s="16">
        <f>IF(54&gt;$I$1,"",INDEX('근조 화환'!$E$2:$E$501,MATCH(54,'근조 화환'!$G$2:$G$501,0))&amp;"")</f>
        <v/>
      </c>
    </row>
    <row r="58">
      <c r="A58" s="16">
        <f>IF(55&lt;=$F$1,55,"")</f>
        <v/>
      </c>
      <c r="B58" s="16">
        <f>IF($A58="","",INDEX('부의금 입력'!$B$2:$B$1001,MATCH($A58,'부의금 입력'!$H$2:$H$1001,0))&amp;"")</f>
        <v/>
      </c>
      <c r="C58" s="18">
        <f>IF($A58="","",INDEX('부의금 입력'!$C$2:$C$1001,MATCH($A58,'부의금 입력'!$H$2:$H$1001,0)))</f>
        <v/>
      </c>
      <c r="D58" s="16">
        <f>IF($A58="","",INDEX('부의금 입력'!$D$2:$D$1001,MATCH($A58,'부의금 입력'!$H$2:$H$1001,0))&amp;"")</f>
        <v/>
      </c>
      <c r="E58" s="16">
        <f>IF($A58="","",INDEX('부의금 입력'!$E$2:$E$1001,MATCH($A58,'부의금 입력'!$H$2:$H$1001,0))&amp;"")</f>
        <v/>
      </c>
      <c r="H58" s="16">
        <f>IF(55&gt;$I$1,"",INDEX('근조 화환'!$B$2:$B$501,MATCH(55,'근조 화환'!$G$2:$G$501,0))&amp;"")</f>
        <v/>
      </c>
      <c r="I58" s="16">
        <f>IF(55&gt;$I$1,"",INDEX('근조 화환'!$C$2:$C$501,MATCH(55,'근조 화환'!$G$2:$G$501,0))&amp;"")</f>
        <v/>
      </c>
      <c r="J58" s="16">
        <f>IF(55&gt;$I$1,"",INDEX('근조 화환'!$D$2:$D$501,MATCH(55,'근조 화환'!$G$2:$G$501,0))&amp;"")</f>
        <v/>
      </c>
      <c r="K58" s="16">
        <f>IF(55&gt;$I$1,"",INDEX('근조 화환'!$E$2:$E$501,MATCH(55,'근조 화환'!$G$2:$G$501,0))&amp;"")</f>
        <v/>
      </c>
    </row>
    <row r="59">
      <c r="A59" s="16">
        <f>IF(56&lt;=$F$1,56,"")</f>
        <v/>
      </c>
      <c r="B59" s="16">
        <f>IF($A59="","",INDEX('부의금 입력'!$B$2:$B$1001,MATCH($A59,'부의금 입력'!$H$2:$H$1001,0))&amp;"")</f>
        <v/>
      </c>
      <c r="C59" s="18">
        <f>IF($A59="","",INDEX('부의금 입력'!$C$2:$C$1001,MATCH($A59,'부의금 입력'!$H$2:$H$1001,0)))</f>
        <v/>
      </c>
      <c r="D59" s="16">
        <f>IF($A59="","",INDEX('부의금 입력'!$D$2:$D$1001,MATCH($A59,'부의금 입력'!$H$2:$H$1001,0))&amp;"")</f>
        <v/>
      </c>
      <c r="E59" s="16">
        <f>IF($A59="","",INDEX('부의금 입력'!$E$2:$E$1001,MATCH($A59,'부의금 입력'!$H$2:$H$1001,0))&amp;"")</f>
        <v/>
      </c>
      <c r="H59" s="16">
        <f>IF(56&gt;$I$1,"",INDEX('근조 화환'!$B$2:$B$501,MATCH(56,'근조 화환'!$G$2:$G$501,0))&amp;"")</f>
        <v/>
      </c>
      <c r="I59" s="16">
        <f>IF(56&gt;$I$1,"",INDEX('근조 화환'!$C$2:$C$501,MATCH(56,'근조 화환'!$G$2:$G$501,0))&amp;"")</f>
        <v/>
      </c>
      <c r="J59" s="16">
        <f>IF(56&gt;$I$1,"",INDEX('근조 화환'!$D$2:$D$501,MATCH(56,'근조 화환'!$G$2:$G$501,0))&amp;"")</f>
        <v/>
      </c>
      <c r="K59" s="16">
        <f>IF(56&gt;$I$1,"",INDEX('근조 화환'!$E$2:$E$501,MATCH(56,'근조 화환'!$G$2:$G$501,0))&amp;"")</f>
        <v/>
      </c>
    </row>
    <row r="60">
      <c r="A60" s="16">
        <f>IF(57&lt;=$F$1,57,"")</f>
        <v/>
      </c>
      <c r="B60" s="16">
        <f>IF($A60="","",INDEX('부의금 입력'!$B$2:$B$1001,MATCH($A60,'부의금 입력'!$H$2:$H$1001,0))&amp;"")</f>
        <v/>
      </c>
      <c r="C60" s="18">
        <f>IF($A60="","",INDEX('부의금 입력'!$C$2:$C$1001,MATCH($A60,'부의금 입력'!$H$2:$H$1001,0)))</f>
        <v/>
      </c>
      <c r="D60" s="16">
        <f>IF($A60="","",INDEX('부의금 입력'!$D$2:$D$1001,MATCH($A60,'부의금 입력'!$H$2:$H$1001,0))&amp;"")</f>
        <v/>
      </c>
      <c r="E60" s="16">
        <f>IF($A60="","",INDEX('부의금 입력'!$E$2:$E$1001,MATCH($A60,'부의금 입력'!$H$2:$H$1001,0))&amp;"")</f>
        <v/>
      </c>
      <c r="H60" s="16">
        <f>IF(57&gt;$I$1,"",INDEX('근조 화환'!$B$2:$B$501,MATCH(57,'근조 화환'!$G$2:$G$501,0))&amp;"")</f>
        <v/>
      </c>
      <c r="I60" s="16">
        <f>IF(57&gt;$I$1,"",INDEX('근조 화환'!$C$2:$C$501,MATCH(57,'근조 화환'!$G$2:$G$501,0))&amp;"")</f>
        <v/>
      </c>
      <c r="J60" s="16">
        <f>IF(57&gt;$I$1,"",INDEX('근조 화환'!$D$2:$D$501,MATCH(57,'근조 화환'!$G$2:$G$501,0))&amp;"")</f>
        <v/>
      </c>
      <c r="K60" s="16">
        <f>IF(57&gt;$I$1,"",INDEX('근조 화환'!$E$2:$E$501,MATCH(57,'근조 화환'!$G$2:$G$501,0))&amp;"")</f>
        <v/>
      </c>
    </row>
    <row r="61">
      <c r="A61" s="16">
        <f>IF(58&lt;=$F$1,58,"")</f>
        <v/>
      </c>
      <c r="B61" s="16">
        <f>IF($A61="","",INDEX('부의금 입력'!$B$2:$B$1001,MATCH($A61,'부의금 입력'!$H$2:$H$1001,0))&amp;"")</f>
        <v/>
      </c>
      <c r="C61" s="18">
        <f>IF($A61="","",INDEX('부의금 입력'!$C$2:$C$1001,MATCH($A61,'부의금 입력'!$H$2:$H$1001,0)))</f>
        <v/>
      </c>
      <c r="D61" s="16">
        <f>IF($A61="","",INDEX('부의금 입력'!$D$2:$D$1001,MATCH($A61,'부의금 입력'!$H$2:$H$1001,0))&amp;"")</f>
        <v/>
      </c>
      <c r="E61" s="16">
        <f>IF($A61="","",INDEX('부의금 입력'!$E$2:$E$1001,MATCH($A61,'부의금 입력'!$H$2:$H$1001,0))&amp;"")</f>
        <v/>
      </c>
      <c r="H61" s="16">
        <f>IF(58&gt;$I$1,"",INDEX('근조 화환'!$B$2:$B$501,MATCH(58,'근조 화환'!$G$2:$G$501,0))&amp;"")</f>
        <v/>
      </c>
      <c r="I61" s="16">
        <f>IF(58&gt;$I$1,"",INDEX('근조 화환'!$C$2:$C$501,MATCH(58,'근조 화환'!$G$2:$G$501,0))&amp;"")</f>
        <v/>
      </c>
      <c r="J61" s="16">
        <f>IF(58&gt;$I$1,"",INDEX('근조 화환'!$D$2:$D$501,MATCH(58,'근조 화환'!$G$2:$G$501,0))&amp;"")</f>
        <v/>
      </c>
      <c r="K61" s="16">
        <f>IF(58&gt;$I$1,"",INDEX('근조 화환'!$E$2:$E$501,MATCH(58,'근조 화환'!$G$2:$G$501,0))&amp;"")</f>
        <v/>
      </c>
    </row>
    <row r="62">
      <c r="A62" s="16">
        <f>IF(59&lt;=$F$1,59,"")</f>
        <v/>
      </c>
      <c r="B62" s="16">
        <f>IF($A62="","",INDEX('부의금 입력'!$B$2:$B$1001,MATCH($A62,'부의금 입력'!$H$2:$H$1001,0))&amp;"")</f>
        <v/>
      </c>
      <c r="C62" s="18">
        <f>IF($A62="","",INDEX('부의금 입력'!$C$2:$C$1001,MATCH($A62,'부의금 입력'!$H$2:$H$1001,0)))</f>
        <v/>
      </c>
      <c r="D62" s="16">
        <f>IF($A62="","",INDEX('부의금 입력'!$D$2:$D$1001,MATCH($A62,'부의금 입력'!$H$2:$H$1001,0))&amp;"")</f>
        <v/>
      </c>
      <c r="E62" s="16">
        <f>IF($A62="","",INDEX('부의금 입력'!$E$2:$E$1001,MATCH($A62,'부의금 입력'!$H$2:$H$1001,0))&amp;"")</f>
        <v/>
      </c>
      <c r="H62" s="16">
        <f>IF(59&gt;$I$1,"",INDEX('근조 화환'!$B$2:$B$501,MATCH(59,'근조 화환'!$G$2:$G$501,0))&amp;"")</f>
        <v/>
      </c>
      <c r="I62" s="16">
        <f>IF(59&gt;$I$1,"",INDEX('근조 화환'!$C$2:$C$501,MATCH(59,'근조 화환'!$G$2:$G$501,0))&amp;"")</f>
        <v/>
      </c>
      <c r="J62" s="16">
        <f>IF(59&gt;$I$1,"",INDEX('근조 화환'!$D$2:$D$501,MATCH(59,'근조 화환'!$G$2:$G$501,0))&amp;"")</f>
        <v/>
      </c>
      <c r="K62" s="16">
        <f>IF(59&gt;$I$1,"",INDEX('근조 화환'!$E$2:$E$501,MATCH(59,'근조 화환'!$G$2:$G$501,0))&amp;"")</f>
        <v/>
      </c>
    </row>
    <row r="63">
      <c r="A63" s="16">
        <f>IF(60&lt;=$F$1,60,"")</f>
        <v/>
      </c>
      <c r="B63" s="16">
        <f>IF($A63="","",INDEX('부의금 입력'!$B$2:$B$1001,MATCH($A63,'부의금 입력'!$H$2:$H$1001,0))&amp;"")</f>
        <v/>
      </c>
      <c r="C63" s="18">
        <f>IF($A63="","",INDEX('부의금 입력'!$C$2:$C$1001,MATCH($A63,'부의금 입력'!$H$2:$H$1001,0)))</f>
        <v/>
      </c>
      <c r="D63" s="16">
        <f>IF($A63="","",INDEX('부의금 입력'!$D$2:$D$1001,MATCH($A63,'부의금 입력'!$H$2:$H$1001,0))&amp;"")</f>
        <v/>
      </c>
      <c r="E63" s="16">
        <f>IF($A63="","",INDEX('부의금 입력'!$E$2:$E$1001,MATCH($A63,'부의금 입력'!$H$2:$H$1001,0))&amp;"")</f>
        <v/>
      </c>
      <c r="H63" s="16">
        <f>IF(60&gt;$I$1,"",INDEX('근조 화환'!$B$2:$B$501,MATCH(60,'근조 화환'!$G$2:$G$501,0))&amp;"")</f>
        <v/>
      </c>
      <c r="I63" s="16">
        <f>IF(60&gt;$I$1,"",INDEX('근조 화환'!$C$2:$C$501,MATCH(60,'근조 화환'!$G$2:$G$501,0))&amp;"")</f>
        <v/>
      </c>
      <c r="J63" s="16">
        <f>IF(60&gt;$I$1,"",INDEX('근조 화환'!$D$2:$D$501,MATCH(60,'근조 화환'!$G$2:$G$501,0))&amp;"")</f>
        <v/>
      </c>
      <c r="K63" s="16">
        <f>IF(60&gt;$I$1,"",INDEX('근조 화환'!$E$2:$E$501,MATCH(60,'근조 화환'!$G$2:$G$501,0))&amp;"")</f>
        <v/>
      </c>
    </row>
    <row r="64">
      <c r="A64" s="16">
        <f>IF(61&lt;=$F$1,61,"")</f>
        <v/>
      </c>
      <c r="B64" s="16">
        <f>IF($A64="","",INDEX('부의금 입력'!$B$2:$B$1001,MATCH($A64,'부의금 입력'!$H$2:$H$1001,0))&amp;"")</f>
        <v/>
      </c>
      <c r="C64" s="18">
        <f>IF($A64="","",INDEX('부의금 입력'!$C$2:$C$1001,MATCH($A64,'부의금 입력'!$H$2:$H$1001,0)))</f>
        <v/>
      </c>
      <c r="D64" s="16">
        <f>IF($A64="","",INDEX('부의금 입력'!$D$2:$D$1001,MATCH($A64,'부의금 입력'!$H$2:$H$1001,0))&amp;"")</f>
        <v/>
      </c>
      <c r="E64" s="16">
        <f>IF($A64="","",INDEX('부의금 입력'!$E$2:$E$1001,MATCH($A64,'부의금 입력'!$H$2:$H$1001,0))&amp;"")</f>
        <v/>
      </c>
      <c r="H64" s="16">
        <f>IF(61&gt;$I$1,"",INDEX('근조 화환'!$B$2:$B$501,MATCH(61,'근조 화환'!$G$2:$G$501,0))&amp;"")</f>
        <v/>
      </c>
      <c r="I64" s="16">
        <f>IF(61&gt;$I$1,"",INDEX('근조 화환'!$C$2:$C$501,MATCH(61,'근조 화환'!$G$2:$G$501,0))&amp;"")</f>
        <v/>
      </c>
      <c r="J64" s="16">
        <f>IF(61&gt;$I$1,"",INDEX('근조 화환'!$D$2:$D$501,MATCH(61,'근조 화환'!$G$2:$G$501,0))&amp;"")</f>
        <v/>
      </c>
      <c r="K64" s="16">
        <f>IF(61&gt;$I$1,"",INDEX('근조 화환'!$E$2:$E$501,MATCH(61,'근조 화환'!$G$2:$G$501,0))&amp;"")</f>
        <v/>
      </c>
    </row>
    <row r="65">
      <c r="A65" s="16">
        <f>IF(62&lt;=$F$1,62,"")</f>
        <v/>
      </c>
      <c r="B65" s="16">
        <f>IF($A65="","",INDEX('부의금 입력'!$B$2:$B$1001,MATCH($A65,'부의금 입력'!$H$2:$H$1001,0))&amp;"")</f>
        <v/>
      </c>
      <c r="C65" s="18">
        <f>IF($A65="","",INDEX('부의금 입력'!$C$2:$C$1001,MATCH($A65,'부의금 입력'!$H$2:$H$1001,0)))</f>
        <v/>
      </c>
      <c r="D65" s="16">
        <f>IF($A65="","",INDEX('부의금 입력'!$D$2:$D$1001,MATCH($A65,'부의금 입력'!$H$2:$H$1001,0))&amp;"")</f>
        <v/>
      </c>
      <c r="E65" s="16">
        <f>IF($A65="","",INDEX('부의금 입력'!$E$2:$E$1001,MATCH($A65,'부의금 입력'!$H$2:$H$1001,0))&amp;"")</f>
        <v/>
      </c>
      <c r="H65" s="16">
        <f>IF(62&gt;$I$1,"",INDEX('근조 화환'!$B$2:$B$501,MATCH(62,'근조 화환'!$G$2:$G$501,0))&amp;"")</f>
        <v/>
      </c>
      <c r="I65" s="16">
        <f>IF(62&gt;$I$1,"",INDEX('근조 화환'!$C$2:$C$501,MATCH(62,'근조 화환'!$G$2:$G$501,0))&amp;"")</f>
        <v/>
      </c>
      <c r="J65" s="16">
        <f>IF(62&gt;$I$1,"",INDEX('근조 화환'!$D$2:$D$501,MATCH(62,'근조 화환'!$G$2:$G$501,0))&amp;"")</f>
        <v/>
      </c>
      <c r="K65" s="16">
        <f>IF(62&gt;$I$1,"",INDEX('근조 화환'!$E$2:$E$501,MATCH(62,'근조 화환'!$G$2:$G$501,0))&amp;"")</f>
        <v/>
      </c>
    </row>
    <row r="66">
      <c r="A66" s="16">
        <f>IF(63&lt;=$F$1,63,"")</f>
        <v/>
      </c>
      <c r="B66" s="16">
        <f>IF($A66="","",INDEX('부의금 입력'!$B$2:$B$1001,MATCH($A66,'부의금 입력'!$H$2:$H$1001,0))&amp;"")</f>
        <v/>
      </c>
      <c r="C66" s="18">
        <f>IF($A66="","",INDEX('부의금 입력'!$C$2:$C$1001,MATCH($A66,'부의금 입력'!$H$2:$H$1001,0)))</f>
        <v/>
      </c>
      <c r="D66" s="16">
        <f>IF($A66="","",INDEX('부의금 입력'!$D$2:$D$1001,MATCH($A66,'부의금 입력'!$H$2:$H$1001,0))&amp;"")</f>
        <v/>
      </c>
      <c r="E66" s="16">
        <f>IF($A66="","",INDEX('부의금 입력'!$E$2:$E$1001,MATCH($A66,'부의금 입력'!$H$2:$H$1001,0))&amp;"")</f>
        <v/>
      </c>
      <c r="H66" s="16">
        <f>IF(63&gt;$I$1,"",INDEX('근조 화환'!$B$2:$B$501,MATCH(63,'근조 화환'!$G$2:$G$501,0))&amp;"")</f>
        <v/>
      </c>
      <c r="I66" s="16">
        <f>IF(63&gt;$I$1,"",INDEX('근조 화환'!$C$2:$C$501,MATCH(63,'근조 화환'!$G$2:$G$501,0))&amp;"")</f>
        <v/>
      </c>
      <c r="J66" s="16">
        <f>IF(63&gt;$I$1,"",INDEX('근조 화환'!$D$2:$D$501,MATCH(63,'근조 화환'!$G$2:$G$501,0))&amp;"")</f>
        <v/>
      </c>
      <c r="K66" s="16">
        <f>IF(63&gt;$I$1,"",INDEX('근조 화환'!$E$2:$E$501,MATCH(63,'근조 화환'!$G$2:$G$501,0))&amp;"")</f>
        <v/>
      </c>
    </row>
    <row r="67">
      <c r="A67" s="16">
        <f>IF(64&lt;=$F$1,64,"")</f>
        <v/>
      </c>
      <c r="B67" s="16">
        <f>IF($A67="","",INDEX('부의금 입력'!$B$2:$B$1001,MATCH($A67,'부의금 입력'!$H$2:$H$1001,0))&amp;"")</f>
        <v/>
      </c>
      <c r="C67" s="18">
        <f>IF($A67="","",INDEX('부의금 입력'!$C$2:$C$1001,MATCH($A67,'부의금 입력'!$H$2:$H$1001,0)))</f>
        <v/>
      </c>
      <c r="D67" s="16">
        <f>IF($A67="","",INDEX('부의금 입력'!$D$2:$D$1001,MATCH($A67,'부의금 입력'!$H$2:$H$1001,0))&amp;"")</f>
        <v/>
      </c>
      <c r="E67" s="16">
        <f>IF($A67="","",INDEX('부의금 입력'!$E$2:$E$1001,MATCH($A67,'부의금 입력'!$H$2:$H$1001,0))&amp;"")</f>
        <v/>
      </c>
      <c r="H67" s="16">
        <f>IF(64&gt;$I$1,"",INDEX('근조 화환'!$B$2:$B$501,MATCH(64,'근조 화환'!$G$2:$G$501,0))&amp;"")</f>
        <v/>
      </c>
      <c r="I67" s="16">
        <f>IF(64&gt;$I$1,"",INDEX('근조 화환'!$C$2:$C$501,MATCH(64,'근조 화환'!$G$2:$G$501,0))&amp;"")</f>
        <v/>
      </c>
      <c r="J67" s="16">
        <f>IF(64&gt;$I$1,"",INDEX('근조 화환'!$D$2:$D$501,MATCH(64,'근조 화환'!$G$2:$G$501,0))&amp;"")</f>
        <v/>
      </c>
      <c r="K67" s="16">
        <f>IF(64&gt;$I$1,"",INDEX('근조 화환'!$E$2:$E$501,MATCH(64,'근조 화환'!$G$2:$G$501,0))&amp;"")</f>
        <v/>
      </c>
    </row>
    <row r="68">
      <c r="A68" s="16">
        <f>IF(65&lt;=$F$1,65,"")</f>
        <v/>
      </c>
      <c r="B68" s="16">
        <f>IF($A68="","",INDEX('부의금 입력'!$B$2:$B$1001,MATCH($A68,'부의금 입력'!$H$2:$H$1001,0))&amp;"")</f>
        <v/>
      </c>
      <c r="C68" s="18">
        <f>IF($A68="","",INDEX('부의금 입력'!$C$2:$C$1001,MATCH($A68,'부의금 입력'!$H$2:$H$1001,0)))</f>
        <v/>
      </c>
      <c r="D68" s="16">
        <f>IF($A68="","",INDEX('부의금 입력'!$D$2:$D$1001,MATCH($A68,'부의금 입력'!$H$2:$H$1001,0))&amp;"")</f>
        <v/>
      </c>
      <c r="E68" s="16">
        <f>IF($A68="","",INDEX('부의금 입력'!$E$2:$E$1001,MATCH($A68,'부의금 입력'!$H$2:$H$1001,0))&amp;"")</f>
        <v/>
      </c>
      <c r="H68" s="16">
        <f>IF(65&gt;$I$1,"",INDEX('근조 화환'!$B$2:$B$501,MATCH(65,'근조 화환'!$G$2:$G$501,0))&amp;"")</f>
        <v/>
      </c>
      <c r="I68" s="16">
        <f>IF(65&gt;$I$1,"",INDEX('근조 화환'!$C$2:$C$501,MATCH(65,'근조 화환'!$G$2:$G$501,0))&amp;"")</f>
        <v/>
      </c>
      <c r="J68" s="16">
        <f>IF(65&gt;$I$1,"",INDEX('근조 화환'!$D$2:$D$501,MATCH(65,'근조 화환'!$G$2:$G$501,0))&amp;"")</f>
        <v/>
      </c>
      <c r="K68" s="16">
        <f>IF(65&gt;$I$1,"",INDEX('근조 화환'!$E$2:$E$501,MATCH(65,'근조 화환'!$G$2:$G$501,0))&amp;"")</f>
        <v/>
      </c>
    </row>
    <row r="69">
      <c r="A69" s="16">
        <f>IF(66&lt;=$F$1,66,"")</f>
        <v/>
      </c>
      <c r="B69" s="16">
        <f>IF($A69="","",INDEX('부의금 입력'!$B$2:$B$1001,MATCH($A69,'부의금 입력'!$H$2:$H$1001,0))&amp;"")</f>
        <v/>
      </c>
      <c r="C69" s="18">
        <f>IF($A69="","",INDEX('부의금 입력'!$C$2:$C$1001,MATCH($A69,'부의금 입력'!$H$2:$H$1001,0)))</f>
        <v/>
      </c>
      <c r="D69" s="16">
        <f>IF($A69="","",INDEX('부의금 입력'!$D$2:$D$1001,MATCH($A69,'부의금 입력'!$H$2:$H$1001,0))&amp;"")</f>
        <v/>
      </c>
      <c r="E69" s="16">
        <f>IF($A69="","",INDEX('부의금 입력'!$E$2:$E$1001,MATCH($A69,'부의금 입력'!$H$2:$H$1001,0))&amp;"")</f>
        <v/>
      </c>
      <c r="H69" s="16">
        <f>IF(66&gt;$I$1,"",INDEX('근조 화환'!$B$2:$B$501,MATCH(66,'근조 화환'!$G$2:$G$501,0))&amp;"")</f>
        <v/>
      </c>
      <c r="I69" s="16">
        <f>IF(66&gt;$I$1,"",INDEX('근조 화환'!$C$2:$C$501,MATCH(66,'근조 화환'!$G$2:$G$501,0))&amp;"")</f>
        <v/>
      </c>
      <c r="J69" s="16">
        <f>IF(66&gt;$I$1,"",INDEX('근조 화환'!$D$2:$D$501,MATCH(66,'근조 화환'!$G$2:$G$501,0))&amp;"")</f>
        <v/>
      </c>
      <c r="K69" s="16">
        <f>IF(66&gt;$I$1,"",INDEX('근조 화환'!$E$2:$E$501,MATCH(66,'근조 화환'!$G$2:$G$501,0))&amp;"")</f>
        <v/>
      </c>
    </row>
    <row r="70">
      <c r="A70" s="16">
        <f>IF(67&lt;=$F$1,67,"")</f>
        <v/>
      </c>
      <c r="B70" s="16">
        <f>IF($A70="","",INDEX('부의금 입력'!$B$2:$B$1001,MATCH($A70,'부의금 입력'!$H$2:$H$1001,0))&amp;"")</f>
        <v/>
      </c>
      <c r="C70" s="18">
        <f>IF($A70="","",INDEX('부의금 입력'!$C$2:$C$1001,MATCH($A70,'부의금 입력'!$H$2:$H$1001,0)))</f>
        <v/>
      </c>
      <c r="D70" s="16">
        <f>IF($A70="","",INDEX('부의금 입력'!$D$2:$D$1001,MATCH($A70,'부의금 입력'!$H$2:$H$1001,0))&amp;"")</f>
        <v/>
      </c>
      <c r="E70" s="16">
        <f>IF($A70="","",INDEX('부의금 입력'!$E$2:$E$1001,MATCH($A70,'부의금 입력'!$H$2:$H$1001,0))&amp;"")</f>
        <v/>
      </c>
      <c r="H70" s="16">
        <f>IF(67&gt;$I$1,"",INDEX('근조 화환'!$B$2:$B$501,MATCH(67,'근조 화환'!$G$2:$G$501,0))&amp;"")</f>
        <v/>
      </c>
      <c r="I70" s="16">
        <f>IF(67&gt;$I$1,"",INDEX('근조 화환'!$C$2:$C$501,MATCH(67,'근조 화환'!$G$2:$G$501,0))&amp;"")</f>
        <v/>
      </c>
      <c r="J70" s="16">
        <f>IF(67&gt;$I$1,"",INDEX('근조 화환'!$D$2:$D$501,MATCH(67,'근조 화환'!$G$2:$G$501,0))&amp;"")</f>
        <v/>
      </c>
      <c r="K70" s="16">
        <f>IF(67&gt;$I$1,"",INDEX('근조 화환'!$E$2:$E$501,MATCH(67,'근조 화환'!$G$2:$G$501,0))&amp;"")</f>
        <v/>
      </c>
    </row>
    <row r="71">
      <c r="A71" s="16">
        <f>IF(68&lt;=$F$1,68,"")</f>
        <v/>
      </c>
      <c r="B71" s="16">
        <f>IF($A71="","",INDEX('부의금 입력'!$B$2:$B$1001,MATCH($A71,'부의금 입력'!$H$2:$H$1001,0))&amp;"")</f>
        <v/>
      </c>
      <c r="C71" s="18">
        <f>IF($A71="","",INDEX('부의금 입력'!$C$2:$C$1001,MATCH($A71,'부의금 입력'!$H$2:$H$1001,0)))</f>
        <v/>
      </c>
      <c r="D71" s="16">
        <f>IF($A71="","",INDEX('부의금 입력'!$D$2:$D$1001,MATCH($A71,'부의금 입력'!$H$2:$H$1001,0))&amp;"")</f>
        <v/>
      </c>
      <c r="E71" s="16">
        <f>IF($A71="","",INDEX('부의금 입력'!$E$2:$E$1001,MATCH($A71,'부의금 입력'!$H$2:$H$1001,0))&amp;"")</f>
        <v/>
      </c>
      <c r="H71" s="16">
        <f>IF(68&gt;$I$1,"",INDEX('근조 화환'!$B$2:$B$501,MATCH(68,'근조 화환'!$G$2:$G$501,0))&amp;"")</f>
        <v/>
      </c>
      <c r="I71" s="16">
        <f>IF(68&gt;$I$1,"",INDEX('근조 화환'!$C$2:$C$501,MATCH(68,'근조 화환'!$G$2:$G$501,0))&amp;"")</f>
        <v/>
      </c>
      <c r="J71" s="16">
        <f>IF(68&gt;$I$1,"",INDEX('근조 화환'!$D$2:$D$501,MATCH(68,'근조 화환'!$G$2:$G$501,0))&amp;"")</f>
        <v/>
      </c>
      <c r="K71" s="16">
        <f>IF(68&gt;$I$1,"",INDEX('근조 화환'!$E$2:$E$501,MATCH(68,'근조 화환'!$G$2:$G$501,0))&amp;"")</f>
        <v/>
      </c>
    </row>
    <row r="72">
      <c r="A72" s="16">
        <f>IF(69&lt;=$F$1,69,"")</f>
        <v/>
      </c>
      <c r="B72" s="16">
        <f>IF($A72="","",INDEX('부의금 입력'!$B$2:$B$1001,MATCH($A72,'부의금 입력'!$H$2:$H$1001,0))&amp;"")</f>
        <v/>
      </c>
      <c r="C72" s="18">
        <f>IF($A72="","",INDEX('부의금 입력'!$C$2:$C$1001,MATCH($A72,'부의금 입력'!$H$2:$H$1001,0)))</f>
        <v/>
      </c>
      <c r="D72" s="16">
        <f>IF($A72="","",INDEX('부의금 입력'!$D$2:$D$1001,MATCH($A72,'부의금 입력'!$H$2:$H$1001,0))&amp;"")</f>
        <v/>
      </c>
      <c r="E72" s="16">
        <f>IF($A72="","",INDEX('부의금 입력'!$E$2:$E$1001,MATCH($A72,'부의금 입력'!$H$2:$H$1001,0))&amp;"")</f>
        <v/>
      </c>
      <c r="H72" s="16">
        <f>IF(69&gt;$I$1,"",INDEX('근조 화환'!$B$2:$B$501,MATCH(69,'근조 화환'!$G$2:$G$501,0))&amp;"")</f>
        <v/>
      </c>
      <c r="I72" s="16">
        <f>IF(69&gt;$I$1,"",INDEX('근조 화환'!$C$2:$C$501,MATCH(69,'근조 화환'!$G$2:$G$501,0))&amp;"")</f>
        <v/>
      </c>
      <c r="J72" s="16">
        <f>IF(69&gt;$I$1,"",INDEX('근조 화환'!$D$2:$D$501,MATCH(69,'근조 화환'!$G$2:$G$501,0))&amp;"")</f>
        <v/>
      </c>
      <c r="K72" s="16">
        <f>IF(69&gt;$I$1,"",INDEX('근조 화환'!$E$2:$E$501,MATCH(69,'근조 화환'!$G$2:$G$501,0))&amp;"")</f>
        <v/>
      </c>
    </row>
    <row r="73">
      <c r="A73" s="16">
        <f>IF(70&lt;=$F$1,70,"")</f>
        <v/>
      </c>
      <c r="B73" s="16">
        <f>IF($A73="","",INDEX('부의금 입력'!$B$2:$B$1001,MATCH($A73,'부의금 입력'!$H$2:$H$1001,0))&amp;"")</f>
        <v/>
      </c>
      <c r="C73" s="18">
        <f>IF($A73="","",INDEX('부의금 입력'!$C$2:$C$1001,MATCH($A73,'부의금 입력'!$H$2:$H$1001,0)))</f>
        <v/>
      </c>
      <c r="D73" s="16">
        <f>IF($A73="","",INDEX('부의금 입력'!$D$2:$D$1001,MATCH($A73,'부의금 입력'!$H$2:$H$1001,0))&amp;"")</f>
        <v/>
      </c>
      <c r="E73" s="16">
        <f>IF($A73="","",INDEX('부의금 입력'!$E$2:$E$1001,MATCH($A73,'부의금 입력'!$H$2:$H$1001,0))&amp;"")</f>
        <v/>
      </c>
      <c r="H73" s="16">
        <f>IF(70&gt;$I$1,"",INDEX('근조 화환'!$B$2:$B$501,MATCH(70,'근조 화환'!$G$2:$G$501,0))&amp;"")</f>
        <v/>
      </c>
      <c r="I73" s="16">
        <f>IF(70&gt;$I$1,"",INDEX('근조 화환'!$C$2:$C$501,MATCH(70,'근조 화환'!$G$2:$G$501,0))&amp;"")</f>
        <v/>
      </c>
      <c r="J73" s="16">
        <f>IF(70&gt;$I$1,"",INDEX('근조 화환'!$D$2:$D$501,MATCH(70,'근조 화환'!$G$2:$G$501,0))&amp;"")</f>
        <v/>
      </c>
      <c r="K73" s="16">
        <f>IF(70&gt;$I$1,"",INDEX('근조 화환'!$E$2:$E$501,MATCH(70,'근조 화환'!$G$2:$G$501,0))&amp;"")</f>
        <v/>
      </c>
    </row>
    <row r="74">
      <c r="A74" s="16">
        <f>IF(71&lt;=$F$1,71,"")</f>
        <v/>
      </c>
      <c r="B74" s="16">
        <f>IF($A74="","",INDEX('부의금 입력'!$B$2:$B$1001,MATCH($A74,'부의금 입력'!$H$2:$H$1001,0))&amp;"")</f>
        <v/>
      </c>
      <c r="C74" s="18">
        <f>IF($A74="","",INDEX('부의금 입력'!$C$2:$C$1001,MATCH($A74,'부의금 입력'!$H$2:$H$1001,0)))</f>
        <v/>
      </c>
      <c r="D74" s="16">
        <f>IF($A74="","",INDEX('부의금 입력'!$D$2:$D$1001,MATCH($A74,'부의금 입력'!$H$2:$H$1001,0))&amp;"")</f>
        <v/>
      </c>
      <c r="E74" s="16">
        <f>IF($A74="","",INDEX('부의금 입력'!$E$2:$E$1001,MATCH($A74,'부의금 입력'!$H$2:$H$1001,0))&amp;"")</f>
        <v/>
      </c>
      <c r="H74" s="16">
        <f>IF(71&gt;$I$1,"",INDEX('근조 화환'!$B$2:$B$501,MATCH(71,'근조 화환'!$G$2:$G$501,0))&amp;"")</f>
        <v/>
      </c>
      <c r="I74" s="16">
        <f>IF(71&gt;$I$1,"",INDEX('근조 화환'!$C$2:$C$501,MATCH(71,'근조 화환'!$G$2:$G$501,0))&amp;"")</f>
        <v/>
      </c>
      <c r="J74" s="16">
        <f>IF(71&gt;$I$1,"",INDEX('근조 화환'!$D$2:$D$501,MATCH(71,'근조 화환'!$G$2:$G$501,0))&amp;"")</f>
        <v/>
      </c>
      <c r="K74" s="16">
        <f>IF(71&gt;$I$1,"",INDEX('근조 화환'!$E$2:$E$501,MATCH(71,'근조 화환'!$G$2:$G$501,0))&amp;"")</f>
        <v/>
      </c>
    </row>
    <row r="75">
      <c r="A75" s="16">
        <f>IF(72&lt;=$F$1,72,"")</f>
        <v/>
      </c>
      <c r="B75" s="16">
        <f>IF($A75="","",INDEX('부의금 입력'!$B$2:$B$1001,MATCH($A75,'부의금 입력'!$H$2:$H$1001,0))&amp;"")</f>
        <v/>
      </c>
      <c r="C75" s="18">
        <f>IF($A75="","",INDEX('부의금 입력'!$C$2:$C$1001,MATCH($A75,'부의금 입력'!$H$2:$H$1001,0)))</f>
        <v/>
      </c>
      <c r="D75" s="16">
        <f>IF($A75="","",INDEX('부의금 입력'!$D$2:$D$1001,MATCH($A75,'부의금 입력'!$H$2:$H$1001,0))&amp;"")</f>
        <v/>
      </c>
      <c r="E75" s="16">
        <f>IF($A75="","",INDEX('부의금 입력'!$E$2:$E$1001,MATCH($A75,'부의금 입력'!$H$2:$H$1001,0))&amp;"")</f>
        <v/>
      </c>
      <c r="H75" s="16">
        <f>IF(72&gt;$I$1,"",INDEX('근조 화환'!$B$2:$B$501,MATCH(72,'근조 화환'!$G$2:$G$501,0))&amp;"")</f>
        <v/>
      </c>
      <c r="I75" s="16">
        <f>IF(72&gt;$I$1,"",INDEX('근조 화환'!$C$2:$C$501,MATCH(72,'근조 화환'!$G$2:$G$501,0))&amp;"")</f>
        <v/>
      </c>
      <c r="J75" s="16">
        <f>IF(72&gt;$I$1,"",INDEX('근조 화환'!$D$2:$D$501,MATCH(72,'근조 화환'!$G$2:$G$501,0))&amp;"")</f>
        <v/>
      </c>
      <c r="K75" s="16">
        <f>IF(72&gt;$I$1,"",INDEX('근조 화환'!$E$2:$E$501,MATCH(72,'근조 화환'!$G$2:$G$501,0))&amp;"")</f>
        <v/>
      </c>
    </row>
    <row r="76">
      <c r="A76" s="16">
        <f>IF(73&lt;=$F$1,73,"")</f>
        <v/>
      </c>
      <c r="B76" s="16">
        <f>IF($A76="","",INDEX('부의금 입력'!$B$2:$B$1001,MATCH($A76,'부의금 입력'!$H$2:$H$1001,0))&amp;"")</f>
        <v/>
      </c>
      <c r="C76" s="18">
        <f>IF($A76="","",INDEX('부의금 입력'!$C$2:$C$1001,MATCH($A76,'부의금 입력'!$H$2:$H$1001,0)))</f>
        <v/>
      </c>
      <c r="D76" s="16">
        <f>IF($A76="","",INDEX('부의금 입력'!$D$2:$D$1001,MATCH($A76,'부의금 입력'!$H$2:$H$1001,0))&amp;"")</f>
        <v/>
      </c>
      <c r="E76" s="16">
        <f>IF($A76="","",INDEX('부의금 입력'!$E$2:$E$1001,MATCH($A76,'부의금 입력'!$H$2:$H$1001,0))&amp;"")</f>
        <v/>
      </c>
      <c r="H76" s="16">
        <f>IF(73&gt;$I$1,"",INDEX('근조 화환'!$B$2:$B$501,MATCH(73,'근조 화환'!$G$2:$G$501,0))&amp;"")</f>
        <v/>
      </c>
      <c r="I76" s="16">
        <f>IF(73&gt;$I$1,"",INDEX('근조 화환'!$C$2:$C$501,MATCH(73,'근조 화환'!$G$2:$G$501,0))&amp;"")</f>
        <v/>
      </c>
      <c r="J76" s="16">
        <f>IF(73&gt;$I$1,"",INDEX('근조 화환'!$D$2:$D$501,MATCH(73,'근조 화환'!$G$2:$G$501,0))&amp;"")</f>
        <v/>
      </c>
      <c r="K76" s="16">
        <f>IF(73&gt;$I$1,"",INDEX('근조 화환'!$E$2:$E$501,MATCH(73,'근조 화환'!$G$2:$G$501,0))&amp;"")</f>
        <v/>
      </c>
    </row>
    <row r="77">
      <c r="A77" s="16">
        <f>IF(74&lt;=$F$1,74,"")</f>
        <v/>
      </c>
      <c r="B77" s="16">
        <f>IF($A77="","",INDEX('부의금 입력'!$B$2:$B$1001,MATCH($A77,'부의금 입력'!$H$2:$H$1001,0))&amp;"")</f>
        <v/>
      </c>
      <c r="C77" s="18">
        <f>IF($A77="","",INDEX('부의금 입력'!$C$2:$C$1001,MATCH($A77,'부의금 입력'!$H$2:$H$1001,0)))</f>
        <v/>
      </c>
      <c r="D77" s="16">
        <f>IF($A77="","",INDEX('부의금 입력'!$D$2:$D$1001,MATCH($A77,'부의금 입력'!$H$2:$H$1001,0))&amp;"")</f>
        <v/>
      </c>
      <c r="E77" s="16">
        <f>IF($A77="","",INDEX('부의금 입력'!$E$2:$E$1001,MATCH($A77,'부의금 입력'!$H$2:$H$1001,0))&amp;"")</f>
        <v/>
      </c>
      <c r="H77" s="16">
        <f>IF(74&gt;$I$1,"",INDEX('근조 화환'!$B$2:$B$501,MATCH(74,'근조 화환'!$G$2:$G$501,0))&amp;"")</f>
        <v/>
      </c>
      <c r="I77" s="16">
        <f>IF(74&gt;$I$1,"",INDEX('근조 화환'!$C$2:$C$501,MATCH(74,'근조 화환'!$G$2:$G$501,0))&amp;"")</f>
        <v/>
      </c>
      <c r="J77" s="16">
        <f>IF(74&gt;$I$1,"",INDEX('근조 화환'!$D$2:$D$501,MATCH(74,'근조 화환'!$G$2:$G$501,0))&amp;"")</f>
        <v/>
      </c>
      <c r="K77" s="16">
        <f>IF(74&gt;$I$1,"",INDEX('근조 화환'!$E$2:$E$501,MATCH(74,'근조 화환'!$G$2:$G$501,0))&amp;"")</f>
        <v/>
      </c>
    </row>
    <row r="78">
      <c r="A78" s="16">
        <f>IF(75&lt;=$F$1,75,"")</f>
        <v/>
      </c>
      <c r="B78" s="16">
        <f>IF($A78="","",INDEX('부의금 입력'!$B$2:$B$1001,MATCH($A78,'부의금 입력'!$H$2:$H$1001,0))&amp;"")</f>
        <v/>
      </c>
      <c r="C78" s="18">
        <f>IF($A78="","",INDEX('부의금 입력'!$C$2:$C$1001,MATCH($A78,'부의금 입력'!$H$2:$H$1001,0)))</f>
        <v/>
      </c>
      <c r="D78" s="16">
        <f>IF($A78="","",INDEX('부의금 입력'!$D$2:$D$1001,MATCH($A78,'부의금 입력'!$H$2:$H$1001,0))&amp;"")</f>
        <v/>
      </c>
      <c r="E78" s="16">
        <f>IF($A78="","",INDEX('부의금 입력'!$E$2:$E$1001,MATCH($A78,'부의금 입력'!$H$2:$H$1001,0))&amp;"")</f>
        <v/>
      </c>
      <c r="H78" s="16">
        <f>IF(75&gt;$I$1,"",INDEX('근조 화환'!$B$2:$B$501,MATCH(75,'근조 화환'!$G$2:$G$501,0))&amp;"")</f>
        <v/>
      </c>
      <c r="I78" s="16">
        <f>IF(75&gt;$I$1,"",INDEX('근조 화환'!$C$2:$C$501,MATCH(75,'근조 화환'!$G$2:$G$501,0))&amp;"")</f>
        <v/>
      </c>
      <c r="J78" s="16">
        <f>IF(75&gt;$I$1,"",INDEX('근조 화환'!$D$2:$D$501,MATCH(75,'근조 화환'!$G$2:$G$501,0))&amp;"")</f>
        <v/>
      </c>
      <c r="K78" s="16">
        <f>IF(75&gt;$I$1,"",INDEX('근조 화환'!$E$2:$E$501,MATCH(75,'근조 화환'!$G$2:$G$501,0))&amp;"")</f>
        <v/>
      </c>
    </row>
    <row r="79">
      <c r="A79" s="16">
        <f>IF(76&lt;=$F$1,76,"")</f>
        <v/>
      </c>
      <c r="B79" s="16">
        <f>IF($A79="","",INDEX('부의금 입력'!$B$2:$B$1001,MATCH($A79,'부의금 입력'!$H$2:$H$1001,0))&amp;"")</f>
        <v/>
      </c>
      <c r="C79" s="18">
        <f>IF($A79="","",INDEX('부의금 입력'!$C$2:$C$1001,MATCH($A79,'부의금 입력'!$H$2:$H$1001,0)))</f>
        <v/>
      </c>
      <c r="D79" s="16">
        <f>IF($A79="","",INDEX('부의금 입력'!$D$2:$D$1001,MATCH($A79,'부의금 입력'!$H$2:$H$1001,0))&amp;"")</f>
        <v/>
      </c>
      <c r="E79" s="16">
        <f>IF($A79="","",INDEX('부의금 입력'!$E$2:$E$1001,MATCH($A79,'부의금 입력'!$H$2:$H$1001,0))&amp;"")</f>
        <v/>
      </c>
      <c r="H79" s="16">
        <f>IF(76&gt;$I$1,"",INDEX('근조 화환'!$B$2:$B$501,MATCH(76,'근조 화환'!$G$2:$G$501,0))&amp;"")</f>
        <v/>
      </c>
      <c r="I79" s="16">
        <f>IF(76&gt;$I$1,"",INDEX('근조 화환'!$C$2:$C$501,MATCH(76,'근조 화환'!$G$2:$G$501,0))&amp;"")</f>
        <v/>
      </c>
      <c r="J79" s="16">
        <f>IF(76&gt;$I$1,"",INDEX('근조 화환'!$D$2:$D$501,MATCH(76,'근조 화환'!$G$2:$G$501,0))&amp;"")</f>
        <v/>
      </c>
      <c r="K79" s="16">
        <f>IF(76&gt;$I$1,"",INDEX('근조 화환'!$E$2:$E$501,MATCH(76,'근조 화환'!$G$2:$G$501,0))&amp;"")</f>
        <v/>
      </c>
    </row>
    <row r="80">
      <c r="A80" s="16">
        <f>IF(77&lt;=$F$1,77,"")</f>
        <v/>
      </c>
      <c r="B80" s="16">
        <f>IF($A80="","",INDEX('부의금 입력'!$B$2:$B$1001,MATCH($A80,'부의금 입력'!$H$2:$H$1001,0))&amp;"")</f>
        <v/>
      </c>
      <c r="C80" s="18">
        <f>IF($A80="","",INDEX('부의금 입력'!$C$2:$C$1001,MATCH($A80,'부의금 입력'!$H$2:$H$1001,0)))</f>
        <v/>
      </c>
      <c r="D80" s="16">
        <f>IF($A80="","",INDEX('부의금 입력'!$D$2:$D$1001,MATCH($A80,'부의금 입력'!$H$2:$H$1001,0))&amp;"")</f>
        <v/>
      </c>
      <c r="E80" s="16">
        <f>IF($A80="","",INDEX('부의금 입력'!$E$2:$E$1001,MATCH($A80,'부의금 입력'!$H$2:$H$1001,0))&amp;"")</f>
        <v/>
      </c>
      <c r="H80" s="16">
        <f>IF(77&gt;$I$1,"",INDEX('근조 화환'!$B$2:$B$501,MATCH(77,'근조 화환'!$G$2:$G$501,0))&amp;"")</f>
        <v/>
      </c>
      <c r="I80" s="16">
        <f>IF(77&gt;$I$1,"",INDEX('근조 화환'!$C$2:$C$501,MATCH(77,'근조 화환'!$G$2:$G$501,0))&amp;"")</f>
        <v/>
      </c>
      <c r="J80" s="16">
        <f>IF(77&gt;$I$1,"",INDEX('근조 화환'!$D$2:$D$501,MATCH(77,'근조 화환'!$G$2:$G$501,0))&amp;"")</f>
        <v/>
      </c>
      <c r="K80" s="16">
        <f>IF(77&gt;$I$1,"",INDEX('근조 화환'!$E$2:$E$501,MATCH(77,'근조 화환'!$G$2:$G$501,0))&amp;"")</f>
        <v/>
      </c>
    </row>
    <row r="81">
      <c r="A81" s="16">
        <f>IF(78&lt;=$F$1,78,"")</f>
        <v/>
      </c>
      <c r="B81" s="16">
        <f>IF($A81="","",INDEX('부의금 입력'!$B$2:$B$1001,MATCH($A81,'부의금 입력'!$H$2:$H$1001,0))&amp;"")</f>
        <v/>
      </c>
      <c r="C81" s="18">
        <f>IF($A81="","",INDEX('부의금 입력'!$C$2:$C$1001,MATCH($A81,'부의금 입력'!$H$2:$H$1001,0)))</f>
        <v/>
      </c>
      <c r="D81" s="16">
        <f>IF($A81="","",INDEX('부의금 입력'!$D$2:$D$1001,MATCH($A81,'부의금 입력'!$H$2:$H$1001,0))&amp;"")</f>
        <v/>
      </c>
      <c r="E81" s="16">
        <f>IF($A81="","",INDEX('부의금 입력'!$E$2:$E$1001,MATCH($A81,'부의금 입력'!$H$2:$H$1001,0))&amp;"")</f>
        <v/>
      </c>
      <c r="H81" s="16">
        <f>IF(78&gt;$I$1,"",INDEX('근조 화환'!$B$2:$B$501,MATCH(78,'근조 화환'!$G$2:$G$501,0))&amp;"")</f>
        <v/>
      </c>
      <c r="I81" s="16">
        <f>IF(78&gt;$I$1,"",INDEX('근조 화환'!$C$2:$C$501,MATCH(78,'근조 화환'!$G$2:$G$501,0))&amp;"")</f>
        <v/>
      </c>
      <c r="J81" s="16">
        <f>IF(78&gt;$I$1,"",INDEX('근조 화환'!$D$2:$D$501,MATCH(78,'근조 화환'!$G$2:$G$501,0))&amp;"")</f>
        <v/>
      </c>
      <c r="K81" s="16">
        <f>IF(78&gt;$I$1,"",INDEX('근조 화환'!$E$2:$E$501,MATCH(78,'근조 화환'!$G$2:$G$501,0))&amp;"")</f>
        <v/>
      </c>
    </row>
    <row r="82">
      <c r="A82" s="16">
        <f>IF(79&lt;=$F$1,79,"")</f>
        <v/>
      </c>
      <c r="B82" s="16">
        <f>IF($A82="","",INDEX('부의금 입력'!$B$2:$B$1001,MATCH($A82,'부의금 입력'!$H$2:$H$1001,0))&amp;"")</f>
        <v/>
      </c>
      <c r="C82" s="18">
        <f>IF($A82="","",INDEX('부의금 입력'!$C$2:$C$1001,MATCH($A82,'부의금 입력'!$H$2:$H$1001,0)))</f>
        <v/>
      </c>
      <c r="D82" s="16">
        <f>IF($A82="","",INDEX('부의금 입력'!$D$2:$D$1001,MATCH($A82,'부의금 입력'!$H$2:$H$1001,0))&amp;"")</f>
        <v/>
      </c>
      <c r="E82" s="16">
        <f>IF($A82="","",INDEX('부의금 입력'!$E$2:$E$1001,MATCH($A82,'부의금 입력'!$H$2:$H$1001,0))&amp;"")</f>
        <v/>
      </c>
      <c r="H82" s="16">
        <f>IF(79&gt;$I$1,"",INDEX('근조 화환'!$B$2:$B$501,MATCH(79,'근조 화환'!$G$2:$G$501,0))&amp;"")</f>
        <v/>
      </c>
      <c r="I82" s="16">
        <f>IF(79&gt;$I$1,"",INDEX('근조 화환'!$C$2:$C$501,MATCH(79,'근조 화환'!$G$2:$G$501,0))&amp;"")</f>
        <v/>
      </c>
      <c r="J82" s="16">
        <f>IF(79&gt;$I$1,"",INDEX('근조 화환'!$D$2:$D$501,MATCH(79,'근조 화환'!$G$2:$G$501,0))&amp;"")</f>
        <v/>
      </c>
      <c r="K82" s="16">
        <f>IF(79&gt;$I$1,"",INDEX('근조 화환'!$E$2:$E$501,MATCH(79,'근조 화환'!$G$2:$G$501,0))&amp;"")</f>
        <v/>
      </c>
    </row>
    <row r="83">
      <c r="A83" s="16">
        <f>IF(80&lt;=$F$1,80,"")</f>
        <v/>
      </c>
      <c r="B83" s="16">
        <f>IF($A83="","",INDEX('부의금 입력'!$B$2:$B$1001,MATCH($A83,'부의금 입력'!$H$2:$H$1001,0))&amp;"")</f>
        <v/>
      </c>
      <c r="C83" s="18">
        <f>IF($A83="","",INDEX('부의금 입력'!$C$2:$C$1001,MATCH($A83,'부의금 입력'!$H$2:$H$1001,0)))</f>
        <v/>
      </c>
      <c r="D83" s="16">
        <f>IF($A83="","",INDEX('부의금 입력'!$D$2:$D$1001,MATCH($A83,'부의금 입력'!$H$2:$H$1001,0))&amp;"")</f>
        <v/>
      </c>
      <c r="E83" s="16">
        <f>IF($A83="","",INDEX('부의금 입력'!$E$2:$E$1001,MATCH($A83,'부의금 입력'!$H$2:$H$1001,0))&amp;"")</f>
        <v/>
      </c>
      <c r="H83" s="16">
        <f>IF(80&gt;$I$1,"",INDEX('근조 화환'!$B$2:$B$501,MATCH(80,'근조 화환'!$G$2:$G$501,0))&amp;"")</f>
        <v/>
      </c>
      <c r="I83" s="16">
        <f>IF(80&gt;$I$1,"",INDEX('근조 화환'!$C$2:$C$501,MATCH(80,'근조 화환'!$G$2:$G$501,0))&amp;"")</f>
        <v/>
      </c>
      <c r="J83" s="16">
        <f>IF(80&gt;$I$1,"",INDEX('근조 화환'!$D$2:$D$501,MATCH(80,'근조 화환'!$G$2:$G$501,0))&amp;"")</f>
        <v/>
      </c>
      <c r="K83" s="16">
        <f>IF(80&gt;$I$1,"",INDEX('근조 화환'!$E$2:$E$501,MATCH(80,'근조 화환'!$G$2:$G$501,0))&amp;"")</f>
        <v/>
      </c>
    </row>
    <row r="84">
      <c r="A84" s="16">
        <f>IF(81&lt;=$F$1,81,"")</f>
        <v/>
      </c>
      <c r="B84" s="16">
        <f>IF($A84="","",INDEX('부의금 입력'!$B$2:$B$1001,MATCH($A84,'부의금 입력'!$H$2:$H$1001,0))&amp;"")</f>
        <v/>
      </c>
      <c r="C84" s="18">
        <f>IF($A84="","",INDEX('부의금 입력'!$C$2:$C$1001,MATCH($A84,'부의금 입력'!$H$2:$H$1001,0)))</f>
        <v/>
      </c>
      <c r="D84" s="16">
        <f>IF($A84="","",INDEX('부의금 입력'!$D$2:$D$1001,MATCH($A84,'부의금 입력'!$H$2:$H$1001,0))&amp;"")</f>
        <v/>
      </c>
      <c r="E84" s="16">
        <f>IF($A84="","",INDEX('부의금 입력'!$E$2:$E$1001,MATCH($A84,'부의금 입력'!$H$2:$H$1001,0))&amp;"")</f>
        <v/>
      </c>
      <c r="H84" s="16">
        <f>IF(81&gt;$I$1,"",INDEX('근조 화환'!$B$2:$B$501,MATCH(81,'근조 화환'!$G$2:$G$501,0))&amp;"")</f>
        <v/>
      </c>
      <c r="I84" s="16">
        <f>IF(81&gt;$I$1,"",INDEX('근조 화환'!$C$2:$C$501,MATCH(81,'근조 화환'!$G$2:$G$501,0))&amp;"")</f>
        <v/>
      </c>
      <c r="J84" s="16">
        <f>IF(81&gt;$I$1,"",INDEX('근조 화환'!$D$2:$D$501,MATCH(81,'근조 화환'!$G$2:$G$501,0))&amp;"")</f>
        <v/>
      </c>
      <c r="K84" s="16">
        <f>IF(81&gt;$I$1,"",INDEX('근조 화환'!$E$2:$E$501,MATCH(81,'근조 화환'!$G$2:$G$501,0))&amp;"")</f>
        <v/>
      </c>
    </row>
    <row r="85">
      <c r="A85" s="16">
        <f>IF(82&lt;=$F$1,82,"")</f>
        <v/>
      </c>
      <c r="B85" s="16">
        <f>IF($A85="","",INDEX('부의금 입력'!$B$2:$B$1001,MATCH($A85,'부의금 입력'!$H$2:$H$1001,0))&amp;"")</f>
        <v/>
      </c>
      <c r="C85" s="18">
        <f>IF($A85="","",INDEX('부의금 입력'!$C$2:$C$1001,MATCH($A85,'부의금 입력'!$H$2:$H$1001,0)))</f>
        <v/>
      </c>
      <c r="D85" s="16">
        <f>IF($A85="","",INDEX('부의금 입력'!$D$2:$D$1001,MATCH($A85,'부의금 입력'!$H$2:$H$1001,0))&amp;"")</f>
        <v/>
      </c>
      <c r="E85" s="16">
        <f>IF($A85="","",INDEX('부의금 입력'!$E$2:$E$1001,MATCH($A85,'부의금 입력'!$H$2:$H$1001,0))&amp;"")</f>
        <v/>
      </c>
      <c r="H85" s="16">
        <f>IF(82&gt;$I$1,"",INDEX('근조 화환'!$B$2:$B$501,MATCH(82,'근조 화환'!$G$2:$G$501,0))&amp;"")</f>
        <v/>
      </c>
      <c r="I85" s="16">
        <f>IF(82&gt;$I$1,"",INDEX('근조 화환'!$C$2:$C$501,MATCH(82,'근조 화환'!$G$2:$G$501,0))&amp;"")</f>
        <v/>
      </c>
      <c r="J85" s="16">
        <f>IF(82&gt;$I$1,"",INDEX('근조 화환'!$D$2:$D$501,MATCH(82,'근조 화환'!$G$2:$G$501,0))&amp;"")</f>
        <v/>
      </c>
      <c r="K85" s="16">
        <f>IF(82&gt;$I$1,"",INDEX('근조 화환'!$E$2:$E$501,MATCH(82,'근조 화환'!$G$2:$G$501,0))&amp;"")</f>
        <v/>
      </c>
    </row>
    <row r="86">
      <c r="A86" s="16">
        <f>IF(83&lt;=$F$1,83,"")</f>
        <v/>
      </c>
      <c r="B86" s="16">
        <f>IF($A86="","",INDEX('부의금 입력'!$B$2:$B$1001,MATCH($A86,'부의금 입력'!$H$2:$H$1001,0))&amp;"")</f>
        <v/>
      </c>
      <c r="C86" s="18">
        <f>IF($A86="","",INDEX('부의금 입력'!$C$2:$C$1001,MATCH($A86,'부의금 입력'!$H$2:$H$1001,0)))</f>
        <v/>
      </c>
      <c r="D86" s="16">
        <f>IF($A86="","",INDEX('부의금 입력'!$D$2:$D$1001,MATCH($A86,'부의금 입력'!$H$2:$H$1001,0))&amp;"")</f>
        <v/>
      </c>
      <c r="E86" s="16">
        <f>IF($A86="","",INDEX('부의금 입력'!$E$2:$E$1001,MATCH($A86,'부의금 입력'!$H$2:$H$1001,0))&amp;"")</f>
        <v/>
      </c>
      <c r="H86" s="16">
        <f>IF(83&gt;$I$1,"",INDEX('근조 화환'!$B$2:$B$501,MATCH(83,'근조 화환'!$G$2:$G$501,0))&amp;"")</f>
        <v/>
      </c>
      <c r="I86" s="16">
        <f>IF(83&gt;$I$1,"",INDEX('근조 화환'!$C$2:$C$501,MATCH(83,'근조 화환'!$G$2:$G$501,0))&amp;"")</f>
        <v/>
      </c>
      <c r="J86" s="16">
        <f>IF(83&gt;$I$1,"",INDEX('근조 화환'!$D$2:$D$501,MATCH(83,'근조 화환'!$G$2:$G$501,0))&amp;"")</f>
        <v/>
      </c>
      <c r="K86" s="16">
        <f>IF(83&gt;$I$1,"",INDEX('근조 화환'!$E$2:$E$501,MATCH(83,'근조 화환'!$G$2:$G$501,0))&amp;"")</f>
        <v/>
      </c>
    </row>
    <row r="87">
      <c r="A87" s="16">
        <f>IF(84&lt;=$F$1,84,"")</f>
        <v/>
      </c>
      <c r="B87" s="16">
        <f>IF($A87="","",INDEX('부의금 입력'!$B$2:$B$1001,MATCH($A87,'부의금 입력'!$H$2:$H$1001,0))&amp;"")</f>
        <v/>
      </c>
      <c r="C87" s="18">
        <f>IF($A87="","",INDEX('부의금 입력'!$C$2:$C$1001,MATCH($A87,'부의금 입력'!$H$2:$H$1001,0)))</f>
        <v/>
      </c>
      <c r="D87" s="16">
        <f>IF($A87="","",INDEX('부의금 입력'!$D$2:$D$1001,MATCH($A87,'부의금 입력'!$H$2:$H$1001,0))&amp;"")</f>
        <v/>
      </c>
      <c r="E87" s="16">
        <f>IF($A87="","",INDEX('부의금 입력'!$E$2:$E$1001,MATCH($A87,'부의금 입력'!$H$2:$H$1001,0))&amp;"")</f>
        <v/>
      </c>
      <c r="H87" s="16">
        <f>IF(84&gt;$I$1,"",INDEX('근조 화환'!$B$2:$B$501,MATCH(84,'근조 화환'!$G$2:$G$501,0))&amp;"")</f>
        <v/>
      </c>
      <c r="I87" s="16">
        <f>IF(84&gt;$I$1,"",INDEX('근조 화환'!$C$2:$C$501,MATCH(84,'근조 화환'!$G$2:$G$501,0))&amp;"")</f>
        <v/>
      </c>
      <c r="J87" s="16">
        <f>IF(84&gt;$I$1,"",INDEX('근조 화환'!$D$2:$D$501,MATCH(84,'근조 화환'!$G$2:$G$501,0))&amp;"")</f>
        <v/>
      </c>
      <c r="K87" s="16">
        <f>IF(84&gt;$I$1,"",INDEX('근조 화환'!$E$2:$E$501,MATCH(84,'근조 화환'!$G$2:$G$501,0))&amp;"")</f>
        <v/>
      </c>
    </row>
    <row r="88">
      <c r="A88" s="16">
        <f>IF(85&lt;=$F$1,85,"")</f>
        <v/>
      </c>
      <c r="B88" s="16">
        <f>IF($A88="","",INDEX('부의금 입력'!$B$2:$B$1001,MATCH($A88,'부의금 입력'!$H$2:$H$1001,0))&amp;"")</f>
        <v/>
      </c>
      <c r="C88" s="18">
        <f>IF($A88="","",INDEX('부의금 입력'!$C$2:$C$1001,MATCH($A88,'부의금 입력'!$H$2:$H$1001,0)))</f>
        <v/>
      </c>
      <c r="D88" s="16">
        <f>IF($A88="","",INDEX('부의금 입력'!$D$2:$D$1001,MATCH($A88,'부의금 입력'!$H$2:$H$1001,0))&amp;"")</f>
        <v/>
      </c>
      <c r="E88" s="16">
        <f>IF($A88="","",INDEX('부의금 입력'!$E$2:$E$1001,MATCH($A88,'부의금 입력'!$H$2:$H$1001,0))&amp;"")</f>
        <v/>
      </c>
      <c r="H88" s="16">
        <f>IF(85&gt;$I$1,"",INDEX('근조 화환'!$B$2:$B$501,MATCH(85,'근조 화환'!$G$2:$G$501,0))&amp;"")</f>
        <v/>
      </c>
      <c r="I88" s="16">
        <f>IF(85&gt;$I$1,"",INDEX('근조 화환'!$C$2:$C$501,MATCH(85,'근조 화환'!$G$2:$G$501,0))&amp;"")</f>
        <v/>
      </c>
      <c r="J88" s="16">
        <f>IF(85&gt;$I$1,"",INDEX('근조 화환'!$D$2:$D$501,MATCH(85,'근조 화환'!$G$2:$G$501,0))&amp;"")</f>
        <v/>
      </c>
      <c r="K88" s="16">
        <f>IF(85&gt;$I$1,"",INDEX('근조 화환'!$E$2:$E$501,MATCH(85,'근조 화환'!$G$2:$G$501,0))&amp;"")</f>
        <v/>
      </c>
    </row>
    <row r="89">
      <c r="A89" s="16">
        <f>IF(86&lt;=$F$1,86,"")</f>
        <v/>
      </c>
      <c r="B89" s="16">
        <f>IF($A89="","",INDEX('부의금 입력'!$B$2:$B$1001,MATCH($A89,'부의금 입력'!$H$2:$H$1001,0))&amp;"")</f>
        <v/>
      </c>
      <c r="C89" s="18">
        <f>IF($A89="","",INDEX('부의금 입력'!$C$2:$C$1001,MATCH($A89,'부의금 입력'!$H$2:$H$1001,0)))</f>
        <v/>
      </c>
      <c r="D89" s="16">
        <f>IF($A89="","",INDEX('부의금 입력'!$D$2:$D$1001,MATCH($A89,'부의금 입력'!$H$2:$H$1001,0))&amp;"")</f>
        <v/>
      </c>
      <c r="E89" s="16">
        <f>IF($A89="","",INDEX('부의금 입력'!$E$2:$E$1001,MATCH($A89,'부의금 입력'!$H$2:$H$1001,0))&amp;"")</f>
        <v/>
      </c>
      <c r="H89" s="16">
        <f>IF(86&gt;$I$1,"",INDEX('근조 화환'!$B$2:$B$501,MATCH(86,'근조 화환'!$G$2:$G$501,0))&amp;"")</f>
        <v/>
      </c>
      <c r="I89" s="16">
        <f>IF(86&gt;$I$1,"",INDEX('근조 화환'!$C$2:$C$501,MATCH(86,'근조 화환'!$G$2:$G$501,0))&amp;"")</f>
        <v/>
      </c>
      <c r="J89" s="16">
        <f>IF(86&gt;$I$1,"",INDEX('근조 화환'!$D$2:$D$501,MATCH(86,'근조 화환'!$G$2:$G$501,0))&amp;"")</f>
        <v/>
      </c>
      <c r="K89" s="16">
        <f>IF(86&gt;$I$1,"",INDEX('근조 화환'!$E$2:$E$501,MATCH(86,'근조 화환'!$G$2:$G$501,0))&amp;"")</f>
        <v/>
      </c>
    </row>
    <row r="90">
      <c r="A90" s="16">
        <f>IF(87&lt;=$F$1,87,"")</f>
        <v/>
      </c>
      <c r="B90" s="16">
        <f>IF($A90="","",INDEX('부의금 입력'!$B$2:$B$1001,MATCH($A90,'부의금 입력'!$H$2:$H$1001,0))&amp;"")</f>
        <v/>
      </c>
      <c r="C90" s="18">
        <f>IF($A90="","",INDEX('부의금 입력'!$C$2:$C$1001,MATCH($A90,'부의금 입력'!$H$2:$H$1001,0)))</f>
        <v/>
      </c>
      <c r="D90" s="16">
        <f>IF($A90="","",INDEX('부의금 입력'!$D$2:$D$1001,MATCH($A90,'부의금 입력'!$H$2:$H$1001,0))&amp;"")</f>
        <v/>
      </c>
      <c r="E90" s="16">
        <f>IF($A90="","",INDEX('부의금 입력'!$E$2:$E$1001,MATCH($A90,'부의금 입력'!$H$2:$H$1001,0))&amp;"")</f>
        <v/>
      </c>
      <c r="H90" s="16">
        <f>IF(87&gt;$I$1,"",INDEX('근조 화환'!$B$2:$B$501,MATCH(87,'근조 화환'!$G$2:$G$501,0))&amp;"")</f>
        <v/>
      </c>
      <c r="I90" s="16">
        <f>IF(87&gt;$I$1,"",INDEX('근조 화환'!$C$2:$C$501,MATCH(87,'근조 화환'!$G$2:$G$501,0))&amp;"")</f>
        <v/>
      </c>
      <c r="J90" s="16">
        <f>IF(87&gt;$I$1,"",INDEX('근조 화환'!$D$2:$D$501,MATCH(87,'근조 화환'!$G$2:$G$501,0))&amp;"")</f>
        <v/>
      </c>
      <c r="K90" s="16">
        <f>IF(87&gt;$I$1,"",INDEX('근조 화환'!$E$2:$E$501,MATCH(87,'근조 화환'!$G$2:$G$501,0))&amp;"")</f>
        <v/>
      </c>
    </row>
    <row r="91">
      <c r="A91" s="16">
        <f>IF(88&lt;=$F$1,88,"")</f>
        <v/>
      </c>
      <c r="B91" s="16">
        <f>IF($A91="","",INDEX('부의금 입력'!$B$2:$B$1001,MATCH($A91,'부의금 입력'!$H$2:$H$1001,0))&amp;"")</f>
        <v/>
      </c>
      <c r="C91" s="18">
        <f>IF($A91="","",INDEX('부의금 입력'!$C$2:$C$1001,MATCH($A91,'부의금 입력'!$H$2:$H$1001,0)))</f>
        <v/>
      </c>
      <c r="D91" s="16">
        <f>IF($A91="","",INDEX('부의금 입력'!$D$2:$D$1001,MATCH($A91,'부의금 입력'!$H$2:$H$1001,0))&amp;"")</f>
        <v/>
      </c>
      <c r="E91" s="16">
        <f>IF($A91="","",INDEX('부의금 입력'!$E$2:$E$1001,MATCH($A91,'부의금 입력'!$H$2:$H$1001,0))&amp;"")</f>
        <v/>
      </c>
      <c r="H91" s="16">
        <f>IF(88&gt;$I$1,"",INDEX('근조 화환'!$B$2:$B$501,MATCH(88,'근조 화환'!$G$2:$G$501,0))&amp;"")</f>
        <v/>
      </c>
      <c r="I91" s="16">
        <f>IF(88&gt;$I$1,"",INDEX('근조 화환'!$C$2:$C$501,MATCH(88,'근조 화환'!$G$2:$G$501,0))&amp;"")</f>
        <v/>
      </c>
      <c r="J91" s="16">
        <f>IF(88&gt;$I$1,"",INDEX('근조 화환'!$D$2:$D$501,MATCH(88,'근조 화환'!$G$2:$G$501,0))&amp;"")</f>
        <v/>
      </c>
      <c r="K91" s="16">
        <f>IF(88&gt;$I$1,"",INDEX('근조 화환'!$E$2:$E$501,MATCH(88,'근조 화환'!$G$2:$G$501,0))&amp;"")</f>
        <v/>
      </c>
    </row>
    <row r="92">
      <c r="A92" s="16">
        <f>IF(89&lt;=$F$1,89,"")</f>
        <v/>
      </c>
      <c r="B92" s="16">
        <f>IF($A92="","",INDEX('부의금 입력'!$B$2:$B$1001,MATCH($A92,'부의금 입력'!$H$2:$H$1001,0))&amp;"")</f>
        <v/>
      </c>
      <c r="C92" s="18">
        <f>IF($A92="","",INDEX('부의금 입력'!$C$2:$C$1001,MATCH($A92,'부의금 입력'!$H$2:$H$1001,0)))</f>
        <v/>
      </c>
      <c r="D92" s="16">
        <f>IF($A92="","",INDEX('부의금 입력'!$D$2:$D$1001,MATCH($A92,'부의금 입력'!$H$2:$H$1001,0))&amp;"")</f>
        <v/>
      </c>
      <c r="E92" s="16">
        <f>IF($A92="","",INDEX('부의금 입력'!$E$2:$E$1001,MATCH($A92,'부의금 입력'!$H$2:$H$1001,0))&amp;"")</f>
        <v/>
      </c>
      <c r="H92" s="16">
        <f>IF(89&gt;$I$1,"",INDEX('근조 화환'!$B$2:$B$501,MATCH(89,'근조 화환'!$G$2:$G$501,0))&amp;"")</f>
        <v/>
      </c>
      <c r="I92" s="16">
        <f>IF(89&gt;$I$1,"",INDEX('근조 화환'!$C$2:$C$501,MATCH(89,'근조 화환'!$G$2:$G$501,0))&amp;"")</f>
        <v/>
      </c>
      <c r="J92" s="16">
        <f>IF(89&gt;$I$1,"",INDEX('근조 화환'!$D$2:$D$501,MATCH(89,'근조 화환'!$G$2:$G$501,0))&amp;"")</f>
        <v/>
      </c>
      <c r="K92" s="16">
        <f>IF(89&gt;$I$1,"",INDEX('근조 화환'!$E$2:$E$501,MATCH(89,'근조 화환'!$G$2:$G$501,0))&amp;"")</f>
        <v/>
      </c>
    </row>
    <row r="93">
      <c r="A93" s="16">
        <f>IF(90&lt;=$F$1,90,"")</f>
        <v/>
      </c>
      <c r="B93" s="16">
        <f>IF($A93="","",INDEX('부의금 입력'!$B$2:$B$1001,MATCH($A93,'부의금 입력'!$H$2:$H$1001,0))&amp;"")</f>
        <v/>
      </c>
      <c r="C93" s="18">
        <f>IF($A93="","",INDEX('부의금 입력'!$C$2:$C$1001,MATCH($A93,'부의금 입력'!$H$2:$H$1001,0)))</f>
        <v/>
      </c>
      <c r="D93" s="16">
        <f>IF($A93="","",INDEX('부의금 입력'!$D$2:$D$1001,MATCH($A93,'부의금 입력'!$H$2:$H$1001,0))&amp;"")</f>
        <v/>
      </c>
      <c r="E93" s="16">
        <f>IF($A93="","",INDEX('부의금 입력'!$E$2:$E$1001,MATCH($A93,'부의금 입력'!$H$2:$H$1001,0))&amp;"")</f>
        <v/>
      </c>
      <c r="H93" s="16">
        <f>IF(90&gt;$I$1,"",INDEX('근조 화환'!$B$2:$B$501,MATCH(90,'근조 화환'!$G$2:$G$501,0))&amp;"")</f>
        <v/>
      </c>
      <c r="I93" s="16">
        <f>IF(90&gt;$I$1,"",INDEX('근조 화환'!$C$2:$C$501,MATCH(90,'근조 화환'!$G$2:$G$501,0))&amp;"")</f>
        <v/>
      </c>
      <c r="J93" s="16">
        <f>IF(90&gt;$I$1,"",INDEX('근조 화환'!$D$2:$D$501,MATCH(90,'근조 화환'!$G$2:$G$501,0))&amp;"")</f>
        <v/>
      </c>
      <c r="K93" s="16">
        <f>IF(90&gt;$I$1,"",INDEX('근조 화환'!$E$2:$E$501,MATCH(90,'근조 화환'!$G$2:$G$501,0))&amp;"")</f>
        <v/>
      </c>
    </row>
    <row r="94">
      <c r="A94" s="16">
        <f>IF(91&lt;=$F$1,91,"")</f>
        <v/>
      </c>
      <c r="B94" s="16">
        <f>IF($A94="","",INDEX('부의금 입력'!$B$2:$B$1001,MATCH($A94,'부의금 입력'!$H$2:$H$1001,0))&amp;"")</f>
        <v/>
      </c>
      <c r="C94" s="18">
        <f>IF($A94="","",INDEX('부의금 입력'!$C$2:$C$1001,MATCH($A94,'부의금 입력'!$H$2:$H$1001,0)))</f>
        <v/>
      </c>
      <c r="D94" s="16">
        <f>IF($A94="","",INDEX('부의금 입력'!$D$2:$D$1001,MATCH($A94,'부의금 입력'!$H$2:$H$1001,0))&amp;"")</f>
        <v/>
      </c>
      <c r="E94" s="16">
        <f>IF($A94="","",INDEX('부의금 입력'!$E$2:$E$1001,MATCH($A94,'부의금 입력'!$H$2:$H$1001,0))&amp;"")</f>
        <v/>
      </c>
      <c r="H94" s="16">
        <f>IF(91&gt;$I$1,"",INDEX('근조 화환'!$B$2:$B$501,MATCH(91,'근조 화환'!$G$2:$G$501,0))&amp;"")</f>
        <v/>
      </c>
      <c r="I94" s="16">
        <f>IF(91&gt;$I$1,"",INDEX('근조 화환'!$C$2:$C$501,MATCH(91,'근조 화환'!$G$2:$G$501,0))&amp;"")</f>
        <v/>
      </c>
      <c r="J94" s="16">
        <f>IF(91&gt;$I$1,"",INDEX('근조 화환'!$D$2:$D$501,MATCH(91,'근조 화환'!$G$2:$G$501,0))&amp;"")</f>
        <v/>
      </c>
      <c r="K94" s="16">
        <f>IF(91&gt;$I$1,"",INDEX('근조 화환'!$E$2:$E$501,MATCH(91,'근조 화환'!$G$2:$G$501,0))&amp;"")</f>
        <v/>
      </c>
    </row>
    <row r="95">
      <c r="A95" s="16">
        <f>IF(92&lt;=$F$1,92,"")</f>
        <v/>
      </c>
      <c r="B95" s="16">
        <f>IF($A95="","",INDEX('부의금 입력'!$B$2:$B$1001,MATCH($A95,'부의금 입력'!$H$2:$H$1001,0))&amp;"")</f>
        <v/>
      </c>
      <c r="C95" s="18">
        <f>IF($A95="","",INDEX('부의금 입력'!$C$2:$C$1001,MATCH($A95,'부의금 입력'!$H$2:$H$1001,0)))</f>
        <v/>
      </c>
      <c r="D95" s="16">
        <f>IF($A95="","",INDEX('부의금 입력'!$D$2:$D$1001,MATCH($A95,'부의금 입력'!$H$2:$H$1001,0))&amp;"")</f>
        <v/>
      </c>
      <c r="E95" s="16">
        <f>IF($A95="","",INDEX('부의금 입력'!$E$2:$E$1001,MATCH($A95,'부의금 입력'!$H$2:$H$1001,0))&amp;"")</f>
        <v/>
      </c>
      <c r="H95" s="16">
        <f>IF(92&gt;$I$1,"",INDEX('근조 화환'!$B$2:$B$501,MATCH(92,'근조 화환'!$G$2:$G$501,0))&amp;"")</f>
        <v/>
      </c>
      <c r="I95" s="16">
        <f>IF(92&gt;$I$1,"",INDEX('근조 화환'!$C$2:$C$501,MATCH(92,'근조 화환'!$G$2:$G$501,0))&amp;"")</f>
        <v/>
      </c>
      <c r="J95" s="16">
        <f>IF(92&gt;$I$1,"",INDEX('근조 화환'!$D$2:$D$501,MATCH(92,'근조 화환'!$G$2:$G$501,0))&amp;"")</f>
        <v/>
      </c>
      <c r="K95" s="16">
        <f>IF(92&gt;$I$1,"",INDEX('근조 화환'!$E$2:$E$501,MATCH(92,'근조 화환'!$G$2:$G$501,0))&amp;"")</f>
        <v/>
      </c>
    </row>
    <row r="96">
      <c r="A96" s="16">
        <f>IF(93&lt;=$F$1,93,"")</f>
        <v/>
      </c>
      <c r="B96" s="16">
        <f>IF($A96="","",INDEX('부의금 입력'!$B$2:$B$1001,MATCH($A96,'부의금 입력'!$H$2:$H$1001,0))&amp;"")</f>
        <v/>
      </c>
      <c r="C96" s="18">
        <f>IF($A96="","",INDEX('부의금 입력'!$C$2:$C$1001,MATCH($A96,'부의금 입력'!$H$2:$H$1001,0)))</f>
        <v/>
      </c>
      <c r="D96" s="16">
        <f>IF($A96="","",INDEX('부의금 입력'!$D$2:$D$1001,MATCH($A96,'부의금 입력'!$H$2:$H$1001,0))&amp;"")</f>
        <v/>
      </c>
      <c r="E96" s="16">
        <f>IF($A96="","",INDEX('부의금 입력'!$E$2:$E$1001,MATCH($A96,'부의금 입력'!$H$2:$H$1001,0))&amp;"")</f>
        <v/>
      </c>
      <c r="H96" s="16">
        <f>IF(93&gt;$I$1,"",INDEX('근조 화환'!$B$2:$B$501,MATCH(93,'근조 화환'!$G$2:$G$501,0))&amp;"")</f>
        <v/>
      </c>
      <c r="I96" s="16">
        <f>IF(93&gt;$I$1,"",INDEX('근조 화환'!$C$2:$C$501,MATCH(93,'근조 화환'!$G$2:$G$501,0))&amp;"")</f>
        <v/>
      </c>
      <c r="J96" s="16">
        <f>IF(93&gt;$I$1,"",INDEX('근조 화환'!$D$2:$D$501,MATCH(93,'근조 화환'!$G$2:$G$501,0))&amp;"")</f>
        <v/>
      </c>
      <c r="K96" s="16">
        <f>IF(93&gt;$I$1,"",INDEX('근조 화환'!$E$2:$E$501,MATCH(93,'근조 화환'!$G$2:$G$501,0))&amp;"")</f>
        <v/>
      </c>
    </row>
    <row r="97">
      <c r="A97" s="16">
        <f>IF(94&lt;=$F$1,94,"")</f>
        <v/>
      </c>
      <c r="B97" s="16">
        <f>IF($A97="","",INDEX('부의금 입력'!$B$2:$B$1001,MATCH($A97,'부의금 입력'!$H$2:$H$1001,0))&amp;"")</f>
        <v/>
      </c>
      <c r="C97" s="18">
        <f>IF($A97="","",INDEX('부의금 입력'!$C$2:$C$1001,MATCH($A97,'부의금 입력'!$H$2:$H$1001,0)))</f>
        <v/>
      </c>
      <c r="D97" s="16">
        <f>IF($A97="","",INDEX('부의금 입력'!$D$2:$D$1001,MATCH($A97,'부의금 입력'!$H$2:$H$1001,0))&amp;"")</f>
        <v/>
      </c>
      <c r="E97" s="16">
        <f>IF($A97="","",INDEX('부의금 입력'!$E$2:$E$1001,MATCH($A97,'부의금 입력'!$H$2:$H$1001,0))&amp;"")</f>
        <v/>
      </c>
      <c r="H97" s="16">
        <f>IF(94&gt;$I$1,"",INDEX('근조 화환'!$B$2:$B$501,MATCH(94,'근조 화환'!$G$2:$G$501,0))&amp;"")</f>
        <v/>
      </c>
      <c r="I97" s="16">
        <f>IF(94&gt;$I$1,"",INDEX('근조 화환'!$C$2:$C$501,MATCH(94,'근조 화환'!$G$2:$G$501,0))&amp;"")</f>
        <v/>
      </c>
      <c r="J97" s="16">
        <f>IF(94&gt;$I$1,"",INDEX('근조 화환'!$D$2:$D$501,MATCH(94,'근조 화환'!$G$2:$G$501,0))&amp;"")</f>
        <v/>
      </c>
      <c r="K97" s="16">
        <f>IF(94&gt;$I$1,"",INDEX('근조 화환'!$E$2:$E$501,MATCH(94,'근조 화환'!$G$2:$G$501,0))&amp;"")</f>
        <v/>
      </c>
    </row>
    <row r="98">
      <c r="A98" s="16">
        <f>IF(95&lt;=$F$1,95,"")</f>
        <v/>
      </c>
      <c r="B98" s="16">
        <f>IF($A98="","",INDEX('부의금 입력'!$B$2:$B$1001,MATCH($A98,'부의금 입력'!$H$2:$H$1001,0))&amp;"")</f>
        <v/>
      </c>
      <c r="C98" s="18">
        <f>IF($A98="","",INDEX('부의금 입력'!$C$2:$C$1001,MATCH($A98,'부의금 입력'!$H$2:$H$1001,0)))</f>
        <v/>
      </c>
      <c r="D98" s="16">
        <f>IF($A98="","",INDEX('부의금 입력'!$D$2:$D$1001,MATCH($A98,'부의금 입력'!$H$2:$H$1001,0))&amp;"")</f>
        <v/>
      </c>
      <c r="E98" s="16">
        <f>IF($A98="","",INDEX('부의금 입력'!$E$2:$E$1001,MATCH($A98,'부의금 입력'!$H$2:$H$1001,0))&amp;"")</f>
        <v/>
      </c>
      <c r="H98" s="16">
        <f>IF(95&gt;$I$1,"",INDEX('근조 화환'!$B$2:$B$501,MATCH(95,'근조 화환'!$G$2:$G$501,0))&amp;"")</f>
        <v/>
      </c>
      <c r="I98" s="16">
        <f>IF(95&gt;$I$1,"",INDEX('근조 화환'!$C$2:$C$501,MATCH(95,'근조 화환'!$G$2:$G$501,0))&amp;"")</f>
        <v/>
      </c>
      <c r="J98" s="16">
        <f>IF(95&gt;$I$1,"",INDEX('근조 화환'!$D$2:$D$501,MATCH(95,'근조 화환'!$G$2:$G$501,0))&amp;"")</f>
        <v/>
      </c>
      <c r="K98" s="16">
        <f>IF(95&gt;$I$1,"",INDEX('근조 화환'!$E$2:$E$501,MATCH(95,'근조 화환'!$G$2:$G$501,0))&amp;"")</f>
        <v/>
      </c>
    </row>
    <row r="99">
      <c r="A99" s="16">
        <f>IF(96&lt;=$F$1,96,"")</f>
        <v/>
      </c>
      <c r="B99" s="16">
        <f>IF($A99="","",INDEX('부의금 입력'!$B$2:$B$1001,MATCH($A99,'부의금 입력'!$H$2:$H$1001,0))&amp;"")</f>
        <v/>
      </c>
      <c r="C99" s="18">
        <f>IF($A99="","",INDEX('부의금 입력'!$C$2:$C$1001,MATCH($A99,'부의금 입력'!$H$2:$H$1001,0)))</f>
        <v/>
      </c>
      <c r="D99" s="16">
        <f>IF($A99="","",INDEX('부의금 입력'!$D$2:$D$1001,MATCH($A99,'부의금 입력'!$H$2:$H$1001,0))&amp;"")</f>
        <v/>
      </c>
      <c r="E99" s="16">
        <f>IF($A99="","",INDEX('부의금 입력'!$E$2:$E$1001,MATCH($A99,'부의금 입력'!$H$2:$H$1001,0))&amp;"")</f>
        <v/>
      </c>
      <c r="H99" s="16">
        <f>IF(96&gt;$I$1,"",INDEX('근조 화환'!$B$2:$B$501,MATCH(96,'근조 화환'!$G$2:$G$501,0))&amp;"")</f>
        <v/>
      </c>
      <c r="I99" s="16">
        <f>IF(96&gt;$I$1,"",INDEX('근조 화환'!$C$2:$C$501,MATCH(96,'근조 화환'!$G$2:$G$501,0))&amp;"")</f>
        <v/>
      </c>
      <c r="J99" s="16">
        <f>IF(96&gt;$I$1,"",INDEX('근조 화환'!$D$2:$D$501,MATCH(96,'근조 화환'!$G$2:$G$501,0))&amp;"")</f>
        <v/>
      </c>
      <c r="K99" s="16">
        <f>IF(96&gt;$I$1,"",INDEX('근조 화환'!$E$2:$E$501,MATCH(96,'근조 화환'!$G$2:$G$501,0))&amp;"")</f>
        <v/>
      </c>
    </row>
    <row r="100">
      <c r="A100" s="16">
        <f>IF(97&lt;=$F$1,97,"")</f>
        <v/>
      </c>
      <c r="B100" s="16">
        <f>IF($A100="","",INDEX('부의금 입력'!$B$2:$B$1001,MATCH($A100,'부의금 입력'!$H$2:$H$1001,0))&amp;"")</f>
        <v/>
      </c>
      <c r="C100" s="18">
        <f>IF($A100="","",INDEX('부의금 입력'!$C$2:$C$1001,MATCH($A100,'부의금 입력'!$H$2:$H$1001,0)))</f>
        <v/>
      </c>
      <c r="D100" s="16">
        <f>IF($A100="","",INDEX('부의금 입력'!$D$2:$D$1001,MATCH($A100,'부의금 입력'!$H$2:$H$1001,0))&amp;"")</f>
        <v/>
      </c>
      <c r="E100" s="16">
        <f>IF($A100="","",INDEX('부의금 입력'!$E$2:$E$1001,MATCH($A100,'부의금 입력'!$H$2:$H$1001,0))&amp;"")</f>
        <v/>
      </c>
      <c r="H100" s="16">
        <f>IF(97&gt;$I$1,"",INDEX('근조 화환'!$B$2:$B$501,MATCH(97,'근조 화환'!$G$2:$G$501,0))&amp;"")</f>
        <v/>
      </c>
      <c r="I100" s="16">
        <f>IF(97&gt;$I$1,"",INDEX('근조 화환'!$C$2:$C$501,MATCH(97,'근조 화환'!$G$2:$G$501,0))&amp;"")</f>
        <v/>
      </c>
      <c r="J100" s="16">
        <f>IF(97&gt;$I$1,"",INDEX('근조 화환'!$D$2:$D$501,MATCH(97,'근조 화환'!$G$2:$G$501,0))&amp;"")</f>
        <v/>
      </c>
      <c r="K100" s="16">
        <f>IF(97&gt;$I$1,"",INDEX('근조 화환'!$E$2:$E$501,MATCH(97,'근조 화환'!$G$2:$G$501,0))&amp;"")</f>
        <v/>
      </c>
    </row>
    <row r="101">
      <c r="A101" s="16">
        <f>IF(98&lt;=$F$1,98,"")</f>
        <v/>
      </c>
      <c r="B101" s="16">
        <f>IF($A101="","",INDEX('부의금 입력'!$B$2:$B$1001,MATCH($A101,'부의금 입력'!$H$2:$H$1001,0))&amp;"")</f>
        <v/>
      </c>
      <c r="C101" s="18">
        <f>IF($A101="","",INDEX('부의금 입력'!$C$2:$C$1001,MATCH($A101,'부의금 입력'!$H$2:$H$1001,0)))</f>
        <v/>
      </c>
      <c r="D101" s="16">
        <f>IF($A101="","",INDEX('부의금 입력'!$D$2:$D$1001,MATCH($A101,'부의금 입력'!$H$2:$H$1001,0))&amp;"")</f>
        <v/>
      </c>
      <c r="E101" s="16">
        <f>IF($A101="","",INDEX('부의금 입력'!$E$2:$E$1001,MATCH($A101,'부의금 입력'!$H$2:$H$1001,0))&amp;"")</f>
        <v/>
      </c>
      <c r="H101" s="16">
        <f>IF(98&gt;$I$1,"",INDEX('근조 화환'!$B$2:$B$501,MATCH(98,'근조 화환'!$G$2:$G$501,0))&amp;"")</f>
        <v/>
      </c>
      <c r="I101" s="16">
        <f>IF(98&gt;$I$1,"",INDEX('근조 화환'!$C$2:$C$501,MATCH(98,'근조 화환'!$G$2:$G$501,0))&amp;"")</f>
        <v/>
      </c>
      <c r="J101" s="16">
        <f>IF(98&gt;$I$1,"",INDEX('근조 화환'!$D$2:$D$501,MATCH(98,'근조 화환'!$G$2:$G$501,0))&amp;"")</f>
        <v/>
      </c>
      <c r="K101" s="16">
        <f>IF(98&gt;$I$1,"",INDEX('근조 화환'!$E$2:$E$501,MATCH(98,'근조 화환'!$G$2:$G$501,0))&amp;"")</f>
        <v/>
      </c>
    </row>
    <row r="102">
      <c r="A102" s="16">
        <f>IF(99&lt;=$F$1,99,"")</f>
        <v/>
      </c>
      <c r="B102" s="16">
        <f>IF($A102="","",INDEX('부의금 입력'!$B$2:$B$1001,MATCH($A102,'부의금 입력'!$H$2:$H$1001,0))&amp;"")</f>
        <v/>
      </c>
      <c r="C102" s="18">
        <f>IF($A102="","",INDEX('부의금 입력'!$C$2:$C$1001,MATCH($A102,'부의금 입력'!$H$2:$H$1001,0)))</f>
        <v/>
      </c>
      <c r="D102" s="16">
        <f>IF($A102="","",INDEX('부의금 입력'!$D$2:$D$1001,MATCH($A102,'부의금 입력'!$H$2:$H$1001,0))&amp;"")</f>
        <v/>
      </c>
      <c r="E102" s="16">
        <f>IF($A102="","",INDEX('부의금 입력'!$E$2:$E$1001,MATCH($A102,'부의금 입력'!$H$2:$H$1001,0))&amp;"")</f>
        <v/>
      </c>
      <c r="H102" s="16">
        <f>IF(99&gt;$I$1,"",INDEX('근조 화환'!$B$2:$B$501,MATCH(99,'근조 화환'!$G$2:$G$501,0))&amp;"")</f>
        <v/>
      </c>
      <c r="I102" s="16">
        <f>IF(99&gt;$I$1,"",INDEX('근조 화환'!$C$2:$C$501,MATCH(99,'근조 화환'!$G$2:$G$501,0))&amp;"")</f>
        <v/>
      </c>
      <c r="J102" s="16">
        <f>IF(99&gt;$I$1,"",INDEX('근조 화환'!$D$2:$D$501,MATCH(99,'근조 화환'!$G$2:$G$501,0))&amp;"")</f>
        <v/>
      </c>
      <c r="K102" s="16">
        <f>IF(99&gt;$I$1,"",INDEX('근조 화환'!$E$2:$E$501,MATCH(99,'근조 화환'!$G$2:$G$501,0))&amp;"")</f>
        <v/>
      </c>
    </row>
    <row r="103">
      <c r="A103" s="16">
        <f>IF(100&lt;=$F$1,100,"")</f>
        <v/>
      </c>
      <c r="B103" s="16">
        <f>IF($A103="","",INDEX('부의금 입력'!$B$2:$B$1001,MATCH($A103,'부의금 입력'!$H$2:$H$1001,0))&amp;"")</f>
        <v/>
      </c>
      <c r="C103" s="18">
        <f>IF($A103="","",INDEX('부의금 입력'!$C$2:$C$1001,MATCH($A103,'부의금 입력'!$H$2:$H$1001,0)))</f>
        <v/>
      </c>
      <c r="D103" s="16">
        <f>IF($A103="","",INDEX('부의금 입력'!$D$2:$D$1001,MATCH($A103,'부의금 입력'!$H$2:$H$1001,0))&amp;"")</f>
        <v/>
      </c>
      <c r="E103" s="16">
        <f>IF($A103="","",INDEX('부의금 입력'!$E$2:$E$1001,MATCH($A103,'부의금 입력'!$H$2:$H$1001,0))&amp;"")</f>
        <v/>
      </c>
      <c r="H103" s="16">
        <f>IF(100&gt;$I$1,"",INDEX('근조 화환'!$B$2:$B$501,MATCH(100,'근조 화환'!$G$2:$G$501,0))&amp;"")</f>
        <v/>
      </c>
      <c r="I103" s="16">
        <f>IF(100&gt;$I$1,"",INDEX('근조 화환'!$C$2:$C$501,MATCH(100,'근조 화환'!$G$2:$G$501,0))&amp;"")</f>
        <v/>
      </c>
      <c r="J103" s="16">
        <f>IF(100&gt;$I$1,"",INDEX('근조 화환'!$D$2:$D$501,MATCH(100,'근조 화환'!$G$2:$G$501,0))&amp;"")</f>
        <v/>
      </c>
      <c r="K103" s="16">
        <f>IF(100&gt;$I$1,"",INDEX('근조 화환'!$E$2:$E$501,MATCH(100,'근조 화환'!$G$2:$G$501,0))&amp;"")</f>
        <v/>
      </c>
    </row>
    <row r="104">
      <c r="A104" s="16">
        <f>IF(101&lt;=$F$1,101,"")</f>
        <v/>
      </c>
      <c r="B104" s="16">
        <f>IF($A104="","",INDEX('부의금 입력'!$B$2:$B$1001,MATCH($A104,'부의금 입력'!$H$2:$H$1001,0))&amp;"")</f>
        <v/>
      </c>
      <c r="C104" s="18">
        <f>IF($A104="","",INDEX('부의금 입력'!$C$2:$C$1001,MATCH($A104,'부의금 입력'!$H$2:$H$1001,0)))</f>
        <v/>
      </c>
      <c r="D104" s="16">
        <f>IF($A104="","",INDEX('부의금 입력'!$D$2:$D$1001,MATCH($A104,'부의금 입력'!$H$2:$H$1001,0))&amp;"")</f>
        <v/>
      </c>
      <c r="E104" s="16">
        <f>IF($A104="","",INDEX('부의금 입력'!$E$2:$E$1001,MATCH($A104,'부의금 입력'!$H$2:$H$1001,0))&amp;"")</f>
        <v/>
      </c>
      <c r="H104" s="16">
        <f>IF(101&gt;$I$1,"",INDEX('근조 화환'!$B$2:$B$501,MATCH(101,'근조 화환'!$G$2:$G$501,0))&amp;"")</f>
        <v/>
      </c>
      <c r="I104" s="16">
        <f>IF(101&gt;$I$1,"",INDEX('근조 화환'!$C$2:$C$501,MATCH(101,'근조 화환'!$G$2:$G$501,0))&amp;"")</f>
        <v/>
      </c>
      <c r="J104" s="16">
        <f>IF(101&gt;$I$1,"",INDEX('근조 화환'!$D$2:$D$501,MATCH(101,'근조 화환'!$G$2:$G$501,0))&amp;"")</f>
        <v/>
      </c>
      <c r="K104" s="16">
        <f>IF(101&gt;$I$1,"",INDEX('근조 화환'!$E$2:$E$501,MATCH(101,'근조 화환'!$G$2:$G$501,0))&amp;"")</f>
        <v/>
      </c>
    </row>
    <row r="105">
      <c r="A105" s="16">
        <f>IF(102&lt;=$F$1,102,"")</f>
        <v/>
      </c>
      <c r="B105" s="16">
        <f>IF($A105="","",INDEX('부의금 입력'!$B$2:$B$1001,MATCH($A105,'부의금 입력'!$H$2:$H$1001,0))&amp;"")</f>
        <v/>
      </c>
      <c r="C105" s="18">
        <f>IF($A105="","",INDEX('부의금 입력'!$C$2:$C$1001,MATCH($A105,'부의금 입력'!$H$2:$H$1001,0)))</f>
        <v/>
      </c>
      <c r="D105" s="16">
        <f>IF($A105="","",INDEX('부의금 입력'!$D$2:$D$1001,MATCH($A105,'부의금 입력'!$H$2:$H$1001,0))&amp;"")</f>
        <v/>
      </c>
      <c r="E105" s="16">
        <f>IF($A105="","",INDEX('부의금 입력'!$E$2:$E$1001,MATCH($A105,'부의금 입력'!$H$2:$H$1001,0))&amp;"")</f>
        <v/>
      </c>
      <c r="H105" s="16">
        <f>IF(102&gt;$I$1,"",INDEX('근조 화환'!$B$2:$B$501,MATCH(102,'근조 화환'!$G$2:$G$501,0))&amp;"")</f>
        <v/>
      </c>
      <c r="I105" s="16">
        <f>IF(102&gt;$I$1,"",INDEX('근조 화환'!$C$2:$C$501,MATCH(102,'근조 화환'!$G$2:$G$501,0))&amp;"")</f>
        <v/>
      </c>
      <c r="J105" s="16">
        <f>IF(102&gt;$I$1,"",INDEX('근조 화환'!$D$2:$D$501,MATCH(102,'근조 화환'!$G$2:$G$501,0))&amp;"")</f>
        <v/>
      </c>
      <c r="K105" s="16">
        <f>IF(102&gt;$I$1,"",INDEX('근조 화환'!$E$2:$E$501,MATCH(102,'근조 화환'!$G$2:$G$501,0))&amp;"")</f>
        <v/>
      </c>
    </row>
    <row r="106">
      <c r="A106" s="16">
        <f>IF(103&lt;=$F$1,103,"")</f>
        <v/>
      </c>
      <c r="B106" s="16">
        <f>IF($A106="","",INDEX('부의금 입력'!$B$2:$B$1001,MATCH($A106,'부의금 입력'!$H$2:$H$1001,0))&amp;"")</f>
        <v/>
      </c>
      <c r="C106" s="18">
        <f>IF($A106="","",INDEX('부의금 입력'!$C$2:$C$1001,MATCH($A106,'부의금 입력'!$H$2:$H$1001,0)))</f>
        <v/>
      </c>
      <c r="D106" s="16">
        <f>IF($A106="","",INDEX('부의금 입력'!$D$2:$D$1001,MATCH($A106,'부의금 입력'!$H$2:$H$1001,0))&amp;"")</f>
        <v/>
      </c>
      <c r="E106" s="16">
        <f>IF($A106="","",INDEX('부의금 입력'!$E$2:$E$1001,MATCH($A106,'부의금 입력'!$H$2:$H$1001,0))&amp;"")</f>
        <v/>
      </c>
      <c r="H106" s="16">
        <f>IF(103&gt;$I$1,"",INDEX('근조 화환'!$B$2:$B$501,MATCH(103,'근조 화환'!$G$2:$G$501,0))&amp;"")</f>
        <v/>
      </c>
      <c r="I106" s="16">
        <f>IF(103&gt;$I$1,"",INDEX('근조 화환'!$C$2:$C$501,MATCH(103,'근조 화환'!$G$2:$G$501,0))&amp;"")</f>
        <v/>
      </c>
      <c r="J106" s="16">
        <f>IF(103&gt;$I$1,"",INDEX('근조 화환'!$D$2:$D$501,MATCH(103,'근조 화환'!$G$2:$G$501,0))&amp;"")</f>
        <v/>
      </c>
      <c r="K106" s="16">
        <f>IF(103&gt;$I$1,"",INDEX('근조 화환'!$E$2:$E$501,MATCH(103,'근조 화환'!$G$2:$G$501,0))&amp;"")</f>
        <v/>
      </c>
    </row>
    <row r="107">
      <c r="A107" s="16">
        <f>IF(104&lt;=$F$1,104,"")</f>
        <v/>
      </c>
      <c r="B107" s="16">
        <f>IF($A107="","",INDEX('부의금 입력'!$B$2:$B$1001,MATCH($A107,'부의금 입력'!$H$2:$H$1001,0))&amp;"")</f>
        <v/>
      </c>
      <c r="C107" s="18">
        <f>IF($A107="","",INDEX('부의금 입력'!$C$2:$C$1001,MATCH($A107,'부의금 입력'!$H$2:$H$1001,0)))</f>
        <v/>
      </c>
      <c r="D107" s="16">
        <f>IF($A107="","",INDEX('부의금 입력'!$D$2:$D$1001,MATCH($A107,'부의금 입력'!$H$2:$H$1001,0))&amp;"")</f>
        <v/>
      </c>
      <c r="E107" s="16">
        <f>IF($A107="","",INDEX('부의금 입력'!$E$2:$E$1001,MATCH($A107,'부의금 입력'!$H$2:$H$1001,0))&amp;"")</f>
        <v/>
      </c>
      <c r="H107" s="16">
        <f>IF(104&gt;$I$1,"",INDEX('근조 화환'!$B$2:$B$501,MATCH(104,'근조 화환'!$G$2:$G$501,0))&amp;"")</f>
        <v/>
      </c>
      <c r="I107" s="16">
        <f>IF(104&gt;$I$1,"",INDEX('근조 화환'!$C$2:$C$501,MATCH(104,'근조 화환'!$G$2:$G$501,0))&amp;"")</f>
        <v/>
      </c>
      <c r="J107" s="16">
        <f>IF(104&gt;$I$1,"",INDEX('근조 화환'!$D$2:$D$501,MATCH(104,'근조 화환'!$G$2:$G$501,0))&amp;"")</f>
        <v/>
      </c>
      <c r="K107" s="16">
        <f>IF(104&gt;$I$1,"",INDEX('근조 화환'!$E$2:$E$501,MATCH(104,'근조 화환'!$G$2:$G$501,0))&amp;"")</f>
        <v/>
      </c>
    </row>
    <row r="108">
      <c r="A108" s="16">
        <f>IF(105&lt;=$F$1,105,"")</f>
        <v/>
      </c>
      <c r="B108" s="16">
        <f>IF($A108="","",INDEX('부의금 입력'!$B$2:$B$1001,MATCH($A108,'부의금 입력'!$H$2:$H$1001,0))&amp;"")</f>
        <v/>
      </c>
      <c r="C108" s="18">
        <f>IF($A108="","",INDEX('부의금 입력'!$C$2:$C$1001,MATCH($A108,'부의금 입력'!$H$2:$H$1001,0)))</f>
        <v/>
      </c>
      <c r="D108" s="16">
        <f>IF($A108="","",INDEX('부의금 입력'!$D$2:$D$1001,MATCH($A108,'부의금 입력'!$H$2:$H$1001,0))&amp;"")</f>
        <v/>
      </c>
      <c r="E108" s="16">
        <f>IF($A108="","",INDEX('부의금 입력'!$E$2:$E$1001,MATCH($A108,'부의금 입력'!$H$2:$H$1001,0))&amp;"")</f>
        <v/>
      </c>
      <c r="H108" s="16">
        <f>IF(105&gt;$I$1,"",INDEX('근조 화환'!$B$2:$B$501,MATCH(105,'근조 화환'!$G$2:$G$501,0))&amp;"")</f>
        <v/>
      </c>
      <c r="I108" s="16">
        <f>IF(105&gt;$I$1,"",INDEX('근조 화환'!$C$2:$C$501,MATCH(105,'근조 화환'!$G$2:$G$501,0))&amp;"")</f>
        <v/>
      </c>
      <c r="J108" s="16">
        <f>IF(105&gt;$I$1,"",INDEX('근조 화환'!$D$2:$D$501,MATCH(105,'근조 화환'!$G$2:$G$501,0))&amp;"")</f>
        <v/>
      </c>
      <c r="K108" s="16">
        <f>IF(105&gt;$I$1,"",INDEX('근조 화환'!$E$2:$E$501,MATCH(105,'근조 화환'!$G$2:$G$501,0))&amp;"")</f>
        <v/>
      </c>
    </row>
    <row r="109">
      <c r="A109" s="16">
        <f>IF(106&lt;=$F$1,106,"")</f>
        <v/>
      </c>
      <c r="B109" s="16">
        <f>IF($A109="","",INDEX('부의금 입력'!$B$2:$B$1001,MATCH($A109,'부의금 입력'!$H$2:$H$1001,0))&amp;"")</f>
        <v/>
      </c>
      <c r="C109" s="18">
        <f>IF($A109="","",INDEX('부의금 입력'!$C$2:$C$1001,MATCH($A109,'부의금 입력'!$H$2:$H$1001,0)))</f>
        <v/>
      </c>
      <c r="D109" s="16">
        <f>IF($A109="","",INDEX('부의금 입력'!$D$2:$D$1001,MATCH($A109,'부의금 입력'!$H$2:$H$1001,0))&amp;"")</f>
        <v/>
      </c>
      <c r="E109" s="16">
        <f>IF($A109="","",INDEX('부의금 입력'!$E$2:$E$1001,MATCH($A109,'부의금 입력'!$H$2:$H$1001,0))&amp;"")</f>
        <v/>
      </c>
      <c r="H109" s="16">
        <f>IF(106&gt;$I$1,"",INDEX('근조 화환'!$B$2:$B$501,MATCH(106,'근조 화환'!$G$2:$G$501,0))&amp;"")</f>
        <v/>
      </c>
      <c r="I109" s="16">
        <f>IF(106&gt;$I$1,"",INDEX('근조 화환'!$C$2:$C$501,MATCH(106,'근조 화환'!$G$2:$G$501,0))&amp;"")</f>
        <v/>
      </c>
      <c r="J109" s="16">
        <f>IF(106&gt;$I$1,"",INDEX('근조 화환'!$D$2:$D$501,MATCH(106,'근조 화환'!$G$2:$G$501,0))&amp;"")</f>
        <v/>
      </c>
      <c r="K109" s="16">
        <f>IF(106&gt;$I$1,"",INDEX('근조 화환'!$E$2:$E$501,MATCH(106,'근조 화환'!$G$2:$G$501,0))&amp;"")</f>
        <v/>
      </c>
    </row>
    <row r="110">
      <c r="A110" s="16">
        <f>IF(107&lt;=$F$1,107,"")</f>
        <v/>
      </c>
      <c r="B110" s="16">
        <f>IF($A110="","",INDEX('부의금 입력'!$B$2:$B$1001,MATCH($A110,'부의금 입력'!$H$2:$H$1001,0))&amp;"")</f>
        <v/>
      </c>
      <c r="C110" s="18">
        <f>IF($A110="","",INDEX('부의금 입력'!$C$2:$C$1001,MATCH($A110,'부의금 입력'!$H$2:$H$1001,0)))</f>
        <v/>
      </c>
      <c r="D110" s="16">
        <f>IF($A110="","",INDEX('부의금 입력'!$D$2:$D$1001,MATCH($A110,'부의금 입력'!$H$2:$H$1001,0))&amp;"")</f>
        <v/>
      </c>
      <c r="E110" s="16">
        <f>IF($A110="","",INDEX('부의금 입력'!$E$2:$E$1001,MATCH($A110,'부의금 입력'!$H$2:$H$1001,0))&amp;"")</f>
        <v/>
      </c>
      <c r="H110" s="16">
        <f>IF(107&gt;$I$1,"",INDEX('근조 화환'!$B$2:$B$501,MATCH(107,'근조 화환'!$G$2:$G$501,0))&amp;"")</f>
        <v/>
      </c>
      <c r="I110" s="16">
        <f>IF(107&gt;$I$1,"",INDEX('근조 화환'!$C$2:$C$501,MATCH(107,'근조 화환'!$G$2:$G$501,0))&amp;"")</f>
        <v/>
      </c>
      <c r="J110" s="16">
        <f>IF(107&gt;$I$1,"",INDEX('근조 화환'!$D$2:$D$501,MATCH(107,'근조 화환'!$G$2:$G$501,0))&amp;"")</f>
        <v/>
      </c>
      <c r="K110" s="16">
        <f>IF(107&gt;$I$1,"",INDEX('근조 화환'!$E$2:$E$501,MATCH(107,'근조 화환'!$G$2:$G$501,0))&amp;"")</f>
        <v/>
      </c>
    </row>
    <row r="111">
      <c r="A111" s="16">
        <f>IF(108&lt;=$F$1,108,"")</f>
        <v/>
      </c>
      <c r="B111" s="16">
        <f>IF($A111="","",INDEX('부의금 입력'!$B$2:$B$1001,MATCH($A111,'부의금 입력'!$H$2:$H$1001,0))&amp;"")</f>
        <v/>
      </c>
      <c r="C111" s="18">
        <f>IF($A111="","",INDEX('부의금 입력'!$C$2:$C$1001,MATCH($A111,'부의금 입력'!$H$2:$H$1001,0)))</f>
        <v/>
      </c>
      <c r="D111" s="16">
        <f>IF($A111="","",INDEX('부의금 입력'!$D$2:$D$1001,MATCH($A111,'부의금 입력'!$H$2:$H$1001,0))&amp;"")</f>
        <v/>
      </c>
      <c r="E111" s="16">
        <f>IF($A111="","",INDEX('부의금 입력'!$E$2:$E$1001,MATCH($A111,'부의금 입력'!$H$2:$H$1001,0))&amp;"")</f>
        <v/>
      </c>
      <c r="H111" s="16">
        <f>IF(108&gt;$I$1,"",INDEX('근조 화환'!$B$2:$B$501,MATCH(108,'근조 화환'!$G$2:$G$501,0))&amp;"")</f>
        <v/>
      </c>
      <c r="I111" s="16">
        <f>IF(108&gt;$I$1,"",INDEX('근조 화환'!$C$2:$C$501,MATCH(108,'근조 화환'!$G$2:$G$501,0))&amp;"")</f>
        <v/>
      </c>
      <c r="J111" s="16">
        <f>IF(108&gt;$I$1,"",INDEX('근조 화환'!$D$2:$D$501,MATCH(108,'근조 화환'!$G$2:$G$501,0))&amp;"")</f>
        <v/>
      </c>
      <c r="K111" s="16">
        <f>IF(108&gt;$I$1,"",INDEX('근조 화환'!$E$2:$E$501,MATCH(108,'근조 화환'!$G$2:$G$501,0))&amp;"")</f>
        <v/>
      </c>
    </row>
    <row r="112">
      <c r="A112" s="16">
        <f>IF(109&lt;=$F$1,109,"")</f>
        <v/>
      </c>
      <c r="B112" s="16">
        <f>IF($A112="","",INDEX('부의금 입력'!$B$2:$B$1001,MATCH($A112,'부의금 입력'!$H$2:$H$1001,0))&amp;"")</f>
        <v/>
      </c>
      <c r="C112" s="18">
        <f>IF($A112="","",INDEX('부의금 입력'!$C$2:$C$1001,MATCH($A112,'부의금 입력'!$H$2:$H$1001,0)))</f>
        <v/>
      </c>
      <c r="D112" s="16">
        <f>IF($A112="","",INDEX('부의금 입력'!$D$2:$D$1001,MATCH($A112,'부의금 입력'!$H$2:$H$1001,0))&amp;"")</f>
        <v/>
      </c>
      <c r="E112" s="16">
        <f>IF($A112="","",INDEX('부의금 입력'!$E$2:$E$1001,MATCH($A112,'부의금 입력'!$H$2:$H$1001,0))&amp;"")</f>
        <v/>
      </c>
      <c r="H112" s="16">
        <f>IF(109&gt;$I$1,"",INDEX('근조 화환'!$B$2:$B$501,MATCH(109,'근조 화환'!$G$2:$G$501,0))&amp;"")</f>
        <v/>
      </c>
      <c r="I112" s="16">
        <f>IF(109&gt;$I$1,"",INDEX('근조 화환'!$C$2:$C$501,MATCH(109,'근조 화환'!$G$2:$G$501,0))&amp;"")</f>
        <v/>
      </c>
      <c r="J112" s="16">
        <f>IF(109&gt;$I$1,"",INDEX('근조 화환'!$D$2:$D$501,MATCH(109,'근조 화환'!$G$2:$G$501,0))&amp;"")</f>
        <v/>
      </c>
      <c r="K112" s="16">
        <f>IF(109&gt;$I$1,"",INDEX('근조 화환'!$E$2:$E$501,MATCH(109,'근조 화환'!$G$2:$G$501,0))&amp;"")</f>
        <v/>
      </c>
    </row>
    <row r="113">
      <c r="A113" s="16">
        <f>IF(110&lt;=$F$1,110,"")</f>
        <v/>
      </c>
      <c r="B113" s="16">
        <f>IF($A113="","",INDEX('부의금 입력'!$B$2:$B$1001,MATCH($A113,'부의금 입력'!$H$2:$H$1001,0))&amp;"")</f>
        <v/>
      </c>
      <c r="C113" s="18">
        <f>IF($A113="","",INDEX('부의금 입력'!$C$2:$C$1001,MATCH($A113,'부의금 입력'!$H$2:$H$1001,0)))</f>
        <v/>
      </c>
      <c r="D113" s="16">
        <f>IF($A113="","",INDEX('부의금 입력'!$D$2:$D$1001,MATCH($A113,'부의금 입력'!$H$2:$H$1001,0))&amp;"")</f>
        <v/>
      </c>
      <c r="E113" s="16">
        <f>IF($A113="","",INDEX('부의금 입력'!$E$2:$E$1001,MATCH($A113,'부의금 입력'!$H$2:$H$1001,0))&amp;"")</f>
        <v/>
      </c>
      <c r="H113" s="16">
        <f>IF(110&gt;$I$1,"",INDEX('근조 화환'!$B$2:$B$501,MATCH(110,'근조 화환'!$G$2:$G$501,0))&amp;"")</f>
        <v/>
      </c>
      <c r="I113" s="16">
        <f>IF(110&gt;$I$1,"",INDEX('근조 화환'!$C$2:$C$501,MATCH(110,'근조 화환'!$G$2:$G$501,0))&amp;"")</f>
        <v/>
      </c>
      <c r="J113" s="16">
        <f>IF(110&gt;$I$1,"",INDEX('근조 화환'!$D$2:$D$501,MATCH(110,'근조 화환'!$G$2:$G$501,0))&amp;"")</f>
        <v/>
      </c>
      <c r="K113" s="16">
        <f>IF(110&gt;$I$1,"",INDEX('근조 화환'!$E$2:$E$501,MATCH(110,'근조 화환'!$G$2:$G$501,0))&amp;"")</f>
        <v/>
      </c>
    </row>
    <row r="114">
      <c r="A114" s="16">
        <f>IF(111&lt;=$F$1,111,"")</f>
        <v/>
      </c>
      <c r="B114" s="16">
        <f>IF($A114="","",INDEX('부의금 입력'!$B$2:$B$1001,MATCH($A114,'부의금 입력'!$H$2:$H$1001,0))&amp;"")</f>
        <v/>
      </c>
      <c r="C114" s="18">
        <f>IF($A114="","",INDEX('부의금 입력'!$C$2:$C$1001,MATCH($A114,'부의금 입력'!$H$2:$H$1001,0)))</f>
        <v/>
      </c>
      <c r="D114" s="16">
        <f>IF($A114="","",INDEX('부의금 입력'!$D$2:$D$1001,MATCH($A114,'부의금 입력'!$H$2:$H$1001,0))&amp;"")</f>
        <v/>
      </c>
      <c r="E114" s="16">
        <f>IF($A114="","",INDEX('부의금 입력'!$E$2:$E$1001,MATCH($A114,'부의금 입력'!$H$2:$H$1001,0))&amp;"")</f>
        <v/>
      </c>
      <c r="H114" s="16">
        <f>IF(111&gt;$I$1,"",INDEX('근조 화환'!$B$2:$B$501,MATCH(111,'근조 화환'!$G$2:$G$501,0))&amp;"")</f>
        <v/>
      </c>
      <c r="I114" s="16">
        <f>IF(111&gt;$I$1,"",INDEX('근조 화환'!$C$2:$C$501,MATCH(111,'근조 화환'!$G$2:$G$501,0))&amp;"")</f>
        <v/>
      </c>
      <c r="J114" s="16">
        <f>IF(111&gt;$I$1,"",INDEX('근조 화환'!$D$2:$D$501,MATCH(111,'근조 화환'!$G$2:$G$501,0))&amp;"")</f>
        <v/>
      </c>
      <c r="K114" s="16">
        <f>IF(111&gt;$I$1,"",INDEX('근조 화환'!$E$2:$E$501,MATCH(111,'근조 화환'!$G$2:$G$501,0))&amp;"")</f>
        <v/>
      </c>
    </row>
    <row r="115">
      <c r="A115" s="16">
        <f>IF(112&lt;=$F$1,112,"")</f>
        <v/>
      </c>
      <c r="B115" s="16">
        <f>IF($A115="","",INDEX('부의금 입력'!$B$2:$B$1001,MATCH($A115,'부의금 입력'!$H$2:$H$1001,0))&amp;"")</f>
        <v/>
      </c>
      <c r="C115" s="18">
        <f>IF($A115="","",INDEX('부의금 입력'!$C$2:$C$1001,MATCH($A115,'부의금 입력'!$H$2:$H$1001,0)))</f>
        <v/>
      </c>
      <c r="D115" s="16">
        <f>IF($A115="","",INDEX('부의금 입력'!$D$2:$D$1001,MATCH($A115,'부의금 입력'!$H$2:$H$1001,0))&amp;"")</f>
        <v/>
      </c>
      <c r="E115" s="16">
        <f>IF($A115="","",INDEX('부의금 입력'!$E$2:$E$1001,MATCH($A115,'부의금 입력'!$H$2:$H$1001,0))&amp;"")</f>
        <v/>
      </c>
      <c r="H115" s="16">
        <f>IF(112&gt;$I$1,"",INDEX('근조 화환'!$B$2:$B$501,MATCH(112,'근조 화환'!$G$2:$G$501,0))&amp;"")</f>
        <v/>
      </c>
      <c r="I115" s="16">
        <f>IF(112&gt;$I$1,"",INDEX('근조 화환'!$C$2:$C$501,MATCH(112,'근조 화환'!$G$2:$G$501,0))&amp;"")</f>
        <v/>
      </c>
      <c r="J115" s="16">
        <f>IF(112&gt;$I$1,"",INDEX('근조 화환'!$D$2:$D$501,MATCH(112,'근조 화환'!$G$2:$G$501,0))&amp;"")</f>
        <v/>
      </c>
      <c r="K115" s="16">
        <f>IF(112&gt;$I$1,"",INDEX('근조 화환'!$E$2:$E$501,MATCH(112,'근조 화환'!$G$2:$G$501,0))&amp;"")</f>
        <v/>
      </c>
    </row>
    <row r="116">
      <c r="A116" s="16">
        <f>IF(113&lt;=$F$1,113,"")</f>
        <v/>
      </c>
      <c r="B116" s="16">
        <f>IF($A116="","",INDEX('부의금 입력'!$B$2:$B$1001,MATCH($A116,'부의금 입력'!$H$2:$H$1001,0))&amp;"")</f>
        <v/>
      </c>
      <c r="C116" s="18">
        <f>IF($A116="","",INDEX('부의금 입력'!$C$2:$C$1001,MATCH($A116,'부의금 입력'!$H$2:$H$1001,0)))</f>
        <v/>
      </c>
      <c r="D116" s="16">
        <f>IF($A116="","",INDEX('부의금 입력'!$D$2:$D$1001,MATCH($A116,'부의금 입력'!$H$2:$H$1001,0))&amp;"")</f>
        <v/>
      </c>
      <c r="E116" s="16">
        <f>IF($A116="","",INDEX('부의금 입력'!$E$2:$E$1001,MATCH($A116,'부의금 입력'!$H$2:$H$1001,0))&amp;"")</f>
        <v/>
      </c>
      <c r="H116" s="16">
        <f>IF(113&gt;$I$1,"",INDEX('근조 화환'!$B$2:$B$501,MATCH(113,'근조 화환'!$G$2:$G$501,0))&amp;"")</f>
        <v/>
      </c>
      <c r="I116" s="16">
        <f>IF(113&gt;$I$1,"",INDEX('근조 화환'!$C$2:$C$501,MATCH(113,'근조 화환'!$G$2:$G$501,0))&amp;"")</f>
        <v/>
      </c>
      <c r="J116" s="16">
        <f>IF(113&gt;$I$1,"",INDEX('근조 화환'!$D$2:$D$501,MATCH(113,'근조 화환'!$G$2:$G$501,0))&amp;"")</f>
        <v/>
      </c>
      <c r="K116" s="16">
        <f>IF(113&gt;$I$1,"",INDEX('근조 화환'!$E$2:$E$501,MATCH(113,'근조 화환'!$G$2:$G$501,0))&amp;"")</f>
        <v/>
      </c>
    </row>
    <row r="117">
      <c r="A117" s="16">
        <f>IF(114&lt;=$F$1,114,"")</f>
        <v/>
      </c>
      <c r="B117" s="16">
        <f>IF($A117="","",INDEX('부의금 입력'!$B$2:$B$1001,MATCH($A117,'부의금 입력'!$H$2:$H$1001,0))&amp;"")</f>
        <v/>
      </c>
      <c r="C117" s="18">
        <f>IF($A117="","",INDEX('부의금 입력'!$C$2:$C$1001,MATCH($A117,'부의금 입력'!$H$2:$H$1001,0)))</f>
        <v/>
      </c>
      <c r="D117" s="16">
        <f>IF($A117="","",INDEX('부의금 입력'!$D$2:$D$1001,MATCH($A117,'부의금 입력'!$H$2:$H$1001,0))&amp;"")</f>
        <v/>
      </c>
      <c r="E117" s="16">
        <f>IF($A117="","",INDEX('부의금 입력'!$E$2:$E$1001,MATCH($A117,'부의금 입력'!$H$2:$H$1001,0))&amp;"")</f>
        <v/>
      </c>
      <c r="H117" s="16">
        <f>IF(114&gt;$I$1,"",INDEX('근조 화환'!$B$2:$B$501,MATCH(114,'근조 화환'!$G$2:$G$501,0))&amp;"")</f>
        <v/>
      </c>
      <c r="I117" s="16">
        <f>IF(114&gt;$I$1,"",INDEX('근조 화환'!$C$2:$C$501,MATCH(114,'근조 화환'!$G$2:$G$501,0))&amp;"")</f>
        <v/>
      </c>
      <c r="J117" s="16">
        <f>IF(114&gt;$I$1,"",INDEX('근조 화환'!$D$2:$D$501,MATCH(114,'근조 화환'!$G$2:$G$501,0))&amp;"")</f>
        <v/>
      </c>
      <c r="K117" s="16">
        <f>IF(114&gt;$I$1,"",INDEX('근조 화환'!$E$2:$E$501,MATCH(114,'근조 화환'!$G$2:$G$501,0))&amp;"")</f>
        <v/>
      </c>
    </row>
    <row r="118">
      <c r="A118" s="16">
        <f>IF(115&lt;=$F$1,115,"")</f>
        <v/>
      </c>
      <c r="B118" s="16">
        <f>IF($A118="","",INDEX('부의금 입력'!$B$2:$B$1001,MATCH($A118,'부의금 입력'!$H$2:$H$1001,0))&amp;"")</f>
        <v/>
      </c>
      <c r="C118" s="18">
        <f>IF($A118="","",INDEX('부의금 입력'!$C$2:$C$1001,MATCH($A118,'부의금 입력'!$H$2:$H$1001,0)))</f>
        <v/>
      </c>
      <c r="D118" s="16">
        <f>IF($A118="","",INDEX('부의금 입력'!$D$2:$D$1001,MATCH($A118,'부의금 입력'!$H$2:$H$1001,0))&amp;"")</f>
        <v/>
      </c>
      <c r="E118" s="16">
        <f>IF($A118="","",INDEX('부의금 입력'!$E$2:$E$1001,MATCH($A118,'부의금 입력'!$H$2:$H$1001,0))&amp;"")</f>
        <v/>
      </c>
      <c r="H118" s="16">
        <f>IF(115&gt;$I$1,"",INDEX('근조 화환'!$B$2:$B$501,MATCH(115,'근조 화환'!$G$2:$G$501,0))&amp;"")</f>
        <v/>
      </c>
      <c r="I118" s="16">
        <f>IF(115&gt;$I$1,"",INDEX('근조 화환'!$C$2:$C$501,MATCH(115,'근조 화환'!$G$2:$G$501,0))&amp;"")</f>
        <v/>
      </c>
      <c r="J118" s="16">
        <f>IF(115&gt;$I$1,"",INDEX('근조 화환'!$D$2:$D$501,MATCH(115,'근조 화환'!$G$2:$G$501,0))&amp;"")</f>
        <v/>
      </c>
      <c r="K118" s="16">
        <f>IF(115&gt;$I$1,"",INDEX('근조 화환'!$E$2:$E$501,MATCH(115,'근조 화환'!$G$2:$G$501,0))&amp;"")</f>
        <v/>
      </c>
    </row>
    <row r="119">
      <c r="A119" s="16">
        <f>IF(116&lt;=$F$1,116,"")</f>
        <v/>
      </c>
      <c r="B119" s="16">
        <f>IF($A119="","",INDEX('부의금 입력'!$B$2:$B$1001,MATCH($A119,'부의금 입력'!$H$2:$H$1001,0))&amp;"")</f>
        <v/>
      </c>
      <c r="C119" s="18">
        <f>IF($A119="","",INDEX('부의금 입력'!$C$2:$C$1001,MATCH($A119,'부의금 입력'!$H$2:$H$1001,0)))</f>
        <v/>
      </c>
      <c r="D119" s="16">
        <f>IF($A119="","",INDEX('부의금 입력'!$D$2:$D$1001,MATCH($A119,'부의금 입력'!$H$2:$H$1001,0))&amp;"")</f>
        <v/>
      </c>
      <c r="E119" s="16">
        <f>IF($A119="","",INDEX('부의금 입력'!$E$2:$E$1001,MATCH($A119,'부의금 입력'!$H$2:$H$1001,0))&amp;"")</f>
        <v/>
      </c>
      <c r="H119" s="16">
        <f>IF(116&gt;$I$1,"",INDEX('근조 화환'!$B$2:$B$501,MATCH(116,'근조 화환'!$G$2:$G$501,0))&amp;"")</f>
        <v/>
      </c>
      <c r="I119" s="16">
        <f>IF(116&gt;$I$1,"",INDEX('근조 화환'!$C$2:$C$501,MATCH(116,'근조 화환'!$G$2:$G$501,0))&amp;"")</f>
        <v/>
      </c>
      <c r="J119" s="16">
        <f>IF(116&gt;$I$1,"",INDEX('근조 화환'!$D$2:$D$501,MATCH(116,'근조 화환'!$G$2:$G$501,0))&amp;"")</f>
        <v/>
      </c>
      <c r="K119" s="16">
        <f>IF(116&gt;$I$1,"",INDEX('근조 화환'!$E$2:$E$501,MATCH(116,'근조 화환'!$G$2:$G$501,0))&amp;"")</f>
        <v/>
      </c>
    </row>
    <row r="120">
      <c r="A120" s="16">
        <f>IF(117&lt;=$F$1,117,"")</f>
        <v/>
      </c>
      <c r="B120" s="16">
        <f>IF($A120="","",INDEX('부의금 입력'!$B$2:$B$1001,MATCH($A120,'부의금 입력'!$H$2:$H$1001,0))&amp;"")</f>
        <v/>
      </c>
      <c r="C120" s="18">
        <f>IF($A120="","",INDEX('부의금 입력'!$C$2:$C$1001,MATCH($A120,'부의금 입력'!$H$2:$H$1001,0)))</f>
        <v/>
      </c>
      <c r="D120" s="16">
        <f>IF($A120="","",INDEX('부의금 입력'!$D$2:$D$1001,MATCH($A120,'부의금 입력'!$H$2:$H$1001,0))&amp;"")</f>
        <v/>
      </c>
      <c r="E120" s="16">
        <f>IF($A120="","",INDEX('부의금 입력'!$E$2:$E$1001,MATCH($A120,'부의금 입력'!$H$2:$H$1001,0))&amp;"")</f>
        <v/>
      </c>
      <c r="H120" s="16">
        <f>IF(117&gt;$I$1,"",INDEX('근조 화환'!$B$2:$B$501,MATCH(117,'근조 화환'!$G$2:$G$501,0))&amp;"")</f>
        <v/>
      </c>
      <c r="I120" s="16">
        <f>IF(117&gt;$I$1,"",INDEX('근조 화환'!$C$2:$C$501,MATCH(117,'근조 화환'!$G$2:$G$501,0))&amp;"")</f>
        <v/>
      </c>
      <c r="J120" s="16">
        <f>IF(117&gt;$I$1,"",INDEX('근조 화환'!$D$2:$D$501,MATCH(117,'근조 화환'!$G$2:$G$501,0))&amp;"")</f>
        <v/>
      </c>
      <c r="K120" s="16">
        <f>IF(117&gt;$I$1,"",INDEX('근조 화환'!$E$2:$E$501,MATCH(117,'근조 화환'!$G$2:$G$501,0))&amp;"")</f>
        <v/>
      </c>
    </row>
    <row r="121">
      <c r="A121" s="16">
        <f>IF(118&lt;=$F$1,118,"")</f>
        <v/>
      </c>
      <c r="B121" s="16">
        <f>IF($A121="","",INDEX('부의금 입력'!$B$2:$B$1001,MATCH($A121,'부의금 입력'!$H$2:$H$1001,0))&amp;"")</f>
        <v/>
      </c>
      <c r="C121" s="18">
        <f>IF($A121="","",INDEX('부의금 입력'!$C$2:$C$1001,MATCH($A121,'부의금 입력'!$H$2:$H$1001,0)))</f>
        <v/>
      </c>
      <c r="D121" s="16">
        <f>IF($A121="","",INDEX('부의금 입력'!$D$2:$D$1001,MATCH($A121,'부의금 입력'!$H$2:$H$1001,0))&amp;"")</f>
        <v/>
      </c>
      <c r="E121" s="16">
        <f>IF($A121="","",INDEX('부의금 입력'!$E$2:$E$1001,MATCH($A121,'부의금 입력'!$H$2:$H$1001,0))&amp;"")</f>
        <v/>
      </c>
      <c r="H121" s="16">
        <f>IF(118&gt;$I$1,"",INDEX('근조 화환'!$B$2:$B$501,MATCH(118,'근조 화환'!$G$2:$G$501,0))&amp;"")</f>
        <v/>
      </c>
      <c r="I121" s="16">
        <f>IF(118&gt;$I$1,"",INDEX('근조 화환'!$C$2:$C$501,MATCH(118,'근조 화환'!$G$2:$G$501,0))&amp;"")</f>
        <v/>
      </c>
      <c r="J121" s="16">
        <f>IF(118&gt;$I$1,"",INDEX('근조 화환'!$D$2:$D$501,MATCH(118,'근조 화환'!$G$2:$G$501,0))&amp;"")</f>
        <v/>
      </c>
      <c r="K121" s="16">
        <f>IF(118&gt;$I$1,"",INDEX('근조 화환'!$E$2:$E$501,MATCH(118,'근조 화환'!$G$2:$G$501,0))&amp;"")</f>
        <v/>
      </c>
    </row>
    <row r="122">
      <c r="A122" s="16">
        <f>IF(119&lt;=$F$1,119,"")</f>
        <v/>
      </c>
      <c r="B122" s="16">
        <f>IF($A122="","",INDEX('부의금 입력'!$B$2:$B$1001,MATCH($A122,'부의금 입력'!$H$2:$H$1001,0))&amp;"")</f>
        <v/>
      </c>
      <c r="C122" s="18">
        <f>IF($A122="","",INDEX('부의금 입력'!$C$2:$C$1001,MATCH($A122,'부의금 입력'!$H$2:$H$1001,0)))</f>
        <v/>
      </c>
      <c r="D122" s="16">
        <f>IF($A122="","",INDEX('부의금 입력'!$D$2:$D$1001,MATCH($A122,'부의금 입력'!$H$2:$H$1001,0))&amp;"")</f>
        <v/>
      </c>
      <c r="E122" s="16">
        <f>IF($A122="","",INDEX('부의금 입력'!$E$2:$E$1001,MATCH($A122,'부의금 입력'!$H$2:$H$1001,0))&amp;"")</f>
        <v/>
      </c>
      <c r="H122" s="16">
        <f>IF(119&gt;$I$1,"",INDEX('근조 화환'!$B$2:$B$501,MATCH(119,'근조 화환'!$G$2:$G$501,0))&amp;"")</f>
        <v/>
      </c>
      <c r="I122" s="16">
        <f>IF(119&gt;$I$1,"",INDEX('근조 화환'!$C$2:$C$501,MATCH(119,'근조 화환'!$G$2:$G$501,0))&amp;"")</f>
        <v/>
      </c>
      <c r="J122" s="16">
        <f>IF(119&gt;$I$1,"",INDEX('근조 화환'!$D$2:$D$501,MATCH(119,'근조 화환'!$G$2:$G$501,0))&amp;"")</f>
        <v/>
      </c>
      <c r="K122" s="16">
        <f>IF(119&gt;$I$1,"",INDEX('근조 화환'!$E$2:$E$501,MATCH(119,'근조 화환'!$G$2:$G$501,0))&amp;"")</f>
        <v/>
      </c>
    </row>
    <row r="123">
      <c r="A123" s="16">
        <f>IF(120&lt;=$F$1,120,"")</f>
        <v/>
      </c>
      <c r="B123" s="16">
        <f>IF($A123="","",INDEX('부의금 입력'!$B$2:$B$1001,MATCH($A123,'부의금 입력'!$H$2:$H$1001,0))&amp;"")</f>
        <v/>
      </c>
      <c r="C123" s="18">
        <f>IF($A123="","",INDEX('부의금 입력'!$C$2:$C$1001,MATCH($A123,'부의금 입력'!$H$2:$H$1001,0)))</f>
        <v/>
      </c>
      <c r="D123" s="16">
        <f>IF($A123="","",INDEX('부의금 입력'!$D$2:$D$1001,MATCH($A123,'부의금 입력'!$H$2:$H$1001,0))&amp;"")</f>
        <v/>
      </c>
      <c r="E123" s="16">
        <f>IF($A123="","",INDEX('부의금 입력'!$E$2:$E$1001,MATCH($A123,'부의금 입력'!$H$2:$H$1001,0))&amp;"")</f>
        <v/>
      </c>
      <c r="H123" s="16">
        <f>IF(120&gt;$I$1,"",INDEX('근조 화환'!$B$2:$B$501,MATCH(120,'근조 화환'!$G$2:$G$501,0))&amp;"")</f>
        <v/>
      </c>
      <c r="I123" s="16">
        <f>IF(120&gt;$I$1,"",INDEX('근조 화환'!$C$2:$C$501,MATCH(120,'근조 화환'!$G$2:$G$501,0))&amp;"")</f>
        <v/>
      </c>
      <c r="J123" s="16">
        <f>IF(120&gt;$I$1,"",INDEX('근조 화환'!$D$2:$D$501,MATCH(120,'근조 화환'!$G$2:$G$501,0))&amp;"")</f>
        <v/>
      </c>
      <c r="K123" s="16">
        <f>IF(120&gt;$I$1,"",INDEX('근조 화환'!$E$2:$E$501,MATCH(120,'근조 화환'!$G$2:$G$501,0))&amp;"")</f>
        <v/>
      </c>
    </row>
    <row r="124">
      <c r="A124" s="16">
        <f>IF(121&lt;=$F$1,121,"")</f>
        <v/>
      </c>
      <c r="B124" s="16">
        <f>IF($A124="","",INDEX('부의금 입력'!$B$2:$B$1001,MATCH($A124,'부의금 입력'!$H$2:$H$1001,0))&amp;"")</f>
        <v/>
      </c>
      <c r="C124" s="18">
        <f>IF($A124="","",INDEX('부의금 입력'!$C$2:$C$1001,MATCH($A124,'부의금 입력'!$H$2:$H$1001,0)))</f>
        <v/>
      </c>
      <c r="D124" s="16">
        <f>IF($A124="","",INDEX('부의금 입력'!$D$2:$D$1001,MATCH($A124,'부의금 입력'!$H$2:$H$1001,0))&amp;"")</f>
        <v/>
      </c>
      <c r="E124" s="16">
        <f>IF($A124="","",INDEX('부의금 입력'!$E$2:$E$1001,MATCH($A124,'부의금 입력'!$H$2:$H$1001,0))&amp;"")</f>
        <v/>
      </c>
      <c r="H124" s="16">
        <f>IF(121&gt;$I$1,"",INDEX('근조 화환'!$B$2:$B$501,MATCH(121,'근조 화환'!$G$2:$G$501,0))&amp;"")</f>
        <v/>
      </c>
      <c r="I124" s="16">
        <f>IF(121&gt;$I$1,"",INDEX('근조 화환'!$C$2:$C$501,MATCH(121,'근조 화환'!$G$2:$G$501,0))&amp;"")</f>
        <v/>
      </c>
      <c r="J124" s="16">
        <f>IF(121&gt;$I$1,"",INDEX('근조 화환'!$D$2:$D$501,MATCH(121,'근조 화환'!$G$2:$G$501,0))&amp;"")</f>
        <v/>
      </c>
      <c r="K124" s="16">
        <f>IF(121&gt;$I$1,"",INDEX('근조 화환'!$E$2:$E$501,MATCH(121,'근조 화환'!$G$2:$G$501,0))&amp;"")</f>
        <v/>
      </c>
    </row>
    <row r="125">
      <c r="A125" s="16">
        <f>IF(122&lt;=$F$1,122,"")</f>
        <v/>
      </c>
      <c r="B125" s="16">
        <f>IF($A125="","",INDEX('부의금 입력'!$B$2:$B$1001,MATCH($A125,'부의금 입력'!$H$2:$H$1001,0))&amp;"")</f>
        <v/>
      </c>
      <c r="C125" s="18">
        <f>IF($A125="","",INDEX('부의금 입력'!$C$2:$C$1001,MATCH($A125,'부의금 입력'!$H$2:$H$1001,0)))</f>
        <v/>
      </c>
      <c r="D125" s="16">
        <f>IF($A125="","",INDEX('부의금 입력'!$D$2:$D$1001,MATCH($A125,'부의금 입력'!$H$2:$H$1001,0))&amp;"")</f>
        <v/>
      </c>
      <c r="E125" s="16">
        <f>IF($A125="","",INDEX('부의금 입력'!$E$2:$E$1001,MATCH($A125,'부의금 입력'!$H$2:$H$1001,0))&amp;"")</f>
        <v/>
      </c>
      <c r="H125" s="16">
        <f>IF(122&gt;$I$1,"",INDEX('근조 화환'!$B$2:$B$501,MATCH(122,'근조 화환'!$G$2:$G$501,0))&amp;"")</f>
        <v/>
      </c>
      <c r="I125" s="16">
        <f>IF(122&gt;$I$1,"",INDEX('근조 화환'!$C$2:$C$501,MATCH(122,'근조 화환'!$G$2:$G$501,0))&amp;"")</f>
        <v/>
      </c>
      <c r="J125" s="16">
        <f>IF(122&gt;$I$1,"",INDEX('근조 화환'!$D$2:$D$501,MATCH(122,'근조 화환'!$G$2:$G$501,0))&amp;"")</f>
        <v/>
      </c>
      <c r="K125" s="16">
        <f>IF(122&gt;$I$1,"",INDEX('근조 화환'!$E$2:$E$501,MATCH(122,'근조 화환'!$G$2:$G$501,0))&amp;"")</f>
        <v/>
      </c>
    </row>
    <row r="126">
      <c r="A126" s="16">
        <f>IF(123&lt;=$F$1,123,"")</f>
        <v/>
      </c>
      <c r="B126" s="16">
        <f>IF($A126="","",INDEX('부의금 입력'!$B$2:$B$1001,MATCH($A126,'부의금 입력'!$H$2:$H$1001,0))&amp;"")</f>
        <v/>
      </c>
      <c r="C126" s="18">
        <f>IF($A126="","",INDEX('부의금 입력'!$C$2:$C$1001,MATCH($A126,'부의금 입력'!$H$2:$H$1001,0)))</f>
        <v/>
      </c>
      <c r="D126" s="16">
        <f>IF($A126="","",INDEX('부의금 입력'!$D$2:$D$1001,MATCH($A126,'부의금 입력'!$H$2:$H$1001,0))&amp;"")</f>
        <v/>
      </c>
      <c r="E126" s="16">
        <f>IF($A126="","",INDEX('부의금 입력'!$E$2:$E$1001,MATCH($A126,'부의금 입력'!$H$2:$H$1001,0))&amp;"")</f>
        <v/>
      </c>
      <c r="H126" s="16">
        <f>IF(123&gt;$I$1,"",INDEX('근조 화환'!$B$2:$B$501,MATCH(123,'근조 화환'!$G$2:$G$501,0))&amp;"")</f>
        <v/>
      </c>
      <c r="I126" s="16">
        <f>IF(123&gt;$I$1,"",INDEX('근조 화환'!$C$2:$C$501,MATCH(123,'근조 화환'!$G$2:$G$501,0))&amp;"")</f>
        <v/>
      </c>
      <c r="J126" s="16">
        <f>IF(123&gt;$I$1,"",INDEX('근조 화환'!$D$2:$D$501,MATCH(123,'근조 화환'!$G$2:$G$501,0))&amp;"")</f>
        <v/>
      </c>
      <c r="K126" s="16">
        <f>IF(123&gt;$I$1,"",INDEX('근조 화환'!$E$2:$E$501,MATCH(123,'근조 화환'!$G$2:$G$501,0))&amp;"")</f>
        <v/>
      </c>
    </row>
    <row r="127">
      <c r="A127" s="16">
        <f>IF(124&lt;=$F$1,124,"")</f>
        <v/>
      </c>
      <c r="B127" s="16">
        <f>IF($A127="","",INDEX('부의금 입력'!$B$2:$B$1001,MATCH($A127,'부의금 입력'!$H$2:$H$1001,0))&amp;"")</f>
        <v/>
      </c>
      <c r="C127" s="18">
        <f>IF($A127="","",INDEX('부의금 입력'!$C$2:$C$1001,MATCH($A127,'부의금 입력'!$H$2:$H$1001,0)))</f>
        <v/>
      </c>
      <c r="D127" s="16">
        <f>IF($A127="","",INDEX('부의금 입력'!$D$2:$D$1001,MATCH($A127,'부의금 입력'!$H$2:$H$1001,0))&amp;"")</f>
        <v/>
      </c>
      <c r="E127" s="16">
        <f>IF($A127="","",INDEX('부의금 입력'!$E$2:$E$1001,MATCH($A127,'부의금 입력'!$H$2:$H$1001,0))&amp;"")</f>
        <v/>
      </c>
      <c r="H127" s="16">
        <f>IF(124&gt;$I$1,"",INDEX('근조 화환'!$B$2:$B$501,MATCH(124,'근조 화환'!$G$2:$G$501,0))&amp;"")</f>
        <v/>
      </c>
      <c r="I127" s="16">
        <f>IF(124&gt;$I$1,"",INDEX('근조 화환'!$C$2:$C$501,MATCH(124,'근조 화환'!$G$2:$G$501,0))&amp;"")</f>
        <v/>
      </c>
      <c r="J127" s="16">
        <f>IF(124&gt;$I$1,"",INDEX('근조 화환'!$D$2:$D$501,MATCH(124,'근조 화환'!$G$2:$G$501,0))&amp;"")</f>
        <v/>
      </c>
      <c r="K127" s="16">
        <f>IF(124&gt;$I$1,"",INDEX('근조 화환'!$E$2:$E$501,MATCH(124,'근조 화환'!$G$2:$G$501,0))&amp;"")</f>
        <v/>
      </c>
    </row>
    <row r="128">
      <c r="A128" s="16">
        <f>IF(125&lt;=$F$1,125,"")</f>
        <v/>
      </c>
      <c r="B128" s="16">
        <f>IF($A128="","",INDEX('부의금 입력'!$B$2:$B$1001,MATCH($A128,'부의금 입력'!$H$2:$H$1001,0))&amp;"")</f>
        <v/>
      </c>
      <c r="C128" s="18">
        <f>IF($A128="","",INDEX('부의금 입력'!$C$2:$C$1001,MATCH($A128,'부의금 입력'!$H$2:$H$1001,0)))</f>
        <v/>
      </c>
      <c r="D128" s="16">
        <f>IF($A128="","",INDEX('부의금 입력'!$D$2:$D$1001,MATCH($A128,'부의금 입력'!$H$2:$H$1001,0))&amp;"")</f>
        <v/>
      </c>
      <c r="E128" s="16">
        <f>IF($A128="","",INDEX('부의금 입력'!$E$2:$E$1001,MATCH($A128,'부의금 입력'!$H$2:$H$1001,0))&amp;"")</f>
        <v/>
      </c>
      <c r="H128" s="16">
        <f>IF(125&gt;$I$1,"",INDEX('근조 화환'!$B$2:$B$501,MATCH(125,'근조 화환'!$G$2:$G$501,0))&amp;"")</f>
        <v/>
      </c>
      <c r="I128" s="16">
        <f>IF(125&gt;$I$1,"",INDEX('근조 화환'!$C$2:$C$501,MATCH(125,'근조 화환'!$G$2:$G$501,0))&amp;"")</f>
        <v/>
      </c>
      <c r="J128" s="16">
        <f>IF(125&gt;$I$1,"",INDEX('근조 화환'!$D$2:$D$501,MATCH(125,'근조 화환'!$G$2:$G$501,0))&amp;"")</f>
        <v/>
      </c>
      <c r="K128" s="16">
        <f>IF(125&gt;$I$1,"",INDEX('근조 화환'!$E$2:$E$501,MATCH(125,'근조 화환'!$G$2:$G$501,0))&amp;"")</f>
        <v/>
      </c>
    </row>
    <row r="129">
      <c r="A129" s="16">
        <f>IF(126&lt;=$F$1,126,"")</f>
        <v/>
      </c>
      <c r="B129" s="16">
        <f>IF($A129="","",INDEX('부의금 입력'!$B$2:$B$1001,MATCH($A129,'부의금 입력'!$H$2:$H$1001,0))&amp;"")</f>
        <v/>
      </c>
      <c r="C129" s="18">
        <f>IF($A129="","",INDEX('부의금 입력'!$C$2:$C$1001,MATCH($A129,'부의금 입력'!$H$2:$H$1001,0)))</f>
        <v/>
      </c>
      <c r="D129" s="16">
        <f>IF($A129="","",INDEX('부의금 입력'!$D$2:$D$1001,MATCH($A129,'부의금 입력'!$H$2:$H$1001,0))&amp;"")</f>
        <v/>
      </c>
      <c r="E129" s="16">
        <f>IF($A129="","",INDEX('부의금 입력'!$E$2:$E$1001,MATCH($A129,'부의금 입력'!$H$2:$H$1001,0))&amp;"")</f>
        <v/>
      </c>
      <c r="H129" s="16">
        <f>IF(126&gt;$I$1,"",INDEX('근조 화환'!$B$2:$B$501,MATCH(126,'근조 화환'!$G$2:$G$501,0))&amp;"")</f>
        <v/>
      </c>
      <c r="I129" s="16">
        <f>IF(126&gt;$I$1,"",INDEX('근조 화환'!$C$2:$C$501,MATCH(126,'근조 화환'!$G$2:$G$501,0))&amp;"")</f>
        <v/>
      </c>
      <c r="J129" s="16">
        <f>IF(126&gt;$I$1,"",INDEX('근조 화환'!$D$2:$D$501,MATCH(126,'근조 화환'!$G$2:$G$501,0))&amp;"")</f>
        <v/>
      </c>
      <c r="K129" s="16">
        <f>IF(126&gt;$I$1,"",INDEX('근조 화환'!$E$2:$E$501,MATCH(126,'근조 화환'!$G$2:$G$501,0))&amp;"")</f>
        <v/>
      </c>
    </row>
    <row r="130">
      <c r="A130" s="16">
        <f>IF(127&lt;=$F$1,127,"")</f>
        <v/>
      </c>
      <c r="B130" s="16">
        <f>IF($A130="","",INDEX('부의금 입력'!$B$2:$B$1001,MATCH($A130,'부의금 입력'!$H$2:$H$1001,0))&amp;"")</f>
        <v/>
      </c>
      <c r="C130" s="18">
        <f>IF($A130="","",INDEX('부의금 입력'!$C$2:$C$1001,MATCH($A130,'부의금 입력'!$H$2:$H$1001,0)))</f>
        <v/>
      </c>
      <c r="D130" s="16">
        <f>IF($A130="","",INDEX('부의금 입력'!$D$2:$D$1001,MATCH($A130,'부의금 입력'!$H$2:$H$1001,0))&amp;"")</f>
        <v/>
      </c>
      <c r="E130" s="16">
        <f>IF($A130="","",INDEX('부의금 입력'!$E$2:$E$1001,MATCH($A130,'부의금 입력'!$H$2:$H$1001,0))&amp;"")</f>
        <v/>
      </c>
      <c r="H130" s="16">
        <f>IF(127&gt;$I$1,"",INDEX('근조 화환'!$B$2:$B$501,MATCH(127,'근조 화환'!$G$2:$G$501,0))&amp;"")</f>
        <v/>
      </c>
      <c r="I130" s="16">
        <f>IF(127&gt;$I$1,"",INDEX('근조 화환'!$C$2:$C$501,MATCH(127,'근조 화환'!$G$2:$G$501,0))&amp;"")</f>
        <v/>
      </c>
      <c r="J130" s="16">
        <f>IF(127&gt;$I$1,"",INDEX('근조 화환'!$D$2:$D$501,MATCH(127,'근조 화환'!$G$2:$G$501,0))&amp;"")</f>
        <v/>
      </c>
      <c r="K130" s="16">
        <f>IF(127&gt;$I$1,"",INDEX('근조 화환'!$E$2:$E$501,MATCH(127,'근조 화환'!$G$2:$G$501,0))&amp;"")</f>
        <v/>
      </c>
    </row>
    <row r="131">
      <c r="A131" s="16">
        <f>IF(128&lt;=$F$1,128,"")</f>
        <v/>
      </c>
      <c r="B131" s="16">
        <f>IF($A131="","",INDEX('부의금 입력'!$B$2:$B$1001,MATCH($A131,'부의금 입력'!$H$2:$H$1001,0))&amp;"")</f>
        <v/>
      </c>
      <c r="C131" s="18">
        <f>IF($A131="","",INDEX('부의금 입력'!$C$2:$C$1001,MATCH($A131,'부의금 입력'!$H$2:$H$1001,0)))</f>
        <v/>
      </c>
      <c r="D131" s="16">
        <f>IF($A131="","",INDEX('부의금 입력'!$D$2:$D$1001,MATCH($A131,'부의금 입력'!$H$2:$H$1001,0))&amp;"")</f>
        <v/>
      </c>
      <c r="E131" s="16">
        <f>IF($A131="","",INDEX('부의금 입력'!$E$2:$E$1001,MATCH($A131,'부의금 입력'!$H$2:$H$1001,0))&amp;"")</f>
        <v/>
      </c>
      <c r="H131" s="16">
        <f>IF(128&gt;$I$1,"",INDEX('근조 화환'!$B$2:$B$501,MATCH(128,'근조 화환'!$G$2:$G$501,0))&amp;"")</f>
        <v/>
      </c>
      <c r="I131" s="16">
        <f>IF(128&gt;$I$1,"",INDEX('근조 화환'!$C$2:$C$501,MATCH(128,'근조 화환'!$G$2:$G$501,0))&amp;"")</f>
        <v/>
      </c>
      <c r="J131" s="16">
        <f>IF(128&gt;$I$1,"",INDEX('근조 화환'!$D$2:$D$501,MATCH(128,'근조 화환'!$G$2:$G$501,0))&amp;"")</f>
        <v/>
      </c>
      <c r="K131" s="16">
        <f>IF(128&gt;$I$1,"",INDEX('근조 화환'!$E$2:$E$501,MATCH(128,'근조 화환'!$G$2:$G$501,0))&amp;"")</f>
        <v/>
      </c>
    </row>
    <row r="132">
      <c r="A132" s="16">
        <f>IF(129&lt;=$F$1,129,"")</f>
        <v/>
      </c>
      <c r="B132" s="16">
        <f>IF($A132="","",INDEX('부의금 입력'!$B$2:$B$1001,MATCH($A132,'부의금 입력'!$H$2:$H$1001,0))&amp;"")</f>
        <v/>
      </c>
      <c r="C132" s="18">
        <f>IF($A132="","",INDEX('부의금 입력'!$C$2:$C$1001,MATCH($A132,'부의금 입력'!$H$2:$H$1001,0)))</f>
        <v/>
      </c>
      <c r="D132" s="16">
        <f>IF($A132="","",INDEX('부의금 입력'!$D$2:$D$1001,MATCH($A132,'부의금 입력'!$H$2:$H$1001,0))&amp;"")</f>
        <v/>
      </c>
      <c r="E132" s="16">
        <f>IF($A132="","",INDEX('부의금 입력'!$E$2:$E$1001,MATCH($A132,'부의금 입력'!$H$2:$H$1001,0))&amp;"")</f>
        <v/>
      </c>
      <c r="H132" s="16">
        <f>IF(129&gt;$I$1,"",INDEX('근조 화환'!$B$2:$B$501,MATCH(129,'근조 화환'!$G$2:$G$501,0))&amp;"")</f>
        <v/>
      </c>
      <c r="I132" s="16">
        <f>IF(129&gt;$I$1,"",INDEX('근조 화환'!$C$2:$C$501,MATCH(129,'근조 화환'!$G$2:$G$501,0))&amp;"")</f>
        <v/>
      </c>
      <c r="J132" s="16">
        <f>IF(129&gt;$I$1,"",INDEX('근조 화환'!$D$2:$D$501,MATCH(129,'근조 화환'!$G$2:$G$501,0))&amp;"")</f>
        <v/>
      </c>
      <c r="K132" s="16">
        <f>IF(129&gt;$I$1,"",INDEX('근조 화환'!$E$2:$E$501,MATCH(129,'근조 화환'!$G$2:$G$501,0))&amp;"")</f>
        <v/>
      </c>
    </row>
    <row r="133">
      <c r="A133" s="16">
        <f>IF(130&lt;=$F$1,130,"")</f>
        <v/>
      </c>
      <c r="B133" s="16">
        <f>IF($A133="","",INDEX('부의금 입력'!$B$2:$B$1001,MATCH($A133,'부의금 입력'!$H$2:$H$1001,0))&amp;"")</f>
        <v/>
      </c>
      <c r="C133" s="18">
        <f>IF($A133="","",INDEX('부의금 입력'!$C$2:$C$1001,MATCH($A133,'부의금 입력'!$H$2:$H$1001,0)))</f>
        <v/>
      </c>
      <c r="D133" s="16">
        <f>IF($A133="","",INDEX('부의금 입력'!$D$2:$D$1001,MATCH($A133,'부의금 입력'!$H$2:$H$1001,0))&amp;"")</f>
        <v/>
      </c>
      <c r="E133" s="16">
        <f>IF($A133="","",INDEX('부의금 입력'!$E$2:$E$1001,MATCH($A133,'부의금 입력'!$H$2:$H$1001,0))&amp;"")</f>
        <v/>
      </c>
      <c r="H133" s="16">
        <f>IF(130&gt;$I$1,"",INDEX('근조 화환'!$B$2:$B$501,MATCH(130,'근조 화환'!$G$2:$G$501,0))&amp;"")</f>
        <v/>
      </c>
      <c r="I133" s="16">
        <f>IF(130&gt;$I$1,"",INDEX('근조 화환'!$C$2:$C$501,MATCH(130,'근조 화환'!$G$2:$G$501,0))&amp;"")</f>
        <v/>
      </c>
      <c r="J133" s="16">
        <f>IF(130&gt;$I$1,"",INDEX('근조 화환'!$D$2:$D$501,MATCH(130,'근조 화환'!$G$2:$G$501,0))&amp;"")</f>
        <v/>
      </c>
      <c r="K133" s="16">
        <f>IF(130&gt;$I$1,"",INDEX('근조 화환'!$E$2:$E$501,MATCH(130,'근조 화환'!$G$2:$G$501,0))&amp;"")</f>
        <v/>
      </c>
    </row>
    <row r="134">
      <c r="A134" s="16">
        <f>IF(131&lt;=$F$1,131,"")</f>
        <v/>
      </c>
      <c r="B134" s="16">
        <f>IF($A134="","",INDEX('부의금 입력'!$B$2:$B$1001,MATCH($A134,'부의금 입력'!$H$2:$H$1001,0))&amp;"")</f>
        <v/>
      </c>
      <c r="C134" s="18">
        <f>IF($A134="","",INDEX('부의금 입력'!$C$2:$C$1001,MATCH($A134,'부의금 입력'!$H$2:$H$1001,0)))</f>
        <v/>
      </c>
      <c r="D134" s="16">
        <f>IF($A134="","",INDEX('부의금 입력'!$D$2:$D$1001,MATCH($A134,'부의금 입력'!$H$2:$H$1001,0))&amp;"")</f>
        <v/>
      </c>
      <c r="E134" s="16">
        <f>IF($A134="","",INDEX('부의금 입력'!$E$2:$E$1001,MATCH($A134,'부의금 입력'!$H$2:$H$1001,0))&amp;"")</f>
        <v/>
      </c>
      <c r="H134" s="16">
        <f>IF(131&gt;$I$1,"",INDEX('근조 화환'!$B$2:$B$501,MATCH(131,'근조 화환'!$G$2:$G$501,0))&amp;"")</f>
        <v/>
      </c>
      <c r="I134" s="16">
        <f>IF(131&gt;$I$1,"",INDEX('근조 화환'!$C$2:$C$501,MATCH(131,'근조 화환'!$G$2:$G$501,0))&amp;"")</f>
        <v/>
      </c>
      <c r="J134" s="16">
        <f>IF(131&gt;$I$1,"",INDEX('근조 화환'!$D$2:$D$501,MATCH(131,'근조 화환'!$G$2:$G$501,0))&amp;"")</f>
        <v/>
      </c>
      <c r="K134" s="16">
        <f>IF(131&gt;$I$1,"",INDEX('근조 화환'!$E$2:$E$501,MATCH(131,'근조 화환'!$G$2:$G$501,0))&amp;"")</f>
        <v/>
      </c>
    </row>
    <row r="135">
      <c r="A135" s="16">
        <f>IF(132&lt;=$F$1,132,"")</f>
        <v/>
      </c>
      <c r="B135" s="16">
        <f>IF($A135="","",INDEX('부의금 입력'!$B$2:$B$1001,MATCH($A135,'부의금 입력'!$H$2:$H$1001,0))&amp;"")</f>
        <v/>
      </c>
      <c r="C135" s="18">
        <f>IF($A135="","",INDEX('부의금 입력'!$C$2:$C$1001,MATCH($A135,'부의금 입력'!$H$2:$H$1001,0)))</f>
        <v/>
      </c>
      <c r="D135" s="16">
        <f>IF($A135="","",INDEX('부의금 입력'!$D$2:$D$1001,MATCH($A135,'부의금 입력'!$H$2:$H$1001,0))&amp;"")</f>
        <v/>
      </c>
      <c r="E135" s="16">
        <f>IF($A135="","",INDEX('부의금 입력'!$E$2:$E$1001,MATCH($A135,'부의금 입력'!$H$2:$H$1001,0))&amp;"")</f>
        <v/>
      </c>
      <c r="H135" s="16">
        <f>IF(132&gt;$I$1,"",INDEX('근조 화환'!$B$2:$B$501,MATCH(132,'근조 화환'!$G$2:$G$501,0))&amp;"")</f>
        <v/>
      </c>
      <c r="I135" s="16">
        <f>IF(132&gt;$I$1,"",INDEX('근조 화환'!$C$2:$C$501,MATCH(132,'근조 화환'!$G$2:$G$501,0))&amp;"")</f>
        <v/>
      </c>
      <c r="J135" s="16">
        <f>IF(132&gt;$I$1,"",INDEX('근조 화환'!$D$2:$D$501,MATCH(132,'근조 화환'!$G$2:$G$501,0))&amp;"")</f>
        <v/>
      </c>
      <c r="K135" s="16">
        <f>IF(132&gt;$I$1,"",INDEX('근조 화환'!$E$2:$E$501,MATCH(132,'근조 화환'!$G$2:$G$501,0))&amp;"")</f>
        <v/>
      </c>
    </row>
    <row r="136">
      <c r="A136" s="16">
        <f>IF(133&lt;=$F$1,133,"")</f>
        <v/>
      </c>
      <c r="B136" s="16">
        <f>IF($A136="","",INDEX('부의금 입력'!$B$2:$B$1001,MATCH($A136,'부의금 입력'!$H$2:$H$1001,0))&amp;"")</f>
        <v/>
      </c>
      <c r="C136" s="18">
        <f>IF($A136="","",INDEX('부의금 입력'!$C$2:$C$1001,MATCH($A136,'부의금 입력'!$H$2:$H$1001,0)))</f>
        <v/>
      </c>
      <c r="D136" s="16">
        <f>IF($A136="","",INDEX('부의금 입력'!$D$2:$D$1001,MATCH($A136,'부의금 입력'!$H$2:$H$1001,0))&amp;"")</f>
        <v/>
      </c>
      <c r="E136" s="16">
        <f>IF($A136="","",INDEX('부의금 입력'!$E$2:$E$1001,MATCH($A136,'부의금 입력'!$H$2:$H$1001,0))&amp;"")</f>
        <v/>
      </c>
      <c r="H136" s="16">
        <f>IF(133&gt;$I$1,"",INDEX('근조 화환'!$B$2:$B$501,MATCH(133,'근조 화환'!$G$2:$G$501,0))&amp;"")</f>
        <v/>
      </c>
      <c r="I136" s="16">
        <f>IF(133&gt;$I$1,"",INDEX('근조 화환'!$C$2:$C$501,MATCH(133,'근조 화환'!$G$2:$G$501,0))&amp;"")</f>
        <v/>
      </c>
      <c r="J136" s="16">
        <f>IF(133&gt;$I$1,"",INDEX('근조 화환'!$D$2:$D$501,MATCH(133,'근조 화환'!$G$2:$G$501,0))&amp;"")</f>
        <v/>
      </c>
      <c r="K136" s="16">
        <f>IF(133&gt;$I$1,"",INDEX('근조 화환'!$E$2:$E$501,MATCH(133,'근조 화환'!$G$2:$G$501,0))&amp;"")</f>
        <v/>
      </c>
    </row>
    <row r="137">
      <c r="A137" s="16">
        <f>IF(134&lt;=$F$1,134,"")</f>
        <v/>
      </c>
      <c r="B137" s="16">
        <f>IF($A137="","",INDEX('부의금 입력'!$B$2:$B$1001,MATCH($A137,'부의금 입력'!$H$2:$H$1001,0))&amp;"")</f>
        <v/>
      </c>
      <c r="C137" s="18">
        <f>IF($A137="","",INDEX('부의금 입력'!$C$2:$C$1001,MATCH($A137,'부의금 입력'!$H$2:$H$1001,0)))</f>
        <v/>
      </c>
      <c r="D137" s="16">
        <f>IF($A137="","",INDEX('부의금 입력'!$D$2:$D$1001,MATCH($A137,'부의금 입력'!$H$2:$H$1001,0))&amp;"")</f>
        <v/>
      </c>
      <c r="E137" s="16">
        <f>IF($A137="","",INDEX('부의금 입력'!$E$2:$E$1001,MATCH($A137,'부의금 입력'!$H$2:$H$1001,0))&amp;"")</f>
        <v/>
      </c>
      <c r="H137" s="16">
        <f>IF(134&gt;$I$1,"",INDEX('근조 화환'!$B$2:$B$501,MATCH(134,'근조 화환'!$G$2:$G$501,0))&amp;"")</f>
        <v/>
      </c>
      <c r="I137" s="16">
        <f>IF(134&gt;$I$1,"",INDEX('근조 화환'!$C$2:$C$501,MATCH(134,'근조 화환'!$G$2:$G$501,0))&amp;"")</f>
        <v/>
      </c>
      <c r="J137" s="16">
        <f>IF(134&gt;$I$1,"",INDEX('근조 화환'!$D$2:$D$501,MATCH(134,'근조 화환'!$G$2:$G$501,0))&amp;"")</f>
        <v/>
      </c>
      <c r="K137" s="16">
        <f>IF(134&gt;$I$1,"",INDEX('근조 화환'!$E$2:$E$501,MATCH(134,'근조 화환'!$G$2:$G$501,0))&amp;"")</f>
        <v/>
      </c>
    </row>
    <row r="138">
      <c r="A138" s="16">
        <f>IF(135&lt;=$F$1,135,"")</f>
        <v/>
      </c>
      <c r="B138" s="16">
        <f>IF($A138="","",INDEX('부의금 입력'!$B$2:$B$1001,MATCH($A138,'부의금 입력'!$H$2:$H$1001,0))&amp;"")</f>
        <v/>
      </c>
      <c r="C138" s="18">
        <f>IF($A138="","",INDEX('부의금 입력'!$C$2:$C$1001,MATCH($A138,'부의금 입력'!$H$2:$H$1001,0)))</f>
        <v/>
      </c>
      <c r="D138" s="16">
        <f>IF($A138="","",INDEX('부의금 입력'!$D$2:$D$1001,MATCH($A138,'부의금 입력'!$H$2:$H$1001,0))&amp;"")</f>
        <v/>
      </c>
      <c r="E138" s="16">
        <f>IF($A138="","",INDEX('부의금 입력'!$E$2:$E$1001,MATCH($A138,'부의금 입력'!$H$2:$H$1001,0))&amp;"")</f>
        <v/>
      </c>
      <c r="H138" s="16">
        <f>IF(135&gt;$I$1,"",INDEX('근조 화환'!$B$2:$B$501,MATCH(135,'근조 화환'!$G$2:$G$501,0))&amp;"")</f>
        <v/>
      </c>
      <c r="I138" s="16">
        <f>IF(135&gt;$I$1,"",INDEX('근조 화환'!$C$2:$C$501,MATCH(135,'근조 화환'!$G$2:$G$501,0))&amp;"")</f>
        <v/>
      </c>
      <c r="J138" s="16">
        <f>IF(135&gt;$I$1,"",INDEX('근조 화환'!$D$2:$D$501,MATCH(135,'근조 화환'!$G$2:$G$501,0))&amp;"")</f>
        <v/>
      </c>
      <c r="K138" s="16">
        <f>IF(135&gt;$I$1,"",INDEX('근조 화환'!$E$2:$E$501,MATCH(135,'근조 화환'!$G$2:$G$501,0))&amp;"")</f>
        <v/>
      </c>
    </row>
    <row r="139">
      <c r="A139" s="16">
        <f>IF(136&lt;=$F$1,136,"")</f>
        <v/>
      </c>
      <c r="B139" s="16">
        <f>IF($A139="","",INDEX('부의금 입력'!$B$2:$B$1001,MATCH($A139,'부의금 입력'!$H$2:$H$1001,0))&amp;"")</f>
        <v/>
      </c>
      <c r="C139" s="18">
        <f>IF($A139="","",INDEX('부의금 입력'!$C$2:$C$1001,MATCH($A139,'부의금 입력'!$H$2:$H$1001,0)))</f>
        <v/>
      </c>
      <c r="D139" s="16">
        <f>IF($A139="","",INDEX('부의금 입력'!$D$2:$D$1001,MATCH($A139,'부의금 입력'!$H$2:$H$1001,0))&amp;"")</f>
        <v/>
      </c>
      <c r="E139" s="16">
        <f>IF($A139="","",INDEX('부의금 입력'!$E$2:$E$1001,MATCH($A139,'부의금 입력'!$H$2:$H$1001,0))&amp;"")</f>
        <v/>
      </c>
      <c r="H139" s="16">
        <f>IF(136&gt;$I$1,"",INDEX('근조 화환'!$B$2:$B$501,MATCH(136,'근조 화환'!$G$2:$G$501,0))&amp;"")</f>
        <v/>
      </c>
      <c r="I139" s="16">
        <f>IF(136&gt;$I$1,"",INDEX('근조 화환'!$C$2:$C$501,MATCH(136,'근조 화환'!$G$2:$G$501,0))&amp;"")</f>
        <v/>
      </c>
      <c r="J139" s="16">
        <f>IF(136&gt;$I$1,"",INDEX('근조 화환'!$D$2:$D$501,MATCH(136,'근조 화환'!$G$2:$G$501,0))&amp;"")</f>
        <v/>
      </c>
      <c r="K139" s="16">
        <f>IF(136&gt;$I$1,"",INDEX('근조 화환'!$E$2:$E$501,MATCH(136,'근조 화환'!$G$2:$G$501,0))&amp;"")</f>
        <v/>
      </c>
    </row>
    <row r="140">
      <c r="A140" s="16">
        <f>IF(137&lt;=$F$1,137,"")</f>
        <v/>
      </c>
      <c r="B140" s="16">
        <f>IF($A140="","",INDEX('부의금 입력'!$B$2:$B$1001,MATCH($A140,'부의금 입력'!$H$2:$H$1001,0))&amp;"")</f>
        <v/>
      </c>
      <c r="C140" s="18">
        <f>IF($A140="","",INDEX('부의금 입력'!$C$2:$C$1001,MATCH($A140,'부의금 입력'!$H$2:$H$1001,0)))</f>
        <v/>
      </c>
      <c r="D140" s="16">
        <f>IF($A140="","",INDEX('부의금 입력'!$D$2:$D$1001,MATCH($A140,'부의금 입력'!$H$2:$H$1001,0))&amp;"")</f>
        <v/>
      </c>
      <c r="E140" s="16">
        <f>IF($A140="","",INDEX('부의금 입력'!$E$2:$E$1001,MATCH($A140,'부의금 입력'!$H$2:$H$1001,0))&amp;"")</f>
        <v/>
      </c>
      <c r="H140" s="16">
        <f>IF(137&gt;$I$1,"",INDEX('근조 화환'!$B$2:$B$501,MATCH(137,'근조 화환'!$G$2:$G$501,0))&amp;"")</f>
        <v/>
      </c>
      <c r="I140" s="16">
        <f>IF(137&gt;$I$1,"",INDEX('근조 화환'!$C$2:$C$501,MATCH(137,'근조 화환'!$G$2:$G$501,0))&amp;"")</f>
        <v/>
      </c>
      <c r="J140" s="16">
        <f>IF(137&gt;$I$1,"",INDEX('근조 화환'!$D$2:$D$501,MATCH(137,'근조 화환'!$G$2:$G$501,0))&amp;"")</f>
        <v/>
      </c>
      <c r="K140" s="16">
        <f>IF(137&gt;$I$1,"",INDEX('근조 화환'!$E$2:$E$501,MATCH(137,'근조 화환'!$G$2:$G$501,0))&amp;"")</f>
        <v/>
      </c>
    </row>
    <row r="141">
      <c r="A141" s="16">
        <f>IF(138&lt;=$F$1,138,"")</f>
        <v/>
      </c>
      <c r="B141" s="16">
        <f>IF($A141="","",INDEX('부의금 입력'!$B$2:$B$1001,MATCH($A141,'부의금 입력'!$H$2:$H$1001,0))&amp;"")</f>
        <v/>
      </c>
      <c r="C141" s="18">
        <f>IF($A141="","",INDEX('부의금 입력'!$C$2:$C$1001,MATCH($A141,'부의금 입력'!$H$2:$H$1001,0)))</f>
        <v/>
      </c>
      <c r="D141" s="16">
        <f>IF($A141="","",INDEX('부의금 입력'!$D$2:$D$1001,MATCH($A141,'부의금 입력'!$H$2:$H$1001,0))&amp;"")</f>
        <v/>
      </c>
      <c r="E141" s="16">
        <f>IF($A141="","",INDEX('부의금 입력'!$E$2:$E$1001,MATCH($A141,'부의금 입력'!$H$2:$H$1001,0))&amp;"")</f>
        <v/>
      </c>
      <c r="H141" s="16">
        <f>IF(138&gt;$I$1,"",INDEX('근조 화환'!$B$2:$B$501,MATCH(138,'근조 화환'!$G$2:$G$501,0))&amp;"")</f>
        <v/>
      </c>
      <c r="I141" s="16">
        <f>IF(138&gt;$I$1,"",INDEX('근조 화환'!$C$2:$C$501,MATCH(138,'근조 화환'!$G$2:$G$501,0))&amp;"")</f>
        <v/>
      </c>
      <c r="J141" s="16">
        <f>IF(138&gt;$I$1,"",INDEX('근조 화환'!$D$2:$D$501,MATCH(138,'근조 화환'!$G$2:$G$501,0))&amp;"")</f>
        <v/>
      </c>
      <c r="K141" s="16">
        <f>IF(138&gt;$I$1,"",INDEX('근조 화환'!$E$2:$E$501,MATCH(138,'근조 화환'!$G$2:$G$501,0))&amp;"")</f>
        <v/>
      </c>
    </row>
    <row r="142">
      <c r="A142" s="16">
        <f>IF(139&lt;=$F$1,139,"")</f>
        <v/>
      </c>
      <c r="B142" s="16">
        <f>IF($A142="","",INDEX('부의금 입력'!$B$2:$B$1001,MATCH($A142,'부의금 입력'!$H$2:$H$1001,0))&amp;"")</f>
        <v/>
      </c>
      <c r="C142" s="18">
        <f>IF($A142="","",INDEX('부의금 입력'!$C$2:$C$1001,MATCH($A142,'부의금 입력'!$H$2:$H$1001,0)))</f>
        <v/>
      </c>
      <c r="D142" s="16">
        <f>IF($A142="","",INDEX('부의금 입력'!$D$2:$D$1001,MATCH($A142,'부의금 입력'!$H$2:$H$1001,0))&amp;"")</f>
        <v/>
      </c>
      <c r="E142" s="16">
        <f>IF($A142="","",INDEX('부의금 입력'!$E$2:$E$1001,MATCH($A142,'부의금 입력'!$H$2:$H$1001,0))&amp;"")</f>
        <v/>
      </c>
      <c r="H142" s="16">
        <f>IF(139&gt;$I$1,"",INDEX('근조 화환'!$B$2:$B$501,MATCH(139,'근조 화환'!$G$2:$G$501,0))&amp;"")</f>
        <v/>
      </c>
      <c r="I142" s="16">
        <f>IF(139&gt;$I$1,"",INDEX('근조 화환'!$C$2:$C$501,MATCH(139,'근조 화환'!$G$2:$G$501,0))&amp;"")</f>
        <v/>
      </c>
      <c r="J142" s="16">
        <f>IF(139&gt;$I$1,"",INDEX('근조 화환'!$D$2:$D$501,MATCH(139,'근조 화환'!$G$2:$G$501,0))&amp;"")</f>
        <v/>
      </c>
      <c r="K142" s="16">
        <f>IF(139&gt;$I$1,"",INDEX('근조 화환'!$E$2:$E$501,MATCH(139,'근조 화환'!$G$2:$G$501,0))&amp;"")</f>
        <v/>
      </c>
    </row>
    <row r="143">
      <c r="A143" s="16">
        <f>IF(140&lt;=$F$1,140,"")</f>
        <v/>
      </c>
      <c r="B143" s="16">
        <f>IF($A143="","",INDEX('부의금 입력'!$B$2:$B$1001,MATCH($A143,'부의금 입력'!$H$2:$H$1001,0))&amp;"")</f>
        <v/>
      </c>
      <c r="C143" s="18">
        <f>IF($A143="","",INDEX('부의금 입력'!$C$2:$C$1001,MATCH($A143,'부의금 입력'!$H$2:$H$1001,0)))</f>
        <v/>
      </c>
      <c r="D143" s="16">
        <f>IF($A143="","",INDEX('부의금 입력'!$D$2:$D$1001,MATCH($A143,'부의금 입력'!$H$2:$H$1001,0))&amp;"")</f>
        <v/>
      </c>
      <c r="E143" s="16">
        <f>IF($A143="","",INDEX('부의금 입력'!$E$2:$E$1001,MATCH($A143,'부의금 입력'!$H$2:$H$1001,0))&amp;"")</f>
        <v/>
      </c>
      <c r="H143" s="16">
        <f>IF(140&gt;$I$1,"",INDEX('근조 화환'!$B$2:$B$501,MATCH(140,'근조 화환'!$G$2:$G$501,0))&amp;"")</f>
        <v/>
      </c>
      <c r="I143" s="16">
        <f>IF(140&gt;$I$1,"",INDEX('근조 화환'!$C$2:$C$501,MATCH(140,'근조 화환'!$G$2:$G$501,0))&amp;"")</f>
        <v/>
      </c>
      <c r="J143" s="16">
        <f>IF(140&gt;$I$1,"",INDEX('근조 화환'!$D$2:$D$501,MATCH(140,'근조 화환'!$G$2:$G$501,0))&amp;"")</f>
        <v/>
      </c>
      <c r="K143" s="16">
        <f>IF(140&gt;$I$1,"",INDEX('근조 화환'!$E$2:$E$501,MATCH(140,'근조 화환'!$G$2:$G$501,0))&amp;"")</f>
        <v/>
      </c>
    </row>
    <row r="144">
      <c r="A144" s="16">
        <f>IF(141&lt;=$F$1,141,"")</f>
        <v/>
      </c>
      <c r="B144" s="16">
        <f>IF($A144="","",INDEX('부의금 입력'!$B$2:$B$1001,MATCH($A144,'부의금 입력'!$H$2:$H$1001,0))&amp;"")</f>
        <v/>
      </c>
      <c r="C144" s="18">
        <f>IF($A144="","",INDEX('부의금 입력'!$C$2:$C$1001,MATCH($A144,'부의금 입력'!$H$2:$H$1001,0)))</f>
        <v/>
      </c>
      <c r="D144" s="16">
        <f>IF($A144="","",INDEX('부의금 입력'!$D$2:$D$1001,MATCH($A144,'부의금 입력'!$H$2:$H$1001,0))&amp;"")</f>
        <v/>
      </c>
      <c r="E144" s="16">
        <f>IF($A144="","",INDEX('부의금 입력'!$E$2:$E$1001,MATCH($A144,'부의금 입력'!$H$2:$H$1001,0))&amp;"")</f>
        <v/>
      </c>
      <c r="H144" s="16">
        <f>IF(141&gt;$I$1,"",INDEX('근조 화환'!$B$2:$B$501,MATCH(141,'근조 화환'!$G$2:$G$501,0))&amp;"")</f>
        <v/>
      </c>
      <c r="I144" s="16">
        <f>IF(141&gt;$I$1,"",INDEX('근조 화환'!$C$2:$C$501,MATCH(141,'근조 화환'!$G$2:$G$501,0))&amp;"")</f>
        <v/>
      </c>
      <c r="J144" s="16">
        <f>IF(141&gt;$I$1,"",INDEX('근조 화환'!$D$2:$D$501,MATCH(141,'근조 화환'!$G$2:$G$501,0))&amp;"")</f>
        <v/>
      </c>
      <c r="K144" s="16">
        <f>IF(141&gt;$I$1,"",INDEX('근조 화환'!$E$2:$E$501,MATCH(141,'근조 화환'!$G$2:$G$501,0))&amp;"")</f>
        <v/>
      </c>
    </row>
    <row r="145">
      <c r="A145" s="16">
        <f>IF(142&lt;=$F$1,142,"")</f>
        <v/>
      </c>
      <c r="B145" s="16">
        <f>IF($A145="","",INDEX('부의금 입력'!$B$2:$B$1001,MATCH($A145,'부의금 입력'!$H$2:$H$1001,0))&amp;"")</f>
        <v/>
      </c>
      <c r="C145" s="18">
        <f>IF($A145="","",INDEX('부의금 입력'!$C$2:$C$1001,MATCH($A145,'부의금 입력'!$H$2:$H$1001,0)))</f>
        <v/>
      </c>
      <c r="D145" s="16">
        <f>IF($A145="","",INDEX('부의금 입력'!$D$2:$D$1001,MATCH($A145,'부의금 입력'!$H$2:$H$1001,0))&amp;"")</f>
        <v/>
      </c>
      <c r="E145" s="16">
        <f>IF($A145="","",INDEX('부의금 입력'!$E$2:$E$1001,MATCH($A145,'부의금 입력'!$H$2:$H$1001,0))&amp;"")</f>
        <v/>
      </c>
      <c r="H145" s="16">
        <f>IF(142&gt;$I$1,"",INDEX('근조 화환'!$B$2:$B$501,MATCH(142,'근조 화환'!$G$2:$G$501,0))&amp;"")</f>
        <v/>
      </c>
      <c r="I145" s="16">
        <f>IF(142&gt;$I$1,"",INDEX('근조 화환'!$C$2:$C$501,MATCH(142,'근조 화환'!$G$2:$G$501,0))&amp;"")</f>
        <v/>
      </c>
      <c r="J145" s="16">
        <f>IF(142&gt;$I$1,"",INDEX('근조 화환'!$D$2:$D$501,MATCH(142,'근조 화환'!$G$2:$G$501,0))&amp;"")</f>
        <v/>
      </c>
      <c r="K145" s="16">
        <f>IF(142&gt;$I$1,"",INDEX('근조 화환'!$E$2:$E$501,MATCH(142,'근조 화환'!$G$2:$G$501,0))&amp;"")</f>
        <v/>
      </c>
    </row>
    <row r="146">
      <c r="A146" s="16">
        <f>IF(143&lt;=$F$1,143,"")</f>
        <v/>
      </c>
      <c r="B146" s="16">
        <f>IF($A146="","",INDEX('부의금 입력'!$B$2:$B$1001,MATCH($A146,'부의금 입력'!$H$2:$H$1001,0))&amp;"")</f>
        <v/>
      </c>
      <c r="C146" s="18">
        <f>IF($A146="","",INDEX('부의금 입력'!$C$2:$C$1001,MATCH($A146,'부의금 입력'!$H$2:$H$1001,0)))</f>
        <v/>
      </c>
      <c r="D146" s="16">
        <f>IF($A146="","",INDEX('부의금 입력'!$D$2:$D$1001,MATCH($A146,'부의금 입력'!$H$2:$H$1001,0))&amp;"")</f>
        <v/>
      </c>
      <c r="E146" s="16">
        <f>IF($A146="","",INDEX('부의금 입력'!$E$2:$E$1001,MATCH($A146,'부의금 입력'!$H$2:$H$1001,0))&amp;"")</f>
        <v/>
      </c>
      <c r="H146" s="16">
        <f>IF(143&gt;$I$1,"",INDEX('근조 화환'!$B$2:$B$501,MATCH(143,'근조 화환'!$G$2:$G$501,0))&amp;"")</f>
        <v/>
      </c>
      <c r="I146" s="16">
        <f>IF(143&gt;$I$1,"",INDEX('근조 화환'!$C$2:$C$501,MATCH(143,'근조 화환'!$G$2:$G$501,0))&amp;"")</f>
        <v/>
      </c>
      <c r="J146" s="16">
        <f>IF(143&gt;$I$1,"",INDEX('근조 화환'!$D$2:$D$501,MATCH(143,'근조 화환'!$G$2:$G$501,0))&amp;"")</f>
        <v/>
      </c>
      <c r="K146" s="16">
        <f>IF(143&gt;$I$1,"",INDEX('근조 화환'!$E$2:$E$501,MATCH(143,'근조 화환'!$G$2:$G$501,0))&amp;"")</f>
        <v/>
      </c>
    </row>
    <row r="147">
      <c r="A147" s="16">
        <f>IF(144&lt;=$F$1,144,"")</f>
        <v/>
      </c>
      <c r="B147" s="16">
        <f>IF($A147="","",INDEX('부의금 입력'!$B$2:$B$1001,MATCH($A147,'부의금 입력'!$H$2:$H$1001,0))&amp;"")</f>
        <v/>
      </c>
      <c r="C147" s="18">
        <f>IF($A147="","",INDEX('부의금 입력'!$C$2:$C$1001,MATCH($A147,'부의금 입력'!$H$2:$H$1001,0)))</f>
        <v/>
      </c>
      <c r="D147" s="16">
        <f>IF($A147="","",INDEX('부의금 입력'!$D$2:$D$1001,MATCH($A147,'부의금 입력'!$H$2:$H$1001,0))&amp;"")</f>
        <v/>
      </c>
      <c r="E147" s="16">
        <f>IF($A147="","",INDEX('부의금 입력'!$E$2:$E$1001,MATCH($A147,'부의금 입력'!$H$2:$H$1001,0))&amp;"")</f>
        <v/>
      </c>
      <c r="H147" s="16">
        <f>IF(144&gt;$I$1,"",INDEX('근조 화환'!$B$2:$B$501,MATCH(144,'근조 화환'!$G$2:$G$501,0))&amp;"")</f>
        <v/>
      </c>
      <c r="I147" s="16">
        <f>IF(144&gt;$I$1,"",INDEX('근조 화환'!$C$2:$C$501,MATCH(144,'근조 화환'!$G$2:$G$501,0))&amp;"")</f>
        <v/>
      </c>
      <c r="J147" s="16">
        <f>IF(144&gt;$I$1,"",INDEX('근조 화환'!$D$2:$D$501,MATCH(144,'근조 화환'!$G$2:$G$501,0))&amp;"")</f>
        <v/>
      </c>
      <c r="K147" s="16">
        <f>IF(144&gt;$I$1,"",INDEX('근조 화환'!$E$2:$E$501,MATCH(144,'근조 화환'!$G$2:$G$501,0))&amp;"")</f>
        <v/>
      </c>
    </row>
    <row r="148">
      <c r="A148" s="16">
        <f>IF(145&lt;=$F$1,145,"")</f>
        <v/>
      </c>
      <c r="B148" s="16">
        <f>IF($A148="","",INDEX('부의금 입력'!$B$2:$B$1001,MATCH($A148,'부의금 입력'!$H$2:$H$1001,0))&amp;"")</f>
        <v/>
      </c>
      <c r="C148" s="18">
        <f>IF($A148="","",INDEX('부의금 입력'!$C$2:$C$1001,MATCH($A148,'부의금 입력'!$H$2:$H$1001,0)))</f>
        <v/>
      </c>
      <c r="D148" s="16">
        <f>IF($A148="","",INDEX('부의금 입력'!$D$2:$D$1001,MATCH($A148,'부의금 입력'!$H$2:$H$1001,0))&amp;"")</f>
        <v/>
      </c>
      <c r="E148" s="16">
        <f>IF($A148="","",INDEX('부의금 입력'!$E$2:$E$1001,MATCH($A148,'부의금 입력'!$H$2:$H$1001,0))&amp;"")</f>
        <v/>
      </c>
      <c r="H148" s="16">
        <f>IF(145&gt;$I$1,"",INDEX('근조 화환'!$B$2:$B$501,MATCH(145,'근조 화환'!$G$2:$G$501,0))&amp;"")</f>
        <v/>
      </c>
      <c r="I148" s="16">
        <f>IF(145&gt;$I$1,"",INDEX('근조 화환'!$C$2:$C$501,MATCH(145,'근조 화환'!$G$2:$G$501,0))&amp;"")</f>
        <v/>
      </c>
      <c r="J148" s="16">
        <f>IF(145&gt;$I$1,"",INDEX('근조 화환'!$D$2:$D$501,MATCH(145,'근조 화환'!$G$2:$G$501,0))&amp;"")</f>
        <v/>
      </c>
      <c r="K148" s="16">
        <f>IF(145&gt;$I$1,"",INDEX('근조 화환'!$E$2:$E$501,MATCH(145,'근조 화환'!$G$2:$G$501,0))&amp;"")</f>
        <v/>
      </c>
    </row>
    <row r="149">
      <c r="A149" s="16">
        <f>IF(146&lt;=$F$1,146,"")</f>
        <v/>
      </c>
      <c r="B149" s="16">
        <f>IF($A149="","",INDEX('부의금 입력'!$B$2:$B$1001,MATCH($A149,'부의금 입력'!$H$2:$H$1001,0))&amp;"")</f>
        <v/>
      </c>
      <c r="C149" s="18">
        <f>IF($A149="","",INDEX('부의금 입력'!$C$2:$C$1001,MATCH($A149,'부의금 입력'!$H$2:$H$1001,0)))</f>
        <v/>
      </c>
      <c r="D149" s="16">
        <f>IF($A149="","",INDEX('부의금 입력'!$D$2:$D$1001,MATCH($A149,'부의금 입력'!$H$2:$H$1001,0))&amp;"")</f>
        <v/>
      </c>
      <c r="E149" s="16">
        <f>IF($A149="","",INDEX('부의금 입력'!$E$2:$E$1001,MATCH($A149,'부의금 입력'!$H$2:$H$1001,0))&amp;"")</f>
        <v/>
      </c>
      <c r="H149" s="16">
        <f>IF(146&gt;$I$1,"",INDEX('근조 화환'!$B$2:$B$501,MATCH(146,'근조 화환'!$G$2:$G$501,0))&amp;"")</f>
        <v/>
      </c>
      <c r="I149" s="16">
        <f>IF(146&gt;$I$1,"",INDEX('근조 화환'!$C$2:$C$501,MATCH(146,'근조 화환'!$G$2:$G$501,0))&amp;"")</f>
        <v/>
      </c>
      <c r="J149" s="16">
        <f>IF(146&gt;$I$1,"",INDEX('근조 화환'!$D$2:$D$501,MATCH(146,'근조 화환'!$G$2:$G$501,0))&amp;"")</f>
        <v/>
      </c>
      <c r="K149" s="16">
        <f>IF(146&gt;$I$1,"",INDEX('근조 화환'!$E$2:$E$501,MATCH(146,'근조 화환'!$G$2:$G$501,0))&amp;"")</f>
        <v/>
      </c>
    </row>
    <row r="150">
      <c r="A150" s="16">
        <f>IF(147&lt;=$F$1,147,"")</f>
        <v/>
      </c>
      <c r="B150" s="16">
        <f>IF($A150="","",INDEX('부의금 입력'!$B$2:$B$1001,MATCH($A150,'부의금 입력'!$H$2:$H$1001,0))&amp;"")</f>
        <v/>
      </c>
      <c r="C150" s="18">
        <f>IF($A150="","",INDEX('부의금 입력'!$C$2:$C$1001,MATCH($A150,'부의금 입력'!$H$2:$H$1001,0)))</f>
        <v/>
      </c>
      <c r="D150" s="16">
        <f>IF($A150="","",INDEX('부의금 입력'!$D$2:$D$1001,MATCH($A150,'부의금 입력'!$H$2:$H$1001,0))&amp;"")</f>
        <v/>
      </c>
      <c r="E150" s="16">
        <f>IF($A150="","",INDEX('부의금 입력'!$E$2:$E$1001,MATCH($A150,'부의금 입력'!$H$2:$H$1001,0))&amp;"")</f>
        <v/>
      </c>
      <c r="H150" s="16">
        <f>IF(147&gt;$I$1,"",INDEX('근조 화환'!$B$2:$B$501,MATCH(147,'근조 화환'!$G$2:$G$501,0))&amp;"")</f>
        <v/>
      </c>
      <c r="I150" s="16">
        <f>IF(147&gt;$I$1,"",INDEX('근조 화환'!$C$2:$C$501,MATCH(147,'근조 화환'!$G$2:$G$501,0))&amp;"")</f>
        <v/>
      </c>
      <c r="J150" s="16">
        <f>IF(147&gt;$I$1,"",INDEX('근조 화환'!$D$2:$D$501,MATCH(147,'근조 화환'!$G$2:$G$501,0))&amp;"")</f>
        <v/>
      </c>
      <c r="K150" s="16">
        <f>IF(147&gt;$I$1,"",INDEX('근조 화환'!$E$2:$E$501,MATCH(147,'근조 화환'!$G$2:$G$501,0))&amp;"")</f>
        <v/>
      </c>
    </row>
    <row r="151">
      <c r="A151" s="16">
        <f>IF(148&lt;=$F$1,148,"")</f>
        <v/>
      </c>
      <c r="B151" s="16">
        <f>IF($A151="","",INDEX('부의금 입력'!$B$2:$B$1001,MATCH($A151,'부의금 입력'!$H$2:$H$1001,0))&amp;"")</f>
        <v/>
      </c>
      <c r="C151" s="18">
        <f>IF($A151="","",INDEX('부의금 입력'!$C$2:$C$1001,MATCH($A151,'부의금 입력'!$H$2:$H$1001,0)))</f>
        <v/>
      </c>
      <c r="D151" s="16">
        <f>IF($A151="","",INDEX('부의금 입력'!$D$2:$D$1001,MATCH($A151,'부의금 입력'!$H$2:$H$1001,0))&amp;"")</f>
        <v/>
      </c>
      <c r="E151" s="16">
        <f>IF($A151="","",INDEX('부의금 입력'!$E$2:$E$1001,MATCH($A151,'부의금 입력'!$H$2:$H$1001,0))&amp;"")</f>
        <v/>
      </c>
      <c r="H151" s="16">
        <f>IF(148&gt;$I$1,"",INDEX('근조 화환'!$B$2:$B$501,MATCH(148,'근조 화환'!$G$2:$G$501,0))&amp;"")</f>
        <v/>
      </c>
      <c r="I151" s="16">
        <f>IF(148&gt;$I$1,"",INDEX('근조 화환'!$C$2:$C$501,MATCH(148,'근조 화환'!$G$2:$G$501,0))&amp;"")</f>
        <v/>
      </c>
      <c r="J151" s="16">
        <f>IF(148&gt;$I$1,"",INDEX('근조 화환'!$D$2:$D$501,MATCH(148,'근조 화환'!$G$2:$G$501,0))&amp;"")</f>
        <v/>
      </c>
      <c r="K151" s="16">
        <f>IF(148&gt;$I$1,"",INDEX('근조 화환'!$E$2:$E$501,MATCH(148,'근조 화환'!$G$2:$G$501,0))&amp;"")</f>
        <v/>
      </c>
    </row>
    <row r="152">
      <c r="A152" s="16">
        <f>IF(149&lt;=$F$1,149,"")</f>
        <v/>
      </c>
      <c r="B152" s="16">
        <f>IF($A152="","",INDEX('부의금 입력'!$B$2:$B$1001,MATCH($A152,'부의금 입력'!$H$2:$H$1001,0))&amp;"")</f>
        <v/>
      </c>
      <c r="C152" s="18">
        <f>IF($A152="","",INDEX('부의금 입력'!$C$2:$C$1001,MATCH($A152,'부의금 입력'!$H$2:$H$1001,0)))</f>
        <v/>
      </c>
      <c r="D152" s="16">
        <f>IF($A152="","",INDEX('부의금 입력'!$D$2:$D$1001,MATCH($A152,'부의금 입력'!$H$2:$H$1001,0))&amp;"")</f>
        <v/>
      </c>
      <c r="E152" s="16">
        <f>IF($A152="","",INDEX('부의금 입력'!$E$2:$E$1001,MATCH($A152,'부의금 입력'!$H$2:$H$1001,0))&amp;"")</f>
        <v/>
      </c>
      <c r="H152" s="16">
        <f>IF(149&gt;$I$1,"",INDEX('근조 화환'!$B$2:$B$501,MATCH(149,'근조 화환'!$G$2:$G$501,0))&amp;"")</f>
        <v/>
      </c>
      <c r="I152" s="16">
        <f>IF(149&gt;$I$1,"",INDEX('근조 화환'!$C$2:$C$501,MATCH(149,'근조 화환'!$G$2:$G$501,0))&amp;"")</f>
        <v/>
      </c>
      <c r="J152" s="16">
        <f>IF(149&gt;$I$1,"",INDEX('근조 화환'!$D$2:$D$501,MATCH(149,'근조 화환'!$G$2:$G$501,0))&amp;"")</f>
        <v/>
      </c>
      <c r="K152" s="16">
        <f>IF(149&gt;$I$1,"",INDEX('근조 화환'!$E$2:$E$501,MATCH(149,'근조 화환'!$G$2:$G$501,0))&amp;"")</f>
        <v/>
      </c>
    </row>
    <row r="153">
      <c r="A153" s="16">
        <f>IF(150&lt;=$F$1,150,"")</f>
        <v/>
      </c>
      <c r="B153" s="16">
        <f>IF($A153="","",INDEX('부의금 입력'!$B$2:$B$1001,MATCH($A153,'부의금 입력'!$H$2:$H$1001,0))&amp;"")</f>
        <v/>
      </c>
      <c r="C153" s="18">
        <f>IF($A153="","",INDEX('부의금 입력'!$C$2:$C$1001,MATCH($A153,'부의금 입력'!$H$2:$H$1001,0)))</f>
        <v/>
      </c>
      <c r="D153" s="16">
        <f>IF($A153="","",INDEX('부의금 입력'!$D$2:$D$1001,MATCH($A153,'부의금 입력'!$H$2:$H$1001,0))&amp;"")</f>
        <v/>
      </c>
      <c r="E153" s="16">
        <f>IF($A153="","",INDEX('부의금 입력'!$E$2:$E$1001,MATCH($A153,'부의금 입력'!$H$2:$H$1001,0))&amp;"")</f>
        <v/>
      </c>
      <c r="H153" s="16">
        <f>IF(150&gt;$I$1,"",INDEX('근조 화환'!$B$2:$B$501,MATCH(150,'근조 화환'!$G$2:$G$501,0))&amp;"")</f>
        <v/>
      </c>
      <c r="I153" s="16">
        <f>IF(150&gt;$I$1,"",INDEX('근조 화환'!$C$2:$C$501,MATCH(150,'근조 화환'!$G$2:$G$501,0))&amp;"")</f>
        <v/>
      </c>
      <c r="J153" s="16">
        <f>IF(150&gt;$I$1,"",INDEX('근조 화환'!$D$2:$D$501,MATCH(150,'근조 화환'!$G$2:$G$501,0))&amp;"")</f>
        <v/>
      </c>
      <c r="K153" s="16">
        <f>IF(150&gt;$I$1,"",INDEX('근조 화환'!$E$2:$E$501,MATCH(150,'근조 화환'!$G$2:$G$501,0))&amp;"")</f>
        <v/>
      </c>
    </row>
    <row r="154">
      <c r="A154" s="16">
        <f>IF(151&lt;=$F$1,151,"")</f>
        <v/>
      </c>
      <c r="B154" s="16">
        <f>IF($A154="","",INDEX('부의금 입력'!$B$2:$B$1001,MATCH($A154,'부의금 입력'!$H$2:$H$1001,0))&amp;"")</f>
        <v/>
      </c>
      <c r="C154" s="18">
        <f>IF($A154="","",INDEX('부의금 입력'!$C$2:$C$1001,MATCH($A154,'부의금 입력'!$H$2:$H$1001,0)))</f>
        <v/>
      </c>
      <c r="D154" s="16">
        <f>IF($A154="","",INDEX('부의금 입력'!$D$2:$D$1001,MATCH($A154,'부의금 입력'!$H$2:$H$1001,0))&amp;"")</f>
        <v/>
      </c>
      <c r="E154" s="16">
        <f>IF($A154="","",INDEX('부의금 입력'!$E$2:$E$1001,MATCH($A154,'부의금 입력'!$H$2:$H$1001,0))&amp;"")</f>
        <v/>
      </c>
      <c r="H154" s="16">
        <f>IF(151&gt;$I$1,"",INDEX('근조 화환'!$B$2:$B$501,MATCH(151,'근조 화환'!$G$2:$G$501,0))&amp;"")</f>
        <v/>
      </c>
      <c r="I154" s="16">
        <f>IF(151&gt;$I$1,"",INDEX('근조 화환'!$C$2:$C$501,MATCH(151,'근조 화환'!$G$2:$G$501,0))&amp;"")</f>
        <v/>
      </c>
      <c r="J154" s="16">
        <f>IF(151&gt;$I$1,"",INDEX('근조 화환'!$D$2:$D$501,MATCH(151,'근조 화환'!$G$2:$G$501,0))&amp;"")</f>
        <v/>
      </c>
      <c r="K154" s="16">
        <f>IF(151&gt;$I$1,"",INDEX('근조 화환'!$E$2:$E$501,MATCH(151,'근조 화환'!$G$2:$G$501,0))&amp;"")</f>
        <v/>
      </c>
    </row>
    <row r="155">
      <c r="A155" s="16">
        <f>IF(152&lt;=$F$1,152,"")</f>
        <v/>
      </c>
      <c r="B155" s="16">
        <f>IF($A155="","",INDEX('부의금 입력'!$B$2:$B$1001,MATCH($A155,'부의금 입력'!$H$2:$H$1001,0))&amp;"")</f>
        <v/>
      </c>
      <c r="C155" s="18">
        <f>IF($A155="","",INDEX('부의금 입력'!$C$2:$C$1001,MATCH($A155,'부의금 입력'!$H$2:$H$1001,0)))</f>
        <v/>
      </c>
      <c r="D155" s="16">
        <f>IF($A155="","",INDEX('부의금 입력'!$D$2:$D$1001,MATCH($A155,'부의금 입력'!$H$2:$H$1001,0))&amp;"")</f>
        <v/>
      </c>
      <c r="E155" s="16">
        <f>IF($A155="","",INDEX('부의금 입력'!$E$2:$E$1001,MATCH($A155,'부의금 입력'!$H$2:$H$1001,0))&amp;"")</f>
        <v/>
      </c>
      <c r="H155" s="16">
        <f>IF(152&gt;$I$1,"",INDEX('근조 화환'!$B$2:$B$501,MATCH(152,'근조 화환'!$G$2:$G$501,0))&amp;"")</f>
        <v/>
      </c>
      <c r="I155" s="16">
        <f>IF(152&gt;$I$1,"",INDEX('근조 화환'!$C$2:$C$501,MATCH(152,'근조 화환'!$G$2:$G$501,0))&amp;"")</f>
        <v/>
      </c>
      <c r="J155" s="16">
        <f>IF(152&gt;$I$1,"",INDEX('근조 화환'!$D$2:$D$501,MATCH(152,'근조 화환'!$G$2:$G$501,0))&amp;"")</f>
        <v/>
      </c>
      <c r="K155" s="16">
        <f>IF(152&gt;$I$1,"",INDEX('근조 화환'!$E$2:$E$501,MATCH(152,'근조 화환'!$G$2:$G$501,0))&amp;"")</f>
        <v/>
      </c>
    </row>
    <row r="156">
      <c r="A156" s="16">
        <f>IF(153&lt;=$F$1,153,"")</f>
        <v/>
      </c>
      <c r="B156" s="16">
        <f>IF($A156="","",INDEX('부의금 입력'!$B$2:$B$1001,MATCH($A156,'부의금 입력'!$H$2:$H$1001,0))&amp;"")</f>
        <v/>
      </c>
      <c r="C156" s="18">
        <f>IF($A156="","",INDEX('부의금 입력'!$C$2:$C$1001,MATCH($A156,'부의금 입력'!$H$2:$H$1001,0)))</f>
        <v/>
      </c>
      <c r="D156" s="16">
        <f>IF($A156="","",INDEX('부의금 입력'!$D$2:$D$1001,MATCH($A156,'부의금 입력'!$H$2:$H$1001,0))&amp;"")</f>
        <v/>
      </c>
      <c r="E156" s="16">
        <f>IF($A156="","",INDEX('부의금 입력'!$E$2:$E$1001,MATCH($A156,'부의금 입력'!$H$2:$H$1001,0))&amp;"")</f>
        <v/>
      </c>
      <c r="H156" s="16">
        <f>IF(153&gt;$I$1,"",INDEX('근조 화환'!$B$2:$B$501,MATCH(153,'근조 화환'!$G$2:$G$501,0))&amp;"")</f>
        <v/>
      </c>
      <c r="I156" s="16">
        <f>IF(153&gt;$I$1,"",INDEX('근조 화환'!$C$2:$C$501,MATCH(153,'근조 화환'!$G$2:$G$501,0))&amp;"")</f>
        <v/>
      </c>
      <c r="J156" s="16">
        <f>IF(153&gt;$I$1,"",INDEX('근조 화환'!$D$2:$D$501,MATCH(153,'근조 화환'!$G$2:$G$501,0))&amp;"")</f>
        <v/>
      </c>
      <c r="K156" s="16">
        <f>IF(153&gt;$I$1,"",INDEX('근조 화환'!$E$2:$E$501,MATCH(153,'근조 화환'!$G$2:$G$501,0))&amp;"")</f>
        <v/>
      </c>
    </row>
    <row r="157">
      <c r="A157" s="16">
        <f>IF(154&lt;=$F$1,154,"")</f>
        <v/>
      </c>
      <c r="B157" s="16">
        <f>IF($A157="","",INDEX('부의금 입력'!$B$2:$B$1001,MATCH($A157,'부의금 입력'!$H$2:$H$1001,0))&amp;"")</f>
        <v/>
      </c>
      <c r="C157" s="18">
        <f>IF($A157="","",INDEX('부의금 입력'!$C$2:$C$1001,MATCH($A157,'부의금 입력'!$H$2:$H$1001,0)))</f>
        <v/>
      </c>
      <c r="D157" s="16">
        <f>IF($A157="","",INDEX('부의금 입력'!$D$2:$D$1001,MATCH($A157,'부의금 입력'!$H$2:$H$1001,0))&amp;"")</f>
        <v/>
      </c>
      <c r="E157" s="16">
        <f>IF($A157="","",INDEX('부의금 입력'!$E$2:$E$1001,MATCH($A157,'부의금 입력'!$H$2:$H$1001,0))&amp;"")</f>
        <v/>
      </c>
      <c r="H157" s="16">
        <f>IF(154&gt;$I$1,"",INDEX('근조 화환'!$B$2:$B$501,MATCH(154,'근조 화환'!$G$2:$G$501,0))&amp;"")</f>
        <v/>
      </c>
      <c r="I157" s="16">
        <f>IF(154&gt;$I$1,"",INDEX('근조 화환'!$C$2:$C$501,MATCH(154,'근조 화환'!$G$2:$G$501,0))&amp;"")</f>
        <v/>
      </c>
      <c r="J157" s="16">
        <f>IF(154&gt;$I$1,"",INDEX('근조 화환'!$D$2:$D$501,MATCH(154,'근조 화환'!$G$2:$G$501,0))&amp;"")</f>
        <v/>
      </c>
      <c r="K157" s="16">
        <f>IF(154&gt;$I$1,"",INDEX('근조 화환'!$E$2:$E$501,MATCH(154,'근조 화환'!$G$2:$G$501,0))&amp;"")</f>
        <v/>
      </c>
    </row>
    <row r="158">
      <c r="A158" s="16">
        <f>IF(155&lt;=$F$1,155,"")</f>
        <v/>
      </c>
      <c r="B158" s="16">
        <f>IF($A158="","",INDEX('부의금 입력'!$B$2:$B$1001,MATCH($A158,'부의금 입력'!$H$2:$H$1001,0))&amp;"")</f>
        <v/>
      </c>
      <c r="C158" s="18">
        <f>IF($A158="","",INDEX('부의금 입력'!$C$2:$C$1001,MATCH($A158,'부의금 입력'!$H$2:$H$1001,0)))</f>
        <v/>
      </c>
      <c r="D158" s="16">
        <f>IF($A158="","",INDEX('부의금 입력'!$D$2:$D$1001,MATCH($A158,'부의금 입력'!$H$2:$H$1001,0))&amp;"")</f>
        <v/>
      </c>
      <c r="E158" s="16">
        <f>IF($A158="","",INDEX('부의금 입력'!$E$2:$E$1001,MATCH($A158,'부의금 입력'!$H$2:$H$1001,0))&amp;"")</f>
        <v/>
      </c>
      <c r="H158" s="16">
        <f>IF(155&gt;$I$1,"",INDEX('근조 화환'!$B$2:$B$501,MATCH(155,'근조 화환'!$G$2:$G$501,0))&amp;"")</f>
        <v/>
      </c>
      <c r="I158" s="16">
        <f>IF(155&gt;$I$1,"",INDEX('근조 화환'!$C$2:$C$501,MATCH(155,'근조 화환'!$G$2:$G$501,0))&amp;"")</f>
        <v/>
      </c>
      <c r="J158" s="16">
        <f>IF(155&gt;$I$1,"",INDEX('근조 화환'!$D$2:$D$501,MATCH(155,'근조 화환'!$G$2:$G$501,0))&amp;"")</f>
        <v/>
      </c>
      <c r="K158" s="16">
        <f>IF(155&gt;$I$1,"",INDEX('근조 화환'!$E$2:$E$501,MATCH(155,'근조 화환'!$G$2:$G$501,0))&amp;"")</f>
        <v/>
      </c>
    </row>
    <row r="159">
      <c r="A159" s="16">
        <f>IF(156&lt;=$F$1,156,"")</f>
        <v/>
      </c>
      <c r="B159" s="16">
        <f>IF($A159="","",INDEX('부의금 입력'!$B$2:$B$1001,MATCH($A159,'부의금 입력'!$H$2:$H$1001,0))&amp;"")</f>
        <v/>
      </c>
      <c r="C159" s="18">
        <f>IF($A159="","",INDEX('부의금 입력'!$C$2:$C$1001,MATCH($A159,'부의금 입력'!$H$2:$H$1001,0)))</f>
        <v/>
      </c>
      <c r="D159" s="16">
        <f>IF($A159="","",INDEX('부의금 입력'!$D$2:$D$1001,MATCH($A159,'부의금 입력'!$H$2:$H$1001,0))&amp;"")</f>
        <v/>
      </c>
      <c r="E159" s="16">
        <f>IF($A159="","",INDEX('부의금 입력'!$E$2:$E$1001,MATCH($A159,'부의금 입력'!$H$2:$H$1001,0))&amp;"")</f>
        <v/>
      </c>
      <c r="H159" s="16">
        <f>IF(156&gt;$I$1,"",INDEX('근조 화환'!$B$2:$B$501,MATCH(156,'근조 화환'!$G$2:$G$501,0))&amp;"")</f>
        <v/>
      </c>
      <c r="I159" s="16">
        <f>IF(156&gt;$I$1,"",INDEX('근조 화환'!$C$2:$C$501,MATCH(156,'근조 화환'!$G$2:$G$501,0))&amp;"")</f>
        <v/>
      </c>
      <c r="J159" s="16">
        <f>IF(156&gt;$I$1,"",INDEX('근조 화환'!$D$2:$D$501,MATCH(156,'근조 화환'!$G$2:$G$501,0))&amp;"")</f>
        <v/>
      </c>
      <c r="K159" s="16">
        <f>IF(156&gt;$I$1,"",INDEX('근조 화환'!$E$2:$E$501,MATCH(156,'근조 화환'!$G$2:$G$501,0))&amp;"")</f>
        <v/>
      </c>
    </row>
    <row r="160">
      <c r="A160" s="16">
        <f>IF(157&lt;=$F$1,157,"")</f>
        <v/>
      </c>
      <c r="B160" s="16">
        <f>IF($A160="","",INDEX('부의금 입력'!$B$2:$B$1001,MATCH($A160,'부의금 입력'!$H$2:$H$1001,0))&amp;"")</f>
        <v/>
      </c>
      <c r="C160" s="18">
        <f>IF($A160="","",INDEX('부의금 입력'!$C$2:$C$1001,MATCH($A160,'부의금 입력'!$H$2:$H$1001,0)))</f>
        <v/>
      </c>
      <c r="D160" s="16">
        <f>IF($A160="","",INDEX('부의금 입력'!$D$2:$D$1001,MATCH($A160,'부의금 입력'!$H$2:$H$1001,0))&amp;"")</f>
        <v/>
      </c>
      <c r="E160" s="16">
        <f>IF($A160="","",INDEX('부의금 입력'!$E$2:$E$1001,MATCH($A160,'부의금 입력'!$H$2:$H$1001,0))&amp;"")</f>
        <v/>
      </c>
      <c r="H160" s="16">
        <f>IF(157&gt;$I$1,"",INDEX('근조 화환'!$B$2:$B$501,MATCH(157,'근조 화환'!$G$2:$G$501,0))&amp;"")</f>
        <v/>
      </c>
      <c r="I160" s="16">
        <f>IF(157&gt;$I$1,"",INDEX('근조 화환'!$C$2:$C$501,MATCH(157,'근조 화환'!$G$2:$G$501,0))&amp;"")</f>
        <v/>
      </c>
      <c r="J160" s="16">
        <f>IF(157&gt;$I$1,"",INDEX('근조 화환'!$D$2:$D$501,MATCH(157,'근조 화환'!$G$2:$G$501,0))&amp;"")</f>
        <v/>
      </c>
      <c r="K160" s="16">
        <f>IF(157&gt;$I$1,"",INDEX('근조 화환'!$E$2:$E$501,MATCH(157,'근조 화환'!$G$2:$G$501,0))&amp;"")</f>
        <v/>
      </c>
    </row>
    <row r="161">
      <c r="A161" s="16">
        <f>IF(158&lt;=$F$1,158,"")</f>
        <v/>
      </c>
      <c r="B161" s="16">
        <f>IF($A161="","",INDEX('부의금 입력'!$B$2:$B$1001,MATCH($A161,'부의금 입력'!$H$2:$H$1001,0))&amp;"")</f>
        <v/>
      </c>
      <c r="C161" s="18">
        <f>IF($A161="","",INDEX('부의금 입력'!$C$2:$C$1001,MATCH($A161,'부의금 입력'!$H$2:$H$1001,0)))</f>
        <v/>
      </c>
      <c r="D161" s="16">
        <f>IF($A161="","",INDEX('부의금 입력'!$D$2:$D$1001,MATCH($A161,'부의금 입력'!$H$2:$H$1001,0))&amp;"")</f>
        <v/>
      </c>
      <c r="E161" s="16">
        <f>IF($A161="","",INDEX('부의금 입력'!$E$2:$E$1001,MATCH($A161,'부의금 입력'!$H$2:$H$1001,0))&amp;"")</f>
        <v/>
      </c>
      <c r="H161" s="16">
        <f>IF(158&gt;$I$1,"",INDEX('근조 화환'!$B$2:$B$501,MATCH(158,'근조 화환'!$G$2:$G$501,0))&amp;"")</f>
        <v/>
      </c>
      <c r="I161" s="16">
        <f>IF(158&gt;$I$1,"",INDEX('근조 화환'!$C$2:$C$501,MATCH(158,'근조 화환'!$G$2:$G$501,0))&amp;"")</f>
        <v/>
      </c>
      <c r="J161" s="16">
        <f>IF(158&gt;$I$1,"",INDEX('근조 화환'!$D$2:$D$501,MATCH(158,'근조 화환'!$G$2:$G$501,0))&amp;"")</f>
        <v/>
      </c>
      <c r="K161" s="16">
        <f>IF(158&gt;$I$1,"",INDEX('근조 화환'!$E$2:$E$501,MATCH(158,'근조 화환'!$G$2:$G$501,0))&amp;"")</f>
        <v/>
      </c>
    </row>
    <row r="162">
      <c r="A162" s="16">
        <f>IF(159&lt;=$F$1,159,"")</f>
        <v/>
      </c>
      <c r="B162" s="16">
        <f>IF($A162="","",INDEX('부의금 입력'!$B$2:$B$1001,MATCH($A162,'부의금 입력'!$H$2:$H$1001,0))&amp;"")</f>
        <v/>
      </c>
      <c r="C162" s="18">
        <f>IF($A162="","",INDEX('부의금 입력'!$C$2:$C$1001,MATCH($A162,'부의금 입력'!$H$2:$H$1001,0)))</f>
        <v/>
      </c>
      <c r="D162" s="16">
        <f>IF($A162="","",INDEX('부의금 입력'!$D$2:$D$1001,MATCH($A162,'부의금 입력'!$H$2:$H$1001,0))&amp;"")</f>
        <v/>
      </c>
      <c r="E162" s="16">
        <f>IF($A162="","",INDEX('부의금 입력'!$E$2:$E$1001,MATCH($A162,'부의금 입력'!$H$2:$H$1001,0))&amp;"")</f>
        <v/>
      </c>
      <c r="H162" s="16">
        <f>IF(159&gt;$I$1,"",INDEX('근조 화환'!$B$2:$B$501,MATCH(159,'근조 화환'!$G$2:$G$501,0))&amp;"")</f>
        <v/>
      </c>
      <c r="I162" s="16">
        <f>IF(159&gt;$I$1,"",INDEX('근조 화환'!$C$2:$C$501,MATCH(159,'근조 화환'!$G$2:$G$501,0))&amp;"")</f>
        <v/>
      </c>
      <c r="J162" s="16">
        <f>IF(159&gt;$I$1,"",INDEX('근조 화환'!$D$2:$D$501,MATCH(159,'근조 화환'!$G$2:$G$501,0))&amp;"")</f>
        <v/>
      </c>
      <c r="K162" s="16">
        <f>IF(159&gt;$I$1,"",INDEX('근조 화환'!$E$2:$E$501,MATCH(159,'근조 화환'!$G$2:$G$501,0))&amp;"")</f>
        <v/>
      </c>
    </row>
    <row r="163">
      <c r="A163" s="16">
        <f>IF(160&lt;=$F$1,160,"")</f>
        <v/>
      </c>
      <c r="B163" s="16">
        <f>IF($A163="","",INDEX('부의금 입력'!$B$2:$B$1001,MATCH($A163,'부의금 입력'!$H$2:$H$1001,0))&amp;"")</f>
        <v/>
      </c>
      <c r="C163" s="18">
        <f>IF($A163="","",INDEX('부의금 입력'!$C$2:$C$1001,MATCH($A163,'부의금 입력'!$H$2:$H$1001,0)))</f>
        <v/>
      </c>
      <c r="D163" s="16">
        <f>IF($A163="","",INDEX('부의금 입력'!$D$2:$D$1001,MATCH($A163,'부의금 입력'!$H$2:$H$1001,0))&amp;"")</f>
        <v/>
      </c>
      <c r="E163" s="16">
        <f>IF($A163="","",INDEX('부의금 입력'!$E$2:$E$1001,MATCH($A163,'부의금 입력'!$H$2:$H$1001,0))&amp;"")</f>
        <v/>
      </c>
      <c r="H163" s="16">
        <f>IF(160&gt;$I$1,"",INDEX('근조 화환'!$B$2:$B$501,MATCH(160,'근조 화환'!$G$2:$G$501,0))&amp;"")</f>
        <v/>
      </c>
      <c r="I163" s="16">
        <f>IF(160&gt;$I$1,"",INDEX('근조 화환'!$C$2:$C$501,MATCH(160,'근조 화환'!$G$2:$G$501,0))&amp;"")</f>
        <v/>
      </c>
      <c r="J163" s="16">
        <f>IF(160&gt;$I$1,"",INDEX('근조 화환'!$D$2:$D$501,MATCH(160,'근조 화환'!$G$2:$G$501,0))&amp;"")</f>
        <v/>
      </c>
      <c r="K163" s="16">
        <f>IF(160&gt;$I$1,"",INDEX('근조 화환'!$E$2:$E$501,MATCH(160,'근조 화환'!$G$2:$G$501,0))&amp;"")</f>
        <v/>
      </c>
    </row>
    <row r="164">
      <c r="A164" s="16">
        <f>IF(161&lt;=$F$1,161,"")</f>
        <v/>
      </c>
      <c r="B164" s="16">
        <f>IF($A164="","",INDEX('부의금 입력'!$B$2:$B$1001,MATCH($A164,'부의금 입력'!$H$2:$H$1001,0))&amp;"")</f>
        <v/>
      </c>
      <c r="C164" s="18">
        <f>IF($A164="","",INDEX('부의금 입력'!$C$2:$C$1001,MATCH($A164,'부의금 입력'!$H$2:$H$1001,0)))</f>
        <v/>
      </c>
      <c r="D164" s="16">
        <f>IF($A164="","",INDEX('부의금 입력'!$D$2:$D$1001,MATCH($A164,'부의금 입력'!$H$2:$H$1001,0))&amp;"")</f>
        <v/>
      </c>
      <c r="E164" s="16">
        <f>IF($A164="","",INDEX('부의금 입력'!$E$2:$E$1001,MATCH($A164,'부의금 입력'!$H$2:$H$1001,0))&amp;"")</f>
        <v/>
      </c>
      <c r="H164" s="16">
        <f>IF(161&gt;$I$1,"",INDEX('근조 화환'!$B$2:$B$501,MATCH(161,'근조 화환'!$G$2:$G$501,0))&amp;"")</f>
        <v/>
      </c>
      <c r="I164" s="16">
        <f>IF(161&gt;$I$1,"",INDEX('근조 화환'!$C$2:$C$501,MATCH(161,'근조 화환'!$G$2:$G$501,0))&amp;"")</f>
        <v/>
      </c>
      <c r="J164" s="16">
        <f>IF(161&gt;$I$1,"",INDEX('근조 화환'!$D$2:$D$501,MATCH(161,'근조 화환'!$G$2:$G$501,0))&amp;"")</f>
        <v/>
      </c>
      <c r="K164" s="16">
        <f>IF(161&gt;$I$1,"",INDEX('근조 화환'!$E$2:$E$501,MATCH(161,'근조 화환'!$G$2:$G$501,0))&amp;"")</f>
        <v/>
      </c>
    </row>
    <row r="165">
      <c r="A165" s="16">
        <f>IF(162&lt;=$F$1,162,"")</f>
        <v/>
      </c>
      <c r="B165" s="16">
        <f>IF($A165="","",INDEX('부의금 입력'!$B$2:$B$1001,MATCH($A165,'부의금 입력'!$H$2:$H$1001,0))&amp;"")</f>
        <v/>
      </c>
      <c r="C165" s="18">
        <f>IF($A165="","",INDEX('부의금 입력'!$C$2:$C$1001,MATCH($A165,'부의금 입력'!$H$2:$H$1001,0)))</f>
        <v/>
      </c>
      <c r="D165" s="16">
        <f>IF($A165="","",INDEX('부의금 입력'!$D$2:$D$1001,MATCH($A165,'부의금 입력'!$H$2:$H$1001,0))&amp;"")</f>
        <v/>
      </c>
      <c r="E165" s="16">
        <f>IF($A165="","",INDEX('부의금 입력'!$E$2:$E$1001,MATCH($A165,'부의금 입력'!$H$2:$H$1001,0))&amp;"")</f>
        <v/>
      </c>
      <c r="H165" s="16">
        <f>IF(162&gt;$I$1,"",INDEX('근조 화환'!$B$2:$B$501,MATCH(162,'근조 화환'!$G$2:$G$501,0))&amp;"")</f>
        <v/>
      </c>
      <c r="I165" s="16">
        <f>IF(162&gt;$I$1,"",INDEX('근조 화환'!$C$2:$C$501,MATCH(162,'근조 화환'!$G$2:$G$501,0))&amp;"")</f>
        <v/>
      </c>
      <c r="J165" s="16">
        <f>IF(162&gt;$I$1,"",INDEX('근조 화환'!$D$2:$D$501,MATCH(162,'근조 화환'!$G$2:$G$501,0))&amp;"")</f>
        <v/>
      </c>
      <c r="K165" s="16">
        <f>IF(162&gt;$I$1,"",INDEX('근조 화환'!$E$2:$E$501,MATCH(162,'근조 화환'!$G$2:$G$501,0))&amp;"")</f>
        <v/>
      </c>
    </row>
    <row r="166">
      <c r="A166" s="16">
        <f>IF(163&lt;=$F$1,163,"")</f>
        <v/>
      </c>
      <c r="B166" s="16">
        <f>IF($A166="","",INDEX('부의금 입력'!$B$2:$B$1001,MATCH($A166,'부의금 입력'!$H$2:$H$1001,0))&amp;"")</f>
        <v/>
      </c>
      <c r="C166" s="18">
        <f>IF($A166="","",INDEX('부의금 입력'!$C$2:$C$1001,MATCH($A166,'부의금 입력'!$H$2:$H$1001,0)))</f>
        <v/>
      </c>
      <c r="D166" s="16">
        <f>IF($A166="","",INDEX('부의금 입력'!$D$2:$D$1001,MATCH($A166,'부의금 입력'!$H$2:$H$1001,0))&amp;"")</f>
        <v/>
      </c>
      <c r="E166" s="16">
        <f>IF($A166="","",INDEX('부의금 입력'!$E$2:$E$1001,MATCH($A166,'부의금 입력'!$H$2:$H$1001,0))&amp;"")</f>
        <v/>
      </c>
      <c r="H166" s="16">
        <f>IF(163&gt;$I$1,"",INDEX('근조 화환'!$B$2:$B$501,MATCH(163,'근조 화환'!$G$2:$G$501,0))&amp;"")</f>
        <v/>
      </c>
      <c r="I166" s="16">
        <f>IF(163&gt;$I$1,"",INDEX('근조 화환'!$C$2:$C$501,MATCH(163,'근조 화환'!$G$2:$G$501,0))&amp;"")</f>
        <v/>
      </c>
      <c r="J166" s="16">
        <f>IF(163&gt;$I$1,"",INDEX('근조 화환'!$D$2:$D$501,MATCH(163,'근조 화환'!$G$2:$G$501,0))&amp;"")</f>
        <v/>
      </c>
      <c r="K166" s="16">
        <f>IF(163&gt;$I$1,"",INDEX('근조 화환'!$E$2:$E$501,MATCH(163,'근조 화환'!$G$2:$G$501,0))&amp;"")</f>
        <v/>
      </c>
    </row>
    <row r="167">
      <c r="A167" s="16">
        <f>IF(164&lt;=$F$1,164,"")</f>
        <v/>
      </c>
      <c r="B167" s="16">
        <f>IF($A167="","",INDEX('부의금 입력'!$B$2:$B$1001,MATCH($A167,'부의금 입력'!$H$2:$H$1001,0))&amp;"")</f>
        <v/>
      </c>
      <c r="C167" s="18">
        <f>IF($A167="","",INDEX('부의금 입력'!$C$2:$C$1001,MATCH($A167,'부의금 입력'!$H$2:$H$1001,0)))</f>
        <v/>
      </c>
      <c r="D167" s="16">
        <f>IF($A167="","",INDEX('부의금 입력'!$D$2:$D$1001,MATCH($A167,'부의금 입력'!$H$2:$H$1001,0))&amp;"")</f>
        <v/>
      </c>
      <c r="E167" s="16">
        <f>IF($A167="","",INDEX('부의금 입력'!$E$2:$E$1001,MATCH($A167,'부의금 입력'!$H$2:$H$1001,0))&amp;"")</f>
        <v/>
      </c>
      <c r="H167" s="16">
        <f>IF(164&gt;$I$1,"",INDEX('근조 화환'!$B$2:$B$501,MATCH(164,'근조 화환'!$G$2:$G$501,0))&amp;"")</f>
        <v/>
      </c>
      <c r="I167" s="16">
        <f>IF(164&gt;$I$1,"",INDEX('근조 화환'!$C$2:$C$501,MATCH(164,'근조 화환'!$G$2:$G$501,0))&amp;"")</f>
        <v/>
      </c>
      <c r="J167" s="16">
        <f>IF(164&gt;$I$1,"",INDEX('근조 화환'!$D$2:$D$501,MATCH(164,'근조 화환'!$G$2:$G$501,0))&amp;"")</f>
        <v/>
      </c>
      <c r="K167" s="16">
        <f>IF(164&gt;$I$1,"",INDEX('근조 화환'!$E$2:$E$501,MATCH(164,'근조 화환'!$G$2:$G$501,0))&amp;"")</f>
        <v/>
      </c>
    </row>
    <row r="168">
      <c r="A168" s="16">
        <f>IF(165&lt;=$F$1,165,"")</f>
        <v/>
      </c>
      <c r="B168" s="16">
        <f>IF($A168="","",INDEX('부의금 입력'!$B$2:$B$1001,MATCH($A168,'부의금 입력'!$H$2:$H$1001,0))&amp;"")</f>
        <v/>
      </c>
      <c r="C168" s="18">
        <f>IF($A168="","",INDEX('부의금 입력'!$C$2:$C$1001,MATCH($A168,'부의금 입력'!$H$2:$H$1001,0)))</f>
        <v/>
      </c>
      <c r="D168" s="16">
        <f>IF($A168="","",INDEX('부의금 입력'!$D$2:$D$1001,MATCH($A168,'부의금 입력'!$H$2:$H$1001,0))&amp;"")</f>
        <v/>
      </c>
      <c r="E168" s="16">
        <f>IF($A168="","",INDEX('부의금 입력'!$E$2:$E$1001,MATCH($A168,'부의금 입력'!$H$2:$H$1001,0))&amp;"")</f>
        <v/>
      </c>
      <c r="H168" s="16">
        <f>IF(165&gt;$I$1,"",INDEX('근조 화환'!$B$2:$B$501,MATCH(165,'근조 화환'!$G$2:$G$501,0))&amp;"")</f>
        <v/>
      </c>
      <c r="I168" s="16">
        <f>IF(165&gt;$I$1,"",INDEX('근조 화환'!$C$2:$C$501,MATCH(165,'근조 화환'!$G$2:$G$501,0))&amp;"")</f>
        <v/>
      </c>
      <c r="J168" s="16">
        <f>IF(165&gt;$I$1,"",INDEX('근조 화환'!$D$2:$D$501,MATCH(165,'근조 화환'!$G$2:$G$501,0))&amp;"")</f>
        <v/>
      </c>
      <c r="K168" s="16">
        <f>IF(165&gt;$I$1,"",INDEX('근조 화환'!$E$2:$E$501,MATCH(165,'근조 화환'!$G$2:$G$501,0))&amp;"")</f>
        <v/>
      </c>
    </row>
    <row r="169">
      <c r="A169" s="16">
        <f>IF(166&lt;=$F$1,166,"")</f>
        <v/>
      </c>
      <c r="B169" s="16">
        <f>IF($A169="","",INDEX('부의금 입력'!$B$2:$B$1001,MATCH($A169,'부의금 입력'!$H$2:$H$1001,0))&amp;"")</f>
        <v/>
      </c>
      <c r="C169" s="18">
        <f>IF($A169="","",INDEX('부의금 입력'!$C$2:$C$1001,MATCH($A169,'부의금 입력'!$H$2:$H$1001,0)))</f>
        <v/>
      </c>
      <c r="D169" s="16">
        <f>IF($A169="","",INDEX('부의금 입력'!$D$2:$D$1001,MATCH($A169,'부의금 입력'!$H$2:$H$1001,0))&amp;"")</f>
        <v/>
      </c>
      <c r="E169" s="16">
        <f>IF($A169="","",INDEX('부의금 입력'!$E$2:$E$1001,MATCH($A169,'부의금 입력'!$H$2:$H$1001,0))&amp;"")</f>
        <v/>
      </c>
      <c r="H169" s="16">
        <f>IF(166&gt;$I$1,"",INDEX('근조 화환'!$B$2:$B$501,MATCH(166,'근조 화환'!$G$2:$G$501,0))&amp;"")</f>
        <v/>
      </c>
      <c r="I169" s="16">
        <f>IF(166&gt;$I$1,"",INDEX('근조 화환'!$C$2:$C$501,MATCH(166,'근조 화환'!$G$2:$G$501,0))&amp;"")</f>
        <v/>
      </c>
      <c r="J169" s="16">
        <f>IF(166&gt;$I$1,"",INDEX('근조 화환'!$D$2:$D$501,MATCH(166,'근조 화환'!$G$2:$G$501,0))&amp;"")</f>
        <v/>
      </c>
      <c r="K169" s="16">
        <f>IF(166&gt;$I$1,"",INDEX('근조 화환'!$E$2:$E$501,MATCH(166,'근조 화환'!$G$2:$G$501,0))&amp;"")</f>
        <v/>
      </c>
    </row>
    <row r="170">
      <c r="A170" s="16">
        <f>IF(167&lt;=$F$1,167,"")</f>
        <v/>
      </c>
      <c r="B170" s="16">
        <f>IF($A170="","",INDEX('부의금 입력'!$B$2:$B$1001,MATCH($A170,'부의금 입력'!$H$2:$H$1001,0))&amp;"")</f>
        <v/>
      </c>
      <c r="C170" s="18">
        <f>IF($A170="","",INDEX('부의금 입력'!$C$2:$C$1001,MATCH($A170,'부의금 입력'!$H$2:$H$1001,0)))</f>
        <v/>
      </c>
      <c r="D170" s="16">
        <f>IF($A170="","",INDEX('부의금 입력'!$D$2:$D$1001,MATCH($A170,'부의금 입력'!$H$2:$H$1001,0))&amp;"")</f>
        <v/>
      </c>
      <c r="E170" s="16">
        <f>IF($A170="","",INDEX('부의금 입력'!$E$2:$E$1001,MATCH($A170,'부의금 입력'!$H$2:$H$1001,0))&amp;"")</f>
        <v/>
      </c>
      <c r="H170" s="16">
        <f>IF(167&gt;$I$1,"",INDEX('근조 화환'!$B$2:$B$501,MATCH(167,'근조 화환'!$G$2:$G$501,0))&amp;"")</f>
        <v/>
      </c>
      <c r="I170" s="16">
        <f>IF(167&gt;$I$1,"",INDEX('근조 화환'!$C$2:$C$501,MATCH(167,'근조 화환'!$G$2:$G$501,0))&amp;"")</f>
        <v/>
      </c>
      <c r="J170" s="16">
        <f>IF(167&gt;$I$1,"",INDEX('근조 화환'!$D$2:$D$501,MATCH(167,'근조 화환'!$G$2:$G$501,0))&amp;"")</f>
        <v/>
      </c>
      <c r="K170" s="16">
        <f>IF(167&gt;$I$1,"",INDEX('근조 화환'!$E$2:$E$501,MATCH(167,'근조 화환'!$G$2:$G$501,0))&amp;"")</f>
        <v/>
      </c>
    </row>
    <row r="171">
      <c r="A171" s="16">
        <f>IF(168&lt;=$F$1,168,"")</f>
        <v/>
      </c>
      <c r="B171" s="16">
        <f>IF($A171="","",INDEX('부의금 입력'!$B$2:$B$1001,MATCH($A171,'부의금 입력'!$H$2:$H$1001,0))&amp;"")</f>
        <v/>
      </c>
      <c r="C171" s="18">
        <f>IF($A171="","",INDEX('부의금 입력'!$C$2:$C$1001,MATCH($A171,'부의금 입력'!$H$2:$H$1001,0)))</f>
        <v/>
      </c>
      <c r="D171" s="16">
        <f>IF($A171="","",INDEX('부의금 입력'!$D$2:$D$1001,MATCH($A171,'부의금 입력'!$H$2:$H$1001,0))&amp;"")</f>
        <v/>
      </c>
      <c r="E171" s="16">
        <f>IF($A171="","",INDEX('부의금 입력'!$E$2:$E$1001,MATCH($A171,'부의금 입력'!$H$2:$H$1001,0))&amp;"")</f>
        <v/>
      </c>
      <c r="H171" s="16">
        <f>IF(168&gt;$I$1,"",INDEX('근조 화환'!$B$2:$B$501,MATCH(168,'근조 화환'!$G$2:$G$501,0))&amp;"")</f>
        <v/>
      </c>
      <c r="I171" s="16">
        <f>IF(168&gt;$I$1,"",INDEX('근조 화환'!$C$2:$C$501,MATCH(168,'근조 화환'!$G$2:$G$501,0))&amp;"")</f>
        <v/>
      </c>
      <c r="J171" s="16">
        <f>IF(168&gt;$I$1,"",INDEX('근조 화환'!$D$2:$D$501,MATCH(168,'근조 화환'!$G$2:$G$501,0))&amp;"")</f>
        <v/>
      </c>
      <c r="K171" s="16">
        <f>IF(168&gt;$I$1,"",INDEX('근조 화환'!$E$2:$E$501,MATCH(168,'근조 화환'!$G$2:$G$501,0))&amp;"")</f>
        <v/>
      </c>
    </row>
    <row r="172">
      <c r="A172" s="16">
        <f>IF(169&lt;=$F$1,169,"")</f>
        <v/>
      </c>
      <c r="B172" s="16">
        <f>IF($A172="","",INDEX('부의금 입력'!$B$2:$B$1001,MATCH($A172,'부의금 입력'!$H$2:$H$1001,0))&amp;"")</f>
        <v/>
      </c>
      <c r="C172" s="18">
        <f>IF($A172="","",INDEX('부의금 입력'!$C$2:$C$1001,MATCH($A172,'부의금 입력'!$H$2:$H$1001,0)))</f>
        <v/>
      </c>
      <c r="D172" s="16">
        <f>IF($A172="","",INDEX('부의금 입력'!$D$2:$D$1001,MATCH($A172,'부의금 입력'!$H$2:$H$1001,0))&amp;"")</f>
        <v/>
      </c>
      <c r="E172" s="16">
        <f>IF($A172="","",INDEX('부의금 입력'!$E$2:$E$1001,MATCH($A172,'부의금 입력'!$H$2:$H$1001,0))&amp;"")</f>
        <v/>
      </c>
      <c r="H172" s="16">
        <f>IF(169&gt;$I$1,"",INDEX('근조 화환'!$B$2:$B$501,MATCH(169,'근조 화환'!$G$2:$G$501,0))&amp;"")</f>
        <v/>
      </c>
      <c r="I172" s="16">
        <f>IF(169&gt;$I$1,"",INDEX('근조 화환'!$C$2:$C$501,MATCH(169,'근조 화환'!$G$2:$G$501,0))&amp;"")</f>
        <v/>
      </c>
      <c r="J172" s="16">
        <f>IF(169&gt;$I$1,"",INDEX('근조 화환'!$D$2:$D$501,MATCH(169,'근조 화환'!$G$2:$G$501,0))&amp;"")</f>
        <v/>
      </c>
      <c r="K172" s="16">
        <f>IF(169&gt;$I$1,"",INDEX('근조 화환'!$E$2:$E$501,MATCH(169,'근조 화환'!$G$2:$G$501,0))&amp;"")</f>
        <v/>
      </c>
    </row>
    <row r="173">
      <c r="A173" s="16">
        <f>IF(170&lt;=$F$1,170,"")</f>
        <v/>
      </c>
      <c r="B173" s="16">
        <f>IF($A173="","",INDEX('부의금 입력'!$B$2:$B$1001,MATCH($A173,'부의금 입력'!$H$2:$H$1001,0))&amp;"")</f>
        <v/>
      </c>
      <c r="C173" s="18">
        <f>IF($A173="","",INDEX('부의금 입력'!$C$2:$C$1001,MATCH($A173,'부의금 입력'!$H$2:$H$1001,0)))</f>
        <v/>
      </c>
      <c r="D173" s="16">
        <f>IF($A173="","",INDEX('부의금 입력'!$D$2:$D$1001,MATCH($A173,'부의금 입력'!$H$2:$H$1001,0))&amp;"")</f>
        <v/>
      </c>
      <c r="E173" s="16">
        <f>IF($A173="","",INDEX('부의금 입력'!$E$2:$E$1001,MATCH($A173,'부의금 입력'!$H$2:$H$1001,0))&amp;"")</f>
        <v/>
      </c>
      <c r="H173" s="16">
        <f>IF(170&gt;$I$1,"",INDEX('근조 화환'!$B$2:$B$501,MATCH(170,'근조 화환'!$G$2:$G$501,0))&amp;"")</f>
        <v/>
      </c>
      <c r="I173" s="16">
        <f>IF(170&gt;$I$1,"",INDEX('근조 화환'!$C$2:$C$501,MATCH(170,'근조 화환'!$G$2:$G$501,0))&amp;"")</f>
        <v/>
      </c>
      <c r="J173" s="16">
        <f>IF(170&gt;$I$1,"",INDEX('근조 화환'!$D$2:$D$501,MATCH(170,'근조 화환'!$G$2:$G$501,0))&amp;"")</f>
        <v/>
      </c>
      <c r="K173" s="16">
        <f>IF(170&gt;$I$1,"",INDEX('근조 화환'!$E$2:$E$501,MATCH(170,'근조 화환'!$G$2:$G$501,0))&amp;"")</f>
        <v/>
      </c>
    </row>
    <row r="174">
      <c r="A174" s="16">
        <f>IF(171&lt;=$F$1,171,"")</f>
        <v/>
      </c>
      <c r="B174" s="16">
        <f>IF($A174="","",INDEX('부의금 입력'!$B$2:$B$1001,MATCH($A174,'부의금 입력'!$H$2:$H$1001,0))&amp;"")</f>
        <v/>
      </c>
      <c r="C174" s="18">
        <f>IF($A174="","",INDEX('부의금 입력'!$C$2:$C$1001,MATCH($A174,'부의금 입력'!$H$2:$H$1001,0)))</f>
        <v/>
      </c>
      <c r="D174" s="16">
        <f>IF($A174="","",INDEX('부의금 입력'!$D$2:$D$1001,MATCH($A174,'부의금 입력'!$H$2:$H$1001,0))&amp;"")</f>
        <v/>
      </c>
      <c r="E174" s="16">
        <f>IF($A174="","",INDEX('부의금 입력'!$E$2:$E$1001,MATCH($A174,'부의금 입력'!$H$2:$H$1001,0))&amp;"")</f>
        <v/>
      </c>
      <c r="H174" s="16">
        <f>IF(171&gt;$I$1,"",INDEX('근조 화환'!$B$2:$B$501,MATCH(171,'근조 화환'!$G$2:$G$501,0))&amp;"")</f>
        <v/>
      </c>
      <c r="I174" s="16">
        <f>IF(171&gt;$I$1,"",INDEX('근조 화환'!$C$2:$C$501,MATCH(171,'근조 화환'!$G$2:$G$501,0))&amp;"")</f>
        <v/>
      </c>
      <c r="J174" s="16">
        <f>IF(171&gt;$I$1,"",INDEX('근조 화환'!$D$2:$D$501,MATCH(171,'근조 화환'!$G$2:$G$501,0))&amp;"")</f>
        <v/>
      </c>
      <c r="K174" s="16">
        <f>IF(171&gt;$I$1,"",INDEX('근조 화환'!$E$2:$E$501,MATCH(171,'근조 화환'!$G$2:$G$501,0))&amp;"")</f>
        <v/>
      </c>
    </row>
    <row r="175">
      <c r="A175" s="16">
        <f>IF(172&lt;=$F$1,172,"")</f>
        <v/>
      </c>
      <c r="B175" s="16">
        <f>IF($A175="","",INDEX('부의금 입력'!$B$2:$B$1001,MATCH($A175,'부의금 입력'!$H$2:$H$1001,0))&amp;"")</f>
        <v/>
      </c>
      <c r="C175" s="18">
        <f>IF($A175="","",INDEX('부의금 입력'!$C$2:$C$1001,MATCH($A175,'부의금 입력'!$H$2:$H$1001,0)))</f>
        <v/>
      </c>
      <c r="D175" s="16">
        <f>IF($A175="","",INDEX('부의금 입력'!$D$2:$D$1001,MATCH($A175,'부의금 입력'!$H$2:$H$1001,0))&amp;"")</f>
        <v/>
      </c>
      <c r="E175" s="16">
        <f>IF($A175="","",INDEX('부의금 입력'!$E$2:$E$1001,MATCH($A175,'부의금 입력'!$H$2:$H$1001,0))&amp;"")</f>
        <v/>
      </c>
      <c r="H175" s="16">
        <f>IF(172&gt;$I$1,"",INDEX('근조 화환'!$B$2:$B$501,MATCH(172,'근조 화환'!$G$2:$G$501,0))&amp;"")</f>
        <v/>
      </c>
      <c r="I175" s="16">
        <f>IF(172&gt;$I$1,"",INDEX('근조 화환'!$C$2:$C$501,MATCH(172,'근조 화환'!$G$2:$G$501,0))&amp;"")</f>
        <v/>
      </c>
      <c r="J175" s="16">
        <f>IF(172&gt;$I$1,"",INDEX('근조 화환'!$D$2:$D$501,MATCH(172,'근조 화환'!$G$2:$G$501,0))&amp;"")</f>
        <v/>
      </c>
      <c r="K175" s="16">
        <f>IF(172&gt;$I$1,"",INDEX('근조 화환'!$E$2:$E$501,MATCH(172,'근조 화환'!$G$2:$G$501,0))&amp;"")</f>
        <v/>
      </c>
    </row>
    <row r="176">
      <c r="A176" s="16">
        <f>IF(173&lt;=$F$1,173,"")</f>
        <v/>
      </c>
      <c r="B176" s="16">
        <f>IF($A176="","",INDEX('부의금 입력'!$B$2:$B$1001,MATCH($A176,'부의금 입력'!$H$2:$H$1001,0))&amp;"")</f>
        <v/>
      </c>
      <c r="C176" s="18">
        <f>IF($A176="","",INDEX('부의금 입력'!$C$2:$C$1001,MATCH($A176,'부의금 입력'!$H$2:$H$1001,0)))</f>
        <v/>
      </c>
      <c r="D176" s="16">
        <f>IF($A176="","",INDEX('부의금 입력'!$D$2:$D$1001,MATCH($A176,'부의금 입력'!$H$2:$H$1001,0))&amp;"")</f>
        <v/>
      </c>
      <c r="E176" s="16">
        <f>IF($A176="","",INDEX('부의금 입력'!$E$2:$E$1001,MATCH($A176,'부의금 입력'!$H$2:$H$1001,0))&amp;"")</f>
        <v/>
      </c>
      <c r="H176" s="16">
        <f>IF(173&gt;$I$1,"",INDEX('근조 화환'!$B$2:$B$501,MATCH(173,'근조 화환'!$G$2:$G$501,0))&amp;"")</f>
        <v/>
      </c>
      <c r="I176" s="16">
        <f>IF(173&gt;$I$1,"",INDEX('근조 화환'!$C$2:$C$501,MATCH(173,'근조 화환'!$G$2:$G$501,0))&amp;"")</f>
        <v/>
      </c>
      <c r="J176" s="16">
        <f>IF(173&gt;$I$1,"",INDEX('근조 화환'!$D$2:$D$501,MATCH(173,'근조 화환'!$G$2:$G$501,0))&amp;"")</f>
        <v/>
      </c>
      <c r="K176" s="16">
        <f>IF(173&gt;$I$1,"",INDEX('근조 화환'!$E$2:$E$501,MATCH(173,'근조 화환'!$G$2:$G$501,0))&amp;"")</f>
        <v/>
      </c>
    </row>
    <row r="177">
      <c r="A177" s="16">
        <f>IF(174&lt;=$F$1,174,"")</f>
        <v/>
      </c>
      <c r="B177" s="16">
        <f>IF($A177="","",INDEX('부의금 입력'!$B$2:$B$1001,MATCH($A177,'부의금 입력'!$H$2:$H$1001,0))&amp;"")</f>
        <v/>
      </c>
      <c r="C177" s="18">
        <f>IF($A177="","",INDEX('부의금 입력'!$C$2:$C$1001,MATCH($A177,'부의금 입력'!$H$2:$H$1001,0)))</f>
        <v/>
      </c>
      <c r="D177" s="16">
        <f>IF($A177="","",INDEX('부의금 입력'!$D$2:$D$1001,MATCH($A177,'부의금 입력'!$H$2:$H$1001,0))&amp;"")</f>
        <v/>
      </c>
      <c r="E177" s="16">
        <f>IF($A177="","",INDEX('부의금 입력'!$E$2:$E$1001,MATCH($A177,'부의금 입력'!$H$2:$H$1001,0))&amp;"")</f>
        <v/>
      </c>
      <c r="H177" s="16">
        <f>IF(174&gt;$I$1,"",INDEX('근조 화환'!$B$2:$B$501,MATCH(174,'근조 화환'!$G$2:$G$501,0))&amp;"")</f>
        <v/>
      </c>
      <c r="I177" s="16">
        <f>IF(174&gt;$I$1,"",INDEX('근조 화환'!$C$2:$C$501,MATCH(174,'근조 화환'!$G$2:$G$501,0))&amp;"")</f>
        <v/>
      </c>
      <c r="J177" s="16">
        <f>IF(174&gt;$I$1,"",INDEX('근조 화환'!$D$2:$D$501,MATCH(174,'근조 화환'!$G$2:$G$501,0))&amp;"")</f>
        <v/>
      </c>
      <c r="K177" s="16">
        <f>IF(174&gt;$I$1,"",INDEX('근조 화환'!$E$2:$E$501,MATCH(174,'근조 화환'!$G$2:$G$501,0))&amp;"")</f>
        <v/>
      </c>
    </row>
    <row r="178">
      <c r="A178" s="16">
        <f>IF(175&lt;=$F$1,175,"")</f>
        <v/>
      </c>
      <c r="B178" s="16">
        <f>IF($A178="","",INDEX('부의금 입력'!$B$2:$B$1001,MATCH($A178,'부의금 입력'!$H$2:$H$1001,0))&amp;"")</f>
        <v/>
      </c>
      <c r="C178" s="18">
        <f>IF($A178="","",INDEX('부의금 입력'!$C$2:$C$1001,MATCH($A178,'부의금 입력'!$H$2:$H$1001,0)))</f>
        <v/>
      </c>
      <c r="D178" s="16">
        <f>IF($A178="","",INDEX('부의금 입력'!$D$2:$D$1001,MATCH($A178,'부의금 입력'!$H$2:$H$1001,0))&amp;"")</f>
        <v/>
      </c>
      <c r="E178" s="16">
        <f>IF($A178="","",INDEX('부의금 입력'!$E$2:$E$1001,MATCH($A178,'부의금 입력'!$H$2:$H$1001,0))&amp;"")</f>
        <v/>
      </c>
      <c r="H178" s="16">
        <f>IF(175&gt;$I$1,"",INDEX('근조 화환'!$B$2:$B$501,MATCH(175,'근조 화환'!$G$2:$G$501,0))&amp;"")</f>
        <v/>
      </c>
      <c r="I178" s="16">
        <f>IF(175&gt;$I$1,"",INDEX('근조 화환'!$C$2:$C$501,MATCH(175,'근조 화환'!$G$2:$G$501,0))&amp;"")</f>
        <v/>
      </c>
      <c r="J178" s="16">
        <f>IF(175&gt;$I$1,"",INDEX('근조 화환'!$D$2:$D$501,MATCH(175,'근조 화환'!$G$2:$G$501,0))&amp;"")</f>
        <v/>
      </c>
      <c r="K178" s="16">
        <f>IF(175&gt;$I$1,"",INDEX('근조 화환'!$E$2:$E$501,MATCH(175,'근조 화환'!$G$2:$G$501,0))&amp;"")</f>
        <v/>
      </c>
    </row>
    <row r="179">
      <c r="A179" s="16">
        <f>IF(176&lt;=$F$1,176,"")</f>
        <v/>
      </c>
      <c r="B179" s="16">
        <f>IF($A179="","",INDEX('부의금 입력'!$B$2:$B$1001,MATCH($A179,'부의금 입력'!$H$2:$H$1001,0))&amp;"")</f>
        <v/>
      </c>
      <c r="C179" s="18">
        <f>IF($A179="","",INDEX('부의금 입력'!$C$2:$C$1001,MATCH($A179,'부의금 입력'!$H$2:$H$1001,0)))</f>
        <v/>
      </c>
      <c r="D179" s="16">
        <f>IF($A179="","",INDEX('부의금 입력'!$D$2:$D$1001,MATCH($A179,'부의금 입력'!$H$2:$H$1001,0))&amp;"")</f>
        <v/>
      </c>
      <c r="E179" s="16">
        <f>IF($A179="","",INDEX('부의금 입력'!$E$2:$E$1001,MATCH($A179,'부의금 입력'!$H$2:$H$1001,0))&amp;"")</f>
        <v/>
      </c>
      <c r="H179" s="16">
        <f>IF(176&gt;$I$1,"",INDEX('근조 화환'!$B$2:$B$501,MATCH(176,'근조 화환'!$G$2:$G$501,0))&amp;"")</f>
        <v/>
      </c>
      <c r="I179" s="16">
        <f>IF(176&gt;$I$1,"",INDEX('근조 화환'!$C$2:$C$501,MATCH(176,'근조 화환'!$G$2:$G$501,0))&amp;"")</f>
        <v/>
      </c>
      <c r="J179" s="16">
        <f>IF(176&gt;$I$1,"",INDEX('근조 화환'!$D$2:$D$501,MATCH(176,'근조 화환'!$G$2:$G$501,0))&amp;"")</f>
        <v/>
      </c>
      <c r="K179" s="16">
        <f>IF(176&gt;$I$1,"",INDEX('근조 화환'!$E$2:$E$501,MATCH(176,'근조 화환'!$G$2:$G$501,0))&amp;"")</f>
        <v/>
      </c>
    </row>
    <row r="180">
      <c r="A180" s="16">
        <f>IF(177&lt;=$F$1,177,"")</f>
        <v/>
      </c>
      <c r="B180" s="16">
        <f>IF($A180="","",INDEX('부의금 입력'!$B$2:$B$1001,MATCH($A180,'부의금 입력'!$H$2:$H$1001,0))&amp;"")</f>
        <v/>
      </c>
      <c r="C180" s="18">
        <f>IF($A180="","",INDEX('부의금 입력'!$C$2:$C$1001,MATCH($A180,'부의금 입력'!$H$2:$H$1001,0)))</f>
        <v/>
      </c>
      <c r="D180" s="16">
        <f>IF($A180="","",INDEX('부의금 입력'!$D$2:$D$1001,MATCH($A180,'부의금 입력'!$H$2:$H$1001,0))&amp;"")</f>
        <v/>
      </c>
      <c r="E180" s="16">
        <f>IF($A180="","",INDEX('부의금 입력'!$E$2:$E$1001,MATCH($A180,'부의금 입력'!$H$2:$H$1001,0))&amp;"")</f>
        <v/>
      </c>
      <c r="H180" s="16">
        <f>IF(177&gt;$I$1,"",INDEX('근조 화환'!$B$2:$B$501,MATCH(177,'근조 화환'!$G$2:$G$501,0))&amp;"")</f>
        <v/>
      </c>
      <c r="I180" s="16">
        <f>IF(177&gt;$I$1,"",INDEX('근조 화환'!$C$2:$C$501,MATCH(177,'근조 화환'!$G$2:$G$501,0))&amp;"")</f>
        <v/>
      </c>
      <c r="J180" s="16">
        <f>IF(177&gt;$I$1,"",INDEX('근조 화환'!$D$2:$D$501,MATCH(177,'근조 화환'!$G$2:$G$501,0))&amp;"")</f>
        <v/>
      </c>
      <c r="K180" s="16">
        <f>IF(177&gt;$I$1,"",INDEX('근조 화환'!$E$2:$E$501,MATCH(177,'근조 화환'!$G$2:$G$501,0))&amp;"")</f>
        <v/>
      </c>
    </row>
    <row r="181">
      <c r="A181" s="16">
        <f>IF(178&lt;=$F$1,178,"")</f>
        <v/>
      </c>
      <c r="B181" s="16">
        <f>IF($A181="","",INDEX('부의금 입력'!$B$2:$B$1001,MATCH($A181,'부의금 입력'!$H$2:$H$1001,0))&amp;"")</f>
        <v/>
      </c>
      <c r="C181" s="18">
        <f>IF($A181="","",INDEX('부의금 입력'!$C$2:$C$1001,MATCH($A181,'부의금 입력'!$H$2:$H$1001,0)))</f>
        <v/>
      </c>
      <c r="D181" s="16">
        <f>IF($A181="","",INDEX('부의금 입력'!$D$2:$D$1001,MATCH($A181,'부의금 입력'!$H$2:$H$1001,0))&amp;"")</f>
        <v/>
      </c>
      <c r="E181" s="16">
        <f>IF($A181="","",INDEX('부의금 입력'!$E$2:$E$1001,MATCH($A181,'부의금 입력'!$H$2:$H$1001,0))&amp;"")</f>
        <v/>
      </c>
      <c r="H181" s="16">
        <f>IF(178&gt;$I$1,"",INDEX('근조 화환'!$B$2:$B$501,MATCH(178,'근조 화환'!$G$2:$G$501,0))&amp;"")</f>
        <v/>
      </c>
      <c r="I181" s="16">
        <f>IF(178&gt;$I$1,"",INDEX('근조 화환'!$C$2:$C$501,MATCH(178,'근조 화환'!$G$2:$G$501,0))&amp;"")</f>
        <v/>
      </c>
      <c r="J181" s="16">
        <f>IF(178&gt;$I$1,"",INDEX('근조 화환'!$D$2:$D$501,MATCH(178,'근조 화환'!$G$2:$G$501,0))&amp;"")</f>
        <v/>
      </c>
      <c r="K181" s="16">
        <f>IF(178&gt;$I$1,"",INDEX('근조 화환'!$E$2:$E$501,MATCH(178,'근조 화환'!$G$2:$G$501,0))&amp;"")</f>
        <v/>
      </c>
    </row>
    <row r="182">
      <c r="A182" s="16">
        <f>IF(179&lt;=$F$1,179,"")</f>
        <v/>
      </c>
      <c r="B182" s="16">
        <f>IF($A182="","",INDEX('부의금 입력'!$B$2:$B$1001,MATCH($A182,'부의금 입력'!$H$2:$H$1001,0))&amp;"")</f>
        <v/>
      </c>
      <c r="C182" s="18">
        <f>IF($A182="","",INDEX('부의금 입력'!$C$2:$C$1001,MATCH($A182,'부의금 입력'!$H$2:$H$1001,0)))</f>
        <v/>
      </c>
      <c r="D182" s="16">
        <f>IF($A182="","",INDEX('부의금 입력'!$D$2:$D$1001,MATCH($A182,'부의금 입력'!$H$2:$H$1001,0))&amp;"")</f>
        <v/>
      </c>
      <c r="E182" s="16">
        <f>IF($A182="","",INDEX('부의금 입력'!$E$2:$E$1001,MATCH($A182,'부의금 입력'!$H$2:$H$1001,0))&amp;"")</f>
        <v/>
      </c>
      <c r="H182" s="16">
        <f>IF(179&gt;$I$1,"",INDEX('근조 화환'!$B$2:$B$501,MATCH(179,'근조 화환'!$G$2:$G$501,0))&amp;"")</f>
        <v/>
      </c>
      <c r="I182" s="16">
        <f>IF(179&gt;$I$1,"",INDEX('근조 화환'!$C$2:$C$501,MATCH(179,'근조 화환'!$G$2:$G$501,0))&amp;"")</f>
        <v/>
      </c>
      <c r="J182" s="16">
        <f>IF(179&gt;$I$1,"",INDEX('근조 화환'!$D$2:$D$501,MATCH(179,'근조 화환'!$G$2:$G$501,0))&amp;"")</f>
        <v/>
      </c>
      <c r="K182" s="16">
        <f>IF(179&gt;$I$1,"",INDEX('근조 화환'!$E$2:$E$501,MATCH(179,'근조 화환'!$G$2:$G$501,0))&amp;"")</f>
        <v/>
      </c>
    </row>
    <row r="183">
      <c r="A183" s="16">
        <f>IF(180&lt;=$F$1,180,"")</f>
        <v/>
      </c>
      <c r="B183" s="16">
        <f>IF($A183="","",INDEX('부의금 입력'!$B$2:$B$1001,MATCH($A183,'부의금 입력'!$H$2:$H$1001,0))&amp;"")</f>
        <v/>
      </c>
      <c r="C183" s="18">
        <f>IF($A183="","",INDEX('부의금 입력'!$C$2:$C$1001,MATCH($A183,'부의금 입력'!$H$2:$H$1001,0)))</f>
        <v/>
      </c>
      <c r="D183" s="16">
        <f>IF($A183="","",INDEX('부의금 입력'!$D$2:$D$1001,MATCH($A183,'부의금 입력'!$H$2:$H$1001,0))&amp;"")</f>
        <v/>
      </c>
      <c r="E183" s="16">
        <f>IF($A183="","",INDEX('부의금 입력'!$E$2:$E$1001,MATCH($A183,'부의금 입력'!$H$2:$H$1001,0))&amp;"")</f>
        <v/>
      </c>
      <c r="H183" s="16">
        <f>IF(180&gt;$I$1,"",INDEX('근조 화환'!$B$2:$B$501,MATCH(180,'근조 화환'!$G$2:$G$501,0))&amp;"")</f>
        <v/>
      </c>
      <c r="I183" s="16">
        <f>IF(180&gt;$I$1,"",INDEX('근조 화환'!$C$2:$C$501,MATCH(180,'근조 화환'!$G$2:$G$501,0))&amp;"")</f>
        <v/>
      </c>
      <c r="J183" s="16">
        <f>IF(180&gt;$I$1,"",INDEX('근조 화환'!$D$2:$D$501,MATCH(180,'근조 화환'!$G$2:$G$501,0))&amp;"")</f>
        <v/>
      </c>
      <c r="K183" s="16">
        <f>IF(180&gt;$I$1,"",INDEX('근조 화환'!$E$2:$E$501,MATCH(180,'근조 화환'!$G$2:$G$501,0))&amp;"")</f>
        <v/>
      </c>
    </row>
    <row r="184">
      <c r="A184" s="16">
        <f>IF(181&lt;=$F$1,181,"")</f>
        <v/>
      </c>
      <c r="B184" s="16">
        <f>IF($A184="","",INDEX('부의금 입력'!$B$2:$B$1001,MATCH($A184,'부의금 입력'!$H$2:$H$1001,0))&amp;"")</f>
        <v/>
      </c>
      <c r="C184" s="18">
        <f>IF($A184="","",INDEX('부의금 입력'!$C$2:$C$1001,MATCH($A184,'부의금 입력'!$H$2:$H$1001,0)))</f>
        <v/>
      </c>
      <c r="D184" s="16">
        <f>IF($A184="","",INDEX('부의금 입력'!$D$2:$D$1001,MATCH($A184,'부의금 입력'!$H$2:$H$1001,0))&amp;"")</f>
        <v/>
      </c>
      <c r="E184" s="16">
        <f>IF($A184="","",INDEX('부의금 입력'!$E$2:$E$1001,MATCH($A184,'부의금 입력'!$H$2:$H$1001,0))&amp;"")</f>
        <v/>
      </c>
      <c r="H184" s="16">
        <f>IF(181&gt;$I$1,"",INDEX('근조 화환'!$B$2:$B$501,MATCH(181,'근조 화환'!$G$2:$G$501,0))&amp;"")</f>
        <v/>
      </c>
      <c r="I184" s="16">
        <f>IF(181&gt;$I$1,"",INDEX('근조 화환'!$C$2:$C$501,MATCH(181,'근조 화환'!$G$2:$G$501,0))&amp;"")</f>
        <v/>
      </c>
      <c r="J184" s="16">
        <f>IF(181&gt;$I$1,"",INDEX('근조 화환'!$D$2:$D$501,MATCH(181,'근조 화환'!$G$2:$G$501,0))&amp;"")</f>
        <v/>
      </c>
      <c r="K184" s="16">
        <f>IF(181&gt;$I$1,"",INDEX('근조 화환'!$E$2:$E$501,MATCH(181,'근조 화환'!$G$2:$G$501,0))&amp;"")</f>
        <v/>
      </c>
    </row>
    <row r="185">
      <c r="A185" s="16">
        <f>IF(182&lt;=$F$1,182,"")</f>
        <v/>
      </c>
      <c r="B185" s="16">
        <f>IF($A185="","",INDEX('부의금 입력'!$B$2:$B$1001,MATCH($A185,'부의금 입력'!$H$2:$H$1001,0))&amp;"")</f>
        <v/>
      </c>
      <c r="C185" s="18">
        <f>IF($A185="","",INDEX('부의금 입력'!$C$2:$C$1001,MATCH($A185,'부의금 입력'!$H$2:$H$1001,0)))</f>
        <v/>
      </c>
      <c r="D185" s="16">
        <f>IF($A185="","",INDEX('부의금 입력'!$D$2:$D$1001,MATCH($A185,'부의금 입력'!$H$2:$H$1001,0))&amp;"")</f>
        <v/>
      </c>
      <c r="E185" s="16">
        <f>IF($A185="","",INDEX('부의금 입력'!$E$2:$E$1001,MATCH($A185,'부의금 입력'!$H$2:$H$1001,0))&amp;"")</f>
        <v/>
      </c>
      <c r="H185" s="16">
        <f>IF(182&gt;$I$1,"",INDEX('근조 화환'!$B$2:$B$501,MATCH(182,'근조 화환'!$G$2:$G$501,0))&amp;"")</f>
        <v/>
      </c>
      <c r="I185" s="16">
        <f>IF(182&gt;$I$1,"",INDEX('근조 화환'!$C$2:$C$501,MATCH(182,'근조 화환'!$G$2:$G$501,0))&amp;"")</f>
        <v/>
      </c>
      <c r="J185" s="16">
        <f>IF(182&gt;$I$1,"",INDEX('근조 화환'!$D$2:$D$501,MATCH(182,'근조 화환'!$G$2:$G$501,0))&amp;"")</f>
        <v/>
      </c>
      <c r="K185" s="16">
        <f>IF(182&gt;$I$1,"",INDEX('근조 화환'!$E$2:$E$501,MATCH(182,'근조 화환'!$G$2:$G$501,0))&amp;"")</f>
        <v/>
      </c>
    </row>
    <row r="186">
      <c r="A186" s="16">
        <f>IF(183&lt;=$F$1,183,"")</f>
        <v/>
      </c>
      <c r="B186" s="16">
        <f>IF($A186="","",INDEX('부의금 입력'!$B$2:$B$1001,MATCH($A186,'부의금 입력'!$H$2:$H$1001,0))&amp;"")</f>
        <v/>
      </c>
      <c r="C186" s="18">
        <f>IF($A186="","",INDEX('부의금 입력'!$C$2:$C$1001,MATCH($A186,'부의금 입력'!$H$2:$H$1001,0)))</f>
        <v/>
      </c>
      <c r="D186" s="16">
        <f>IF($A186="","",INDEX('부의금 입력'!$D$2:$D$1001,MATCH($A186,'부의금 입력'!$H$2:$H$1001,0))&amp;"")</f>
        <v/>
      </c>
      <c r="E186" s="16">
        <f>IF($A186="","",INDEX('부의금 입력'!$E$2:$E$1001,MATCH($A186,'부의금 입력'!$H$2:$H$1001,0))&amp;"")</f>
        <v/>
      </c>
      <c r="H186" s="16">
        <f>IF(183&gt;$I$1,"",INDEX('근조 화환'!$B$2:$B$501,MATCH(183,'근조 화환'!$G$2:$G$501,0))&amp;"")</f>
        <v/>
      </c>
      <c r="I186" s="16">
        <f>IF(183&gt;$I$1,"",INDEX('근조 화환'!$C$2:$C$501,MATCH(183,'근조 화환'!$G$2:$G$501,0))&amp;"")</f>
        <v/>
      </c>
      <c r="J186" s="16">
        <f>IF(183&gt;$I$1,"",INDEX('근조 화환'!$D$2:$D$501,MATCH(183,'근조 화환'!$G$2:$G$501,0))&amp;"")</f>
        <v/>
      </c>
      <c r="K186" s="16">
        <f>IF(183&gt;$I$1,"",INDEX('근조 화환'!$E$2:$E$501,MATCH(183,'근조 화환'!$G$2:$G$501,0))&amp;"")</f>
        <v/>
      </c>
    </row>
    <row r="187">
      <c r="A187" s="16">
        <f>IF(184&lt;=$F$1,184,"")</f>
        <v/>
      </c>
      <c r="B187" s="16">
        <f>IF($A187="","",INDEX('부의금 입력'!$B$2:$B$1001,MATCH($A187,'부의금 입력'!$H$2:$H$1001,0))&amp;"")</f>
        <v/>
      </c>
      <c r="C187" s="18">
        <f>IF($A187="","",INDEX('부의금 입력'!$C$2:$C$1001,MATCH($A187,'부의금 입력'!$H$2:$H$1001,0)))</f>
        <v/>
      </c>
      <c r="D187" s="16">
        <f>IF($A187="","",INDEX('부의금 입력'!$D$2:$D$1001,MATCH($A187,'부의금 입력'!$H$2:$H$1001,0))&amp;"")</f>
        <v/>
      </c>
      <c r="E187" s="16">
        <f>IF($A187="","",INDEX('부의금 입력'!$E$2:$E$1001,MATCH($A187,'부의금 입력'!$H$2:$H$1001,0))&amp;"")</f>
        <v/>
      </c>
      <c r="H187" s="16">
        <f>IF(184&gt;$I$1,"",INDEX('근조 화환'!$B$2:$B$501,MATCH(184,'근조 화환'!$G$2:$G$501,0))&amp;"")</f>
        <v/>
      </c>
      <c r="I187" s="16">
        <f>IF(184&gt;$I$1,"",INDEX('근조 화환'!$C$2:$C$501,MATCH(184,'근조 화환'!$G$2:$G$501,0))&amp;"")</f>
        <v/>
      </c>
      <c r="J187" s="16">
        <f>IF(184&gt;$I$1,"",INDEX('근조 화환'!$D$2:$D$501,MATCH(184,'근조 화환'!$G$2:$G$501,0))&amp;"")</f>
        <v/>
      </c>
      <c r="K187" s="16">
        <f>IF(184&gt;$I$1,"",INDEX('근조 화환'!$E$2:$E$501,MATCH(184,'근조 화환'!$G$2:$G$501,0))&amp;"")</f>
        <v/>
      </c>
    </row>
    <row r="188">
      <c r="A188" s="16">
        <f>IF(185&lt;=$F$1,185,"")</f>
        <v/>
      </c>
      <c r="B188" s="16">
        <f>IF($A188="","",INDEX('부의금 입력'!$B$2:$B$1001,MATCH($A188,'부의금 입력'!$H$2:$H$1001,0))&amp;"")</f>
        <v/>
      </c>
      <c r="C188" s="18">
        <f>IF($A188="","",INDEX('부의금 입력'!$C$2:$C$1001,MATCH($A188,'부의금 입력'!$H$2:$H$1001,0)))</f>
        <v/>
      </c>
      <c r="D188" s="16">
        <f>IF($A188="","",INDEX('부의금 입력'!$D$2:$D$1001,MATCH($A188,'부의금 입력'!$H$2:$H$1001,0))&amp;"")</f>
        <v/>
      </c>
      <c r="E188" s="16">
        <f>IF($A188="","",INDEX('부의금 입력'!$E$2:$E$1001,MATCH($A188,'부의금 입력'!$H$2:$H$1001,0))&amp;"")</f>
        <v/>
      </c>
      <c r="H188" s="16">
        <f>IF(185&gt;$I$1,"",INDEX('근조 화환'!$B$2:$B$501,MATCH(185,'근조 화환'!$G$2:$G$501,0))&amp;"")</f>
        <v/>
      </c>
      <c r="I188" s="16">
        <f>IF(185&gt;$I$1,"",INDEX('근조 화환'!$C$2:$C$501,MATCH(185,'근조 화환'!$G$2:$G$501,0))&amp;"")</f>
        <v/>
      </c>
      <c r="J188" s="16">
        <f>IF(185&gt;$I$1,"",INDEX('근조 화환'!$D$2:$D$501,MATCH(185,'근조 화환'!$G$2:$G$501,0))&amp;"")</f>
        <v/>
      </c>
      <c r="K188" s="16">
        <f>IF(185&gt;$I$1,"",INDEX('근조 화환'!$E$2:$E$501,MATCH(185,'근조 화환'!$G$2:$G$501,0))&amp;"")</f>
        <v/>
      </c>
    </row>
    <row r="189">
      <c r="A189" s="16">
        <f>IF(186&lt;=$F$1,186,"")</f>
        <v/>
      </c>
      <c r="B189" s="16">
        <f>IF($A189="","",INDEX('부의금 입력'!$B$2:$B$1001,MATCH($A189,'부의금 입력'!$H$2:$H$1001,0))&amp;"")</f>
        <v/>
      </c>
      <c r="C189" s="18">
        <f>IF($A189="","",INDEX('부의금 입력'!$C$2:$C$1001,MATCH($A189,'부의금 입력'!$H$2:$H$1001,0)))</f>
        <v/>
      </c>
      <c r="D189" s="16">
        <f>IF($A189="","",INDEX('부의금 입력'!$D$2:$D$1001,MATCH($A189,'부의금 입력'!$H$2:$H$1001,0))&amp;"")</f>
        <v/>
      </c>
      <c r="E189" s="16">
        <f>IF($A189="","",INDEX('부의금 입력'!$E$2:$E$1001,MATCH($A189,'부의금 입력'!$H$2:$H$1001,0))&amp;"")</f>
        <v/>
      </c>
      <c r="H189" s="16">
        <f>IF(186&gt;$I$1,"",INDEX('근조 화환'!$B$2:$B$501,MATCH(186,'근조 화환'!$G$2:$G$501,0))&amp;"")</f>
        <v/>
      </c>
      <c r="I189" s="16">
        <f>IF(186&gt;$I$1,"",INDEX('근조 화환'!$C$2:$C$501,MATCH(186,'근조 화환'!$G$2:$G$501,0))&amp;"")</f>
        <v/>
      </c>
      <c r="J189" s="16">
        <f>IF(186&gt;$I$1,"",INDEX('근조 화환'!$D$2:$D$501,MATCH(186,'근조 화환'!$G$2:$G$501,0))&amp;"")</f>
        <v/>
      </c>
      <c r="K189" s="16">
        <f>IF(186&gt;$I$1,"",INDEX('근조 화환'!$E$2:$E$501,MATCH(186,'근조 화환'!$G$2:$G$501,0))&amp;"")</f>
        <v/>
      </c>
    </row>
    <row r="190">
      <c r="A190" s="16">
        <f>IF(187&lt;=$F$1,187,"")</f>
        <v/>
      </c>
      <c r="B190" s="16">
        <f>IF($A190="","",INDEX('부의금 입력'!$B$2:$B$1001,MATCH($A190,'부의금 입력'!$H$2:$H$1001,0))&amp;"")</f>
        <v/>
      </c>
      <c r="C190" s="18">
        <f>IF($A190="","",INDEX('부의금 입력'!$C$2:$C$1001,MATCH($A190,'부의금 입력'!$H$2:$H$1001,0)))</f>
        <v/>
      </c>
      <c r="D190" s="16">
        <f>IF($A190="","",INDEX('부의금 입력'!$D$2:$D$1001,MATCH($A190,'부의금 입력'!$H$2:$H$1001,0))&amp;"")</f>
        <v/>
      </c>
      <c r="E190" s="16">
        <f>IF($A190="","",INDEX('부의금 입력'!$E$2:$E$1001,MATCH($A190,'부의금 입력'!$H$2:$H$1001,0))&amp;"")</f>
        <v/>
      </c>
      <c r="H190" s="16">
        <f>IF(187&gt;$I$1,"",INDEX('근조 화환'!$B$2:$B$501,MATCH(187,'근조 화환'!$G$2:$G$501,0))&amp;"")</f>
        <v/>
      </c>
      <c r="I190" s="16">
        <f>IF(187&gt;$I$1,"",INDEX('근조 화환'!$C$2:$C$501,MATCH(187,'근조 화환'!$G$2:$G$501,0))&amp;"")</f>
        <v/>
      </c>
      <c r="J190" s="16">
        <f>IF(187&gt;$I$1,"",INDEX('근조 화환'!$D$2:$D$501,MATCH(187,'근조 화환'!$G$2:$G$501,0))&amp;"")</f>
        <v/>
      </c>
      <c r="K190" s="16">
        <f>IF(187&gt;$I$1,"",INDEX('근조 화환'!$E$2:$E$501,MATCH(187,'근조 화환'!$G$2:$G$501,0))&amp;"")</f>
        <v/>
      </c>
    </row>
    <row r="191">
      <c r="A191" s="16">
        <f>IF(188&lt;=$F$1,188,"")</f>
        <v/>
      </c>
      <c r="B191" s="16">
        <f>IF($A191="","",INDEX('부의금 입력'!$B$2:$B$1001,MATCH($A191,'부의금 입력'!$H$2:$H$1001,0))&amp;"")</f>
        <v/>
      </c>
      <c r="C191" s="18">
        <f>IF($A191="","",INDEX('부의금 입력'!$C$2:$C$1001,MATCH($A191,'부의금 입력'!$H$2:$H$1001,0)))</f>
        <v/>
      </c>
      <c r="D191" s="16">
        <f>IF($A191="","",INDEX('부의금 입력'!$D$2:$D$1001,MATCH($A191,'부의금 입력'!$H$2:$H$1001,0))&amp;"")</f>
        <v/>
      </c>
      <c r="E191" s="16">
        <f>IF($A191="","",INDEX('부의금 입력'!$E$2:$E$1001,MATCH($A191,'부의금 입력'!$H$2:$H$1001,0))&amp;"")</f>
        <v/>
      </c>
      <c r="H191" s="16">
        <f>IF(188&gt;$I$1,"",INDEX('근조 화환'!$B$2:$B$501,MATCH(188,'근조 화환'!$G$2:$G$501,0))&amp;"")</f>
        <v/>
      </c>
      <c r="I191" s="16">
        <f>IF(188&gt;$I$1,"",INDEX('근조 화환'!$C$2:$C$501,MATCH(188,'근조 화환'!$G$2:$G$501,0))&amp;"")</f>
        <v/>
      </c>
      <c r="J191" s="16">
        <f>IF(188&gt;$I$1,"",INDEX('근조 화환'!$D$2:$D$501,MATCH(188,'근조 화환'!$G$2:$G$501,0))&amp;"")</f>
        <v/>
      </c>
      <c r="K191" s="16">
        <f>IF(188&gt;$I$1,"",INDEX('근조 화환'!$E$2:$E$501,MATCH(188,'근조 화환'!$G$2:$G$501,0))&amp;"")</f>
        <v/>
      </c>
    </row>
    <row r="192">
      <c r="A192" s="16">
        <f>IF(189&lt;=$F$1,189,"")</f>
        <v/>
      </c>
      <c r="B192" s="16">
        <f>IF($A192="","",INDEX('부의금 입력'!$B$2:$B$1001,MATCH($A192,'부의금 입력'!$H$2:$H$1001,0))&amp;"")</f>
        <v/>
      </c>
      <c r="C192" s="18">
        <f>IF($A192="","",INDEX('부의금 입력'!$C$2:$C$1001,MATCH($A192,'부의금 입력'!$H$2:$H$1001,0)))</f>
        <v/>
      </c>
      <c r="D192" s="16">
        <f>IF($A192="","",INDEX('부의금 입력'!$D$2:$D$1001,MATCH($A192,'부의금 입력'!$H$2:$H$1001,0))&amp;"")</f>
        <v/>
      </c>
      <c r="E192" s="16">
        <f>IF($A192="","",INDEX('부의금 입력'!$E$2:$E$1001,MATCH($A192,'부의금 입력'!$H$2:$H$1001,0))&amp;"")</f>
        <v/>
      </c>
      <c r="H192" s="16">
        <f>IF(189&gt;$I$1,"",INDEX('근조 화환'!$B$2:$B$501,MATCH(189,'근조 화환'!$G$2:$G$501,0))&amp;"")</f>
        <v/>
      </c>
      <c r="I192" s="16">
        <f>IF(189&gt;$I$1,"",INDEX('근조 화환'!$C$2:$C$501,MATCH(189,'근조 화환'!$G$2:$G$501,0))&amp;"")</f>
        <v/>
      </c>
      <c r="J192" s="16">
        <f>IF(189&gt;$I$1,"",INDEX('근조 화환'!$D$2:$D$501,MATCH(189,'근조 화환'!$G$2:$G$501,0))&amp;"")</f>
        <v/>
      </c>
      <c r="K192" s="16">
        <f>IF(189&gt;$I$1,"",INDEX('근조 화환'!$E$2:$E$501,MATCH(189,'근조 화환'!$G$2:$G$501,0))&amp;"")</f>
        <v/>
      </c>
    </row>
    <row r="193">
      <c r="A193" s="16">
        <f>IF(190&lt;=$F$1,190,"")</f>
        <v/>
      </c>
      <c r="B193" s="16">
        <f>IF($A193="","",INDEX('부의금 입력'!$B$2:$B$1001,MATCH($A193,'부의금 입력'!$H$2:$H$1001,0))&amp;"")</f>
        <v/>
      </c>
      <c r="C193" s="18">
        <f>IF($A193="","",INDEX('부의금 입력'!$C$2:$C$1001,MATCH($A193,'부의금 입력'!$H$2:$H$1001,0)))</f>
        <v/>
      </c>
      <c r="D193" s="16">
        <f>IF($A193="","",INDEX('부의금 입력'!$D$2:$D$1001,MATCH($A193,'부의금 입력'!$H$2:$H$1001,0))&amp;"")</f>
        <v/>
      </c>
      <c r="E193" s="16">
        <f>IF($A193="","",INDEX('부의금 입력'!$E$2:$E$1001,MATCH($A193,'부의금 입력'!$H$2:$H$1001,0))&amp;"")</f>
        <v/>
      </c>
      <c r="H193" s="16">
        <f>IF(190&gt;$I$1,"",INDEX('근조 화환'!$B$2:$B$501,MATCH(190,'근조 화환'!$G$2:$G$501,0))&amp;"")</f>
        <v/>
      </c>
      <c r="I193" s="16">
        <f>IF(190&gt;$I$1,"",INDEX('근조 화환'!$C$2:$C$501,MATCH(190,'근조 화환'!$G$2:$G$501,0))&amp;"")</f>
        <v/>
      </c>
      <c r="J193" s="16">
        <f>IF(190&gt;$I$1,"",INDEX('근조 화환'!$D$2:$D$501,MATCH(190,'근조 화환'!$G$2:$G$501,0))&amp;"")</f>
        <v/>
      </c>
      <c r="K193" s="16">
        <f>IF(190&gt;$I$1,"",INDEX('근조 화환'!$E$2:$E$501,MATCH(190,'근조 화환'!$G$2:$G$501,0))&amp;"")</f>
        <v/>
      </c>
    </row>
    <row r="194">
      <c r="A194" s="16">
        <f>IF(191&lt;=$F$1,191,"")</f>
        <v/>
      </c>
      <c r="B194" s="16">
        <f>IF($A194="","",INDEX('부의금 입력'!$B$2:$B$1001,MATCH($A194,'부의금 입력'!$H$2:$H$1001,0))&amp;"")</f>
        <v/>
      </c>
      <c r="C194" s="18">
        <f>IF($A194="","",INDEX('부의금 입력'!$C$2:$C$1001,MATCH($A194,'부의금 입력'!$H$2:$H$1001,0)))</f>
        <v/>
      </c>
      <c r="D194" s="16">
        <f>IF($A194="","",INDEX('부의금 입력'!$D$2:$D$1001,MATCH($A194,'부의금 입력'!$H$2:$H$1001,0))&amp;"")</f>
        <v/>
      </c>
      <c r="E194" s="16">
        <f>IF($A194="","",INDEX('부의금 입력'!$E$2:$E$1001,MATCH($A194,'부의금 입력'!$H$2:$H$1001,0))&amp;"")</f>
        <v/>
      </c>
      <c r="H194" s="16">
        <f>IF(191&gt;$I$1,"",INDEX('근조 화환'!$B$2:$B$501,MATCH(191,'근조 화환'!$G$2:$G$501,0))&amp;"")</f>
        <v/>
      </c>
      <c r="I194" s="16">
        <f>IF(191&gt;$I$1,"",INDEX('근조 화환'!$C$2:$C$501,MATCH(191,'근조 화환'!$G$2:$G$501,0))&amp;"")</f>
        <v/>
      </c>
      <c r="J194" s="16">
        <f>IF(191&gt;$I$1,"",INDEX('근조 화환'!$D$2:$D$501,MATCH(191,'근조 화환'!$G$2:$G$501,0))&amp;"")</f>
        <v/>
      </c>
      <c r="K194" s="16">
        <f>IF(191&gt;$I$1,"",INDEX('근조 화환'!$E$2:$E$501,MATCH(191,'근조 화환'!$G$2:$G$501,0))&amp;"")</f>
        <v/>
      </c>
    </row>
    <row r="195">
      <c r="A195" s="16">
        <f>IF(192&lt;=$F$1,192,"")</f>
        <v/>
      </c>
      <c r="B195" s="16">
        <f>IF($A195="","",INDEX('부의금 입력'!$B$2:$B$1001,MATCH($A195,'부의금 입력'!$H$2:$H$1001,0))&amp;"")</f>
        <v/>
      </c>
      <c r="C195" s="18">
        <f>IF($A195="","",INDEX('부의금 입력'!$C$2:$C$1001,MATCH($A195,'부의금 입력'!$H$2:$H$1001,0)))</f>
        <v/>
      </c>
      <c r="D195" s="16">
        <f>IF($A195="","",INDEX('부의금 입력'!$D$2:$D$1001,MATCH($A195,'부의금 입력'!$H$2:$H$1001,0))&amp;"")</f>
        <v/>
      </c>
      <c r="E195" s="16">
        <f>IF($A195="","",INDEX('부의금 입력'!$E$2:$E$1001,MATCH($A195,'부의금 입력'!$H$2:$H$1001,0))&amp;"")</f>
        <v/>
      </c>
      <c r="H195" s="16">
        <f>IF(192&gt;$I$1,"",INDEX('근조 화환'!$B$2:$B$501,MATCH(192,'근조 화환'!$G$2:$G$501,0))&amp;"")</f>
        <v/>
      </c>
      <c r="I195" s="16">
        <f>IF(192&gt;$I$1,"",INDEX('근조 화환'!$C$2:$C$501,MATCH(192,'근조 화환'!$G$2:$G$501,0))&amp;"")</f>
        <v/>
      </c>
      <c r="J195" s="16">
        <f>IF(192&gt;$I$1,"",INDEX('근조 화환'!$D$2:$D$501,MATCH(192,'근조 화환'!$G$2:$G$501,0))&amp;"")</f>
        <v/>
      </c>
      <c r="K195" s="16">
        <f>IF(192&gt;$I$1,"",INDEX('근조 화환'!$E$2:$E$501,MATCH(192,'근조 화환'!$G$2:$G$501,0))&amp;"")</f>
        <v/>
      </c>
    </row>
    <row r="196">
      <c r="A196" s="16">
        <f>IF(193&lt;=$F$1,193,"")</f>
        <v/>
      </c>
      <c r="B196" s="16">
        <f>IF($A196="","",INDEX('부의금 입력'!$B$2:$B$1001,MATCH($A196,'부의금 입력'!$H$2:$H$1001,0))&amp;"")</f>
        <v/>
      </c>
      <c r="C196" s="18">
        <f>IF($A196="","",INDEX('부의금 입력'!$C$2:$C$1001,MATCH($A196,'부의금 입력'!$H$2:$H$1001,0)))</f>
        <v/>
      </c>
      <c r="D196" s="16">
        <f>IF($A196="","",INDEX('부의금 입력'!$D$2:$D$1001,MATCH($A196,'부의금 입력'!$H$2:$H$1001,0))&amp;"")</f>
        <v/>
      </c>
      <c r="E196" s="16">
        <f>IF($A196="","",INDEX('부의금 입력'!$E$2:$E$1001,MATCH($A196,'부의금 입력'!$H$2:$H$1001,0))&amp;"")</f>
        <v/>
      </c>
      <c r="H196" s="16">
        <f>IF(193&gt;$I$1,"",INDEX('근조 화환'!$B$2:$B$501,MATCH(193,'근조 화환'!$G$2:$G$501,0))&amp;"")</f>
        <v/>
      </c>
      <c r="I196" s="16">
        <f>IF(193&gt;$I$1,"",INDEX('근조 화환'!$C$2:$C$501,MATCH(193,'근조 화환'!$G$2:$G$501,0))&amp;"")</f>
        <v/>
      </c>
      <c r="J196" s="16">
        <f>IF(193&gt;$I$1,"",INDEX('근조 화환'!$D$2:$D$501,MATCH(193,'근조 화환'!$G$2:$G$501,0))&amp;"")</f>
        <v/>
      </c>
      <c r="K196" s="16">
        <f>IF(193&gt;$I$1,"",INDEX('근조 화환'!$E$2:$E$501,MATCH(193,'근조 화환'!$G$2:$G$501,0))&amp;"")</f>
        <v/>
      </c>
    </row>
    <row r="197">
      <c r="A197" s="16">
        <f>IF(194&lt;=$F$1,194,"")</f>
        <v/>
      </c>
      <c r="B197" s="16">
        <f>IF($A197="","",INDEX('부의금 입력'!$B$2:$B$1001,MATCH($A197,'부의금 입력'!$H$2:$H$1001,0))&amp;"")</f>
        <v/>
      </c>
      <c r="C197" s="18">
        <f>IF($A197="","",INDEX('부의금 입력'!$C$2:$C$1001,MATCH($A197,'부의금 입력'!$H$2:$H$1001,0)))</f>
        <v/>
      </c>
      <c r="D197" s="16">
        <f>IF($A197="","",INDEX('부의금 입력'!$D$2:$D$1001,MATCH($A197,'부의금 입력'!$H$2:$H$1001,0))&amp;"")</f>
        <v/>
      </c>
      <c r="E197" s="16">
        <f>IF($A197="","",INDEX('부의금 입력'!$E$2:$E$1001,MATCH($A197,'부의금 입력'!$H$2:$H$1001,0))&amp;"")</f>
        <v/>
      </c>
      <c r="H197" s="16">
        <f>IF(194&gt;$I$1,"",INDEX('근조 화환'!$B$2:$B$501,MATCH(194,'근조 화환'!$G$2:$G$501,0))&amp;"")</f>
        <v/>
      </c>
      <c r="I197" s="16">
        <f>IF(194&gt;$I$1,"",INDEX('근조 화환'!$C$2:$C$501,MATCH(194,'근조 화환'!$G$2:$G$501,0))&amp;"")</f>
        <v/>
      </c>
      <c r="J197" s="16">
        <f>IF(194&gt;$I$1,"",INDEX('근조 화환'!$D$2:$D$501,MATCH(194,'근조 화환'!$G$2:$G$501,0))&amp;"")</f>
        <v/>
      </c>
      <c r="K197" s="16">
        <f>IF(194&gt;$I$1,"",INDEX('근조 화환'!$E$2:$E$501,MATCH(194,'근조 화환'!$G$2:$G$501,0))&amp;"")</f>
        <v/>
      </c>
    </row>
    <row r="198">
      <c r="A198" s="16">
        <f>IF(195&lt;=$F$1,195,"")</f>
        <v/>
      </c>
      <c r="B198" s="16">
        <f>IF($A198="","",INDEX('부의금 입력'!$B$2:$B$1001,MATCH($A198,'부의금 입력'!$H$2:$H$1001,0))&amp;"")</f>
        <v/>
      </c>
      <c r="C198" s="18">
        <f>IF($A198="","",INDEX('부의금 입력'!$C$2:$C$1001,MATCH($A198,'부의금 입력'!$H$2:$H$1001,0)))</f>
        <v/>
      </c>
      <c r="D198" s="16">
        <f>IF($A198="","",INDEX('부의금 입력'!$D$2:$D$1001,MATCH($A198,'부의금 입력'!$H$2:$H$1001,0))&amp;"")</f>
        <v/>
      </c>
      <c r="E198" s="16">
        <f>IF($A198="","",INDEX('부의금 입력'!$E$2:$E$1001,MATCH($A198,'부의금 입력'!$H$2:$H$1001,0))&amp;"")</f>
        <v/>
      </c>
      <c r="H198" s="16">
        <f>IF(195&gt;$I$1,"",INDEX('근조 화환'!$B$2:$B$501,MATCH(195,'근조 화환'!$G$2:$G$501,0))&amp;"")</f>
        <v/>
      </c>
      <c r="I198" s="16">
        <f>IF(195&gt;$I$1,"",INDEX('근조 화환'!$C$2:$C$501,MATCH(195,'근조 화환'!$G$2:$G$501,0))&amp;"")</f>
        <v/>
      </c>
      <c r="J198" s="16">
        <f>IF(195&gt;$I$1,"",INDEX('근조 화환'!$D$2:$D$501,MATCH(195,'근조 화환'!$G$2:$G$501,0))&amp;"")</f>
        <v/>
      </c>
      <c r="K198" s="16">
        <f>IF(195&gt;$I$1,"",INDEX('근조 화환'!$E$2:$E$501,MATCH(195,'근조 화환'!$G$2:$G$501,0))&amp;"")</f>
        <v/>
      </c>
    </row>
    <row r="199">
      <c r="A199" s="16">
        <f>IF(196&lt;=$F$1,196,"")</f>
        <v/>
      </c>
      <c r="B199" s="16">
        <f>IF($A199="","",INDEX('부의금 입력'!$B$2:$B$1001,MATCH($A199,'부의금 입력'!$H$2:$H$1001,0))&amp;"")</f>
        <v/>
      </c>
      <c r="C199" s="18">
        <f>IF($A199="","",INDEX('부의금 입력'!$C$2:$C$1001,MATCH($A199,'부의금 입력'!$H$2:$H$1001,0)))</f>
        <v/>
      </c>
      <c r="D199" s="16">
        <f>IF($A199="","",INDEX('부의금 입력'!$D$2:$D$1001,MATCH($A199,'부의금 입력'!$H$2:$H$1001,0))&amp;"")</f>
        <v/>
      </c>
      <c r="E199" s="16">
        <f>IF($A199="","",INDEX('부의금 입력'!$E$2:$E$1001,MATCH($A199,'부의금 입력'!$H$2:$H$1001,0))&amp;"")</f>
        <v/>
      </c>
      <c r="H199" s="16">
        <f>IF(196&gt;$I$1,"",INDEX('근조 화환'!$B$2:$B$501,MATCH(196,'근조 화환'!$G$2:$G$501,0))&amp;"")</f>
        <v/>
      </c>
      <c r="I199" s="16">
        <f>IF(196&gt;$I$1,"",INDEX('근조 화환'!$C$2:$C$501,MATCH(196,'근조 화환'!$G$2:$G$501,0))&amp;"")</f>
        <v/>
      </c>
      <c r="J199" s="16">
        <f>IF(196&gt;$I$1,"",INDEX('근조 화환'!$D$2:$D$501,MATCH(196,'근조 화환'!$G$2:$G$501,0))&amp;"")</f>
        <v/>
      </c>
      <c r="K199" s="16">
        <f>IF(196&gt;$I$1,"",INDEX('근조 화환'!$E$2:$E$501,MATCH(196,'근조 화환'!$G$2:$G$501,0))&amp;"")</f>
        <v/>
      </c>
    </row>
    <row r="200">
      <c r="A200" s="16">
        <f>IF(197&lt;=$F$1,197,"")</f>
        <v/>
      </c>
      <c r="B200" s="16">
        <f>IF($A200="","",INDEX('부의금 입력'!$B$2:$B$1001,MATCH($A200,'부의금 입력'!$H$2:$H$1001,0))&amp;"")</f>
        <v/>
      </c>
      <c r="C200" s="18">
        <f>IF($A200="","",INDEX('부의금 입력'!$C$2:$C$1001,MATCH($A200,'부의금 입력'!$H$2:$H$1001,0)))</f>
        <v/>
      </c>
      <c r="D200" s="16">
        <f>IF($A200="","",INDEX('부의금 입력'!$D$2:$D$1001,MATCH($A200,'부의금 입력'!$H$2:$H$1001,0))&amp;"")</f>
        <v/>
      </c>
      <c r="E200" s="16">
        <f>IF($A200="","",INDEX('부의금 입력'!$E$2:$E$1001,MATCH($A200,'부의금 입력'!$H$2:$H$1001,0))&amp;"")</f>
        <v/>
      </c>
      <c r="H200" s="16">
        <f>IF(197&gt;$I$1,"",INDEX('근조 화환'!$B$2:$B$501,MATCH(197,'근조 화환'!$G$2:$G$501,0))&amp;"")</f>
        <v/>
      </c>
      <c r="I200" s="16">
        <f>IF(197&gt;$I$1,"",INDEX('근조 화환'!$C$2:$C$501,MATCH(197,'근조 화환'!$G$2:$G$501,0))&amp;"")</f>
        <v/>
      </c>
      <c r="J200" s="16">
        <f>IF(197&gt;$I$1,"",INDEX('근조 화환'!$D$2:$D$501,MATCH(197,'근조 화환'!$G$2:$G$501,0))&amp;"")</f>
        <v/>
      </c>
      <c r="K200" s="16">
        <f>IF(197&gt;$I$1,"",INDEX('근조 화환'!$E$2:$E$501,MATCH(197,'근조 화환'!$G$2:$G$501,0))&amp;"")</f>
        <v/>
      </c>
    </row>
    <row r="201">
      <c r="A201" s="16">
        <f>IF(198&lt;=$F$1,198,"")</f>
        <v/>
      </c>
      <c r="B201" s="16">
        <f>IF($A201="","",INDEX('부의금 입력'!$B$2:$B$1001,MATCH($A201,'부의금 입력'!$H$2:$H$1001,0))&amp;"")</f>
        <v/>
      </c>
      <c r="C201" s="18">
        <f>IF($A201="","",INDEX('부의금 입력'!$C$2:$C$1001,MATCH($A201,'부의금 입력'!$H$2:$H$1001,0)))</f>
        <v/>
      </c>
      <c r="D201" s="16">
        <f>IF($A201="","",INDEX('부의금 입력'!$D$2:$D$1001,MATCH($A201,'부의금 입력'!$H$2:$H$1001,0))&amp;"")</f>
        <v/>
      </c>
      <c r="E201" s="16">
        <f>IF($A201="","",INDEX('부의금 입력'!$E$2:$E$1001,MATCH($A201,'부의금 입력'!$H$2:$H$1001,0))&amp;"")</f>
        <v/>
      </c>
      <c r="H201" s="16">
        <f>IF(198&gt;$I$1,"",INDEX('근조 화환'!$B$2:$B$501,MATCH(198,'근조 화환'!$G$2:$G$501,0))&amp;"")</f>
        <v/>
      </c>
      <c r="I201" s="16">
        <f>IF(198&gt;$I$1,"",INDEX('근조 화환'!$C$2:$C$501,MATCH(198,'근조 화환'!$G$2:$G$501,0))&amp;"")</f>
        <v/>
      </c>
      <c r="J201" s="16">
        <f>IF(198&gt;$I$1,"",INDEX('근조 화환'!$D$2:$D$501,MATCH(198,'근조 화환'!$G$2:$G$501,0))&amp;"")</f>
        <v/>
      </c>
      <c r="K201" s="16">
        <f>IF(198&gt;$I$1,"",INDEX('근조 화환'!$E$2:$E$501,MATCH(198,'근조 화환'!$G$2:$G$501,0))&amp;"")</f>
        <v/>
      </c>
    </row>
    <row r="202">
      <c r="A202" s="16">
        <f>IF(199&lt;=$F$1,199,"")</f>
        <v/>
      </c>
      <c r="B202" s="16">
        <f>IF($A202="","",INDEX('부의금 입력'!$B$2:$B$1001,MATCH($A202,'부의금 입력'!$H$2:$H$1001,0))&amp;"")</f>
        <v/>
      </c>
      <c r="C202" s="18">
        <f>IF($A202="","",INDEX('부의금 입력'!$C$2:$C$1001,MATCH($A202,'부의금 입력'!$H$2:$H$1001,0)))</f>
        <v/>
      </c>
      <c r="D202" s="16">
        <f>IF($A202="","",INDEX('부의금 입력'!$D$2:$D$1001,MATCH($A202,'부의금 입력'!$H$2:$H$1001,0))&amp;"")</f>
        <v/>
      </c>
      <c r="E202" s="16">
        <f>IF($A202="","",INDEX('부의금 입력'!$E$2:$E$1001,MATCH($A202,'부의금 입력'!$H$2:$H$1001,0))&amp;"")</f>
        <v/>
      </c>
      <c r="H202" s="16">
        <f>IF(199&gt;$I$1,"",INDEX('근조 화환'!$B$2:$B$501,MATCH(199,'근조 화환'!$G$2:$G$501,0))&amp;"")</f>
        <v/>
      </c>
      <c r="I202" s="16">
        <f>IF(199&gt;$I$1,"",INDEX('근조 화환'!$C$2:$C$501,MATCH(199,'근조 화환'!$G$2:$G$501,0))&amp;"")</f>
        <v/>
      </c>
      <c r="J202" s="16">
        <f>IF(199&gt;$I$1,"",INDEX('근조 화환'!$D$2:$D$501,MATCH(199,'근조 화환'!$G$2:$G$501,0))&amp;"")</f>
        <v/>
      </c>
      <c r="K202" s="16">
        <f>IF(199&gt;$I$1,"",INDEX('근조 화환'!$E$2:$E$501,MATCH(199,'근조 화환'!$G$2:$G$501,0))&amp;"")</f>
        <v/>
      </c>
    </row>
    <row r="203">
      <c r="A203" s="16">
        <f>IF(200&lt;=$F$1,200,"")</f>
        <v/>
      </c>
      <c r="B203" s="16">
        <f>IF($A203="","",INDEX('부의금 입력'!$B$2:$B$1001,MATCH($A203,'부의금 입력'!$H$2:$H$1001,0))&amp;"")</f>
        <v/>
      </c>
      <c r="C203" s="18">
        <f>IF($A203="","",INDEX('부의금 입력'!$C$2:$C$1001,MATCH($A203,'부의금 입력'!$H$2:$H$1001,0)))</f>
        <v/>
      </c>
      <c r="D203" s="16">
        <f>IF($A203="","",INDEX('부의금 입력'!$D$2:$D$1001,MATCH($A203,'부의금 입력'!$H$2:$H$1001,0))&amp;"")</f>
        <v/>
      </c>
      <c r="E203" s="16">
        <f>IF($A203="","",INDEX('부의금 입력'!$E$2:$E$1001,MATCH($A203,'부의금 입력'!$H$2:$H$1001,0))&amp;"")</f>
        <v/>
      </c>
      <c r="H203" s="16">
        <f>IF(200&gt;$I$1,"",INDEX('근조 화환'!$B$2:$B$501,MATCH(200,'근조 화환'!$G$2:$G$501,0))&amp;"")</f>
        <v/>
      </c>
      <c r="I203" s="16">
        <f>IF(200&gt;$I$1,"",INDEX('근조 화환'!$C$2:$C$501,MATCH(200,'근조 화환'!$G$2:$G$501,0))&amp;"")</f>
        <v/>
      </c>
      <c r="J203" s="16">
        <f>IF(200&gt;$I$1,"",INDEX('근조 화환'!$D$2:$D$501,MATCH(200,'근조 화환'!$G$2:$G$501,0))&amp;"")</f>
        <v/>
      </c>
      <c r="K203" s="16">
        <f>IF(200&gt;$I$1,"",INDEX('근조 화환'!$E$2:$E$501,MATCH(200,'근조 화환'!$G$2:$G$501,0))&amp;"")</f>
        <v/>
      </c>
    </row>
    <row r="204">
      <c r="A204" s="16">
        <f>IF(201&lt;=$F$1,201,"")</f>
        <v/>
      </c>
      <c r="B204" s="16">
        <f>IF($A204="","",INDEX('부의금 입력'!$B$2:$B$1001,MATCH($A204,'부의금 입력'!$H$2:$H$1001,0))&amp;"")</f>
        <v/>
      </c>
      <c r="C204" s="18">
        <f>IF($A204="","",INDEX('부의금 입력'!$C$2:$C$1001,MATCH($A204,'부의금 입력'!$H$2:$H$1001,0)))</f>
        <v/>
      </c>
      <c r="D204" s="16">
        <f>IF($A204="","",INDEX('부의금 입력'!$D$2:$D$1001,MATCH($A204,'부의금 입력'!$H$2:$H$1001,0))&amp;"")</f>
        <v/>
      </c>
      <c r="E204" s="16">
        <f>IF($A204="","",INDEX('부의금 입력'!$E$2:$E$1001,MATCH($A204,'부의금 입력'!$H$2:$H$1001,0))&amp;"")</f>
        <v/>
      </c>
      <c r="H204" s="16">
        <f>IF(201&gt;$I$1,"",INDEX('근조 화환'!$B$2:$B$501,MATCH(201,'근조 화환'!$G$2:$G$501,0))&amp;"")</f>
        <v/>
      </c>
      <c r="I204" s="16">
        <f>IF(201&gt;$I$1,"",INDEX('근조 화환'!$C$2:$C$501,MATCH(201,'근조 화환'!$G$2:$G$501,0))&amp;"")</f>
        <v/>
      </c>
      <c r="J204" s="16">
        <f>IF(201&gt;$I$1,"",INDEX('근조 화환'!$D$2:$D$501,MATCH(201,'근조 화환'!$G$2:$G$501,0))&amp;"")</f>
        <v/>
      </c>
      <c r="K204" s="16">
        <f>IF(201&gt;$I$1,"",INDEX('근조 화환'!$E$2:$E$501,MATCH(201,'근조 화환'!$G$2:$G$501,0))&amp;"")</f>
        <v/>
      </c>
    </row>
    <row r="205">
      <c r="A205" s="16">
        <f>IF(202&lt;=$F$1,202,"")</f>
        <v/>
      </c>
      <c r="B205" s="16">
        <f>IF($A205="","",INDEX('부의금 입력'!$B$2:$B$1001,MATCH($A205,'부의금 입력'!$H$2:$H$1001,0))&amp;"")</f>
        <v/>
      </c>
      <c r="C205" s="18">
        <f>IF($A205="","",INDEX('부의금 입력'!$C$2:$C$1001,MATCH($A205,'부의금 입력'!$H$2:$H$1001,0)))</f>
        <v/>
      </c>
      <c r="D205" s="16">
        <f>IF($A205="","",INDEX('부의금 입력'!$D$2:$D$1001,MATCH($A205,'부의금 입력'!$H$2:$H$1001,0))&amp;"")</f>
        <v/>
      </c>
      <c r="E205" s="16">
        <f>IF($A205="","",INDEX('부의금 입력'!$E$2:$E$1001,MATCH($A205,'부의금 입력'!$H$2:$H$1001,0))&amp;"")</f>
        <v/>
      </c>
      <c r="H205" s="16">
        <f>IF(202&gt;$I$1,"",INDEX('근조 화환'!$B$2:$B$501,MATCH(202,'근조 화환'!$G$2:$G$501,0))&amp;"")</f>
        <v/>
      </c>
      <c r="I205" s="16">
        <f>IF(202&gt;$I$1,"",INDEX('근조 화환'!$C$2:$C$501,MATCH(202,'근조 화환'!$G$2:$G$501,0))&amp;"")</f>
        <v/>
      </c>
      <c r="J205" s="16">
        <f>IF(202&gt;$I$1,"",INDEX('근조 화환'!$D$2:$D$501,MATCH(202,'근조 화환'!$G$2:$G$501,0))&amp;"")</f>
        <v/>
      </c>
      <c r="K205" s="16">
        <f>IF(202&gt;$I$1,"",INDEX('근조 화환'!$E$2:$E$501,MATCH(202,'근조 화환'!$G$2:$G$501,0))&amp;"")</f>
        <v/>
      </c>
    </row>
    <row r="206">
      <c r="A206" s="16">
        <f>IF(203&lt;=$F$1,203,"")</f>
        <v/>
      </c>
      <c r="B206" s="16">
        <f>IF($A206="","",INDEX('부의금 입력'!$B$2:$B$1001,MATCH($A206,'부의금 입력'!$H$2:$H$1001,0))&amp;"")</f>
        <v/>
      </c>
      <c r="C206" s="18">
        <f>IF($A206="","",INDEX('부의금 입력'!$C$2:$C$1001,MATCH($A206,'부의금 입력'!$H$2:$H$1001,0)))</f>
        <v/>
      </c>
      <c r="D206" s="16">
        <f>IF($A206="","",INDEX('부의금 입력'!$D$2:$D$1001,MATCH($A206,'부의금 입력'!$H$2:$H$1001,0))&amp;"")</f>
        <v/>
      </c>
      <c r="E206" s="16">
        <f>IF($A206="","",INDEX('부의금 입력'!$E$2:$E$1001,MATCH($A206,'부의금 입력'!$H$2:$H$1001,0))&amp;"")</f>
        <v/>
      </c>
      <c r="H206" s="16">
        <f>IF(203&gt;$I$1,"",INDEX('근조 화환'!$B$2:$B$501,MATCH(203,'근조 화환'!$G$2:$G$501,0))&amp;"")</f>
        <v/>
      </c>
      <c r="I206" s="16">
        <f>IF(203&gt;$I$1,"",INDEX('근조 화환'!$C$2:$C$501,MATCH(203,'근조 화환'!$G$2:$G$501,0))&amp;"")</f>
        <v/>
      </c>
      <c r="J206" s="16">
        <f>IF(203&gt;$I$1,"",INDEX('근조 화환'!$D$2:$D$501,MATCH(203,'근조 화환'!$G$2:$G$501,0))&amp;"")</f>
        <v/>
      </c>
      <c r="K206" s="16">
        <f>IF(203&gt;$I$1,"",INDEX('근조 화환'!$E$2:$E$501,MATCH(203,'근조 화환'!$G$2:$G$501,0))&amp;"")</f>
        <v/>
      </c>
    </row>
    <row r="207">
      <c r="A207" s="16">
        <f>IF(204&lt;=$F$1,204,"")</f>
        <v/>
      </c>
      <c r="B207" s="16">
        <f>IF($A207="","",INDEX('부의금 입력'!$B$2:$B$1001,MATCH($A207,'부의금 입력'!$H$2:$H$1001,0))&amp;"")</f>
        <v/>
      </c>
      <c r="C207" s="18">
        <f>IF($A207="","",INDEX('부의금 입력'!$C$2:$C$1001,MATCH($A207,'부의금 입력'!$H$2:$H$1001,0)))</f>
        <v/>
      </c>
      <c r="D207" s="16">
        <f>IF($A207="","",INDEX('부의금 입력'!$D$2:$D$1001,MATCH($A207,'부의금 입력'!$H$2:$H$1001,0))&amp;"")</f>
        <v/>
      </c>
      <c r="E207" s="16">
        <f>IF($A207="","",INDEX('부의금 입력'!$E$2:$E$1001,MATCH($A207,'부의금 입력'!$H$2:$H$1001,0))&amp;"")</f>
        <v/>
      </c>
      <c r="H207" s="16">
        <f>IF(204&gt;$I$1,"",INDEX('근조 화환'!$B$2:$B$501,MATCH(204,'근조 화환'!$G$2:$G$501,0))&amp;"")</f>
        <v/>
      </c>
      <c r="I207" s="16">
        <f>IF(204&gt;$I$1,"",INDEX('근조 화환'!$C$2:$C$501,MATCH(204,'근조 화환'!$G$2:$G$501,0))&amp;"")</f>
        <v/>
      </c>
      <c r="J207" s="16">
        <f>IF(204&gt;$I$1,"",INDEX('근조 화환'!$D$2:$D$501,MATCH(204,'근조 화환'!$G$2:$G$501,0))&amp;"")</f>
        <v/>
      </c>
      <c r="K207" s="16">
        <f>IF(204&gt;$I$1,"",INDEX('근조 화환'!$E$2:$E$501,MATCH(204,'근조 화환'!$G$2:$G$501,0))&amp;"")</f>
        <v/>
      </c>
    </row>
    <row r="208">
      <c r="A208" s="16">
        <f>IF(205&lt;=$F$1,205,"")</f>
        <v/>
      </c>
      <c r="B208" s="16">
        <f>IF($A208="","",INDEX('부의금 입력'!$B$2:$B$1001,MATCH($A208,'부의금 입력'!$H$2:$H$1001,0))&amp;"")</f>
        <v/>
      </c>
      <c r="C208" s="18">
        <f>IF($A208="","",INDEX('부의금 입력'!$C$2:$C$1001,MATCH($A208,'부의금 입력'!$H$2:$H$1001,0)))</f>
        <v/>
      </c>
      <c r="D208" s="16">
        <f>IF($A208="","",INDEX('부의금 입력'!$D$2:$D$1001,MATCH($A208,'부의금 입력'!$H$2:$H$1001,0))&amp;"")</f>
        <v/>
      </c>
      <c r="E208" s="16">
        <f>IF($A208="","",INDEX('부의금 입력'!$E$2:$E$1001,MATCH($A208,'부의금 입력'!$H$2:$H$1001,0))&amp;"")</f>
        <v/>
      </c>
      <c r="H208" s="16">
        <f>IF(205&gt;$I$1,"",INDEX('근조 화환'!$B$2:$B$501,MATCH(205,'근조 화환'!$G$2:$G$501,0))&amp;"")</f>
        <v/>
      </c>
      <c r="I208" s="16">
        <f>IF(205&gt;$I$1,"",INDEX('근조 화환'!$C$2:$C$501,MATCH(205,'근조 화환'!$G$2:$G$501,0))&amp;"")</f>
        <v/>
      </c>
      <c r="J208" s="16">
        <f>IF(205&gt;$I$1,"",INDEX('근조 화환'!$D$2:$D$501,MATCH(205,'근조 화환'!$G$2:$G$501,0))&amp;"")</f>
        <v/>
      </c>
      <c r="K208" s="16">
        <f>IF(205&gt;$I$1,"",INDEX('근조 화환'!$E$2:$E$501,MATCH(205,'근조 화환'!$G$2:$G$501,0))&amp;"")</f>
        <v/>
      </c>
    </row>
    <row r="209">
      <c r="A209" s="16">
        <f>IF(206&lt;=$F$1,206,"")</f>
        <v/>
      </c>
      <c r="B209" s="16">
        <f>IF($A209="","",INDEX('부의금 입력'!$B$2:$B$1001,MATCH($A209,'부의금 입력'!$H$2:$H$1001,0))&amp;"")</f>
        <v/>
      </c>
      <c r="C209" s="18">
        <f>IF($A209="","",INDEX('부의금 입력'!$C$2:$C$1001,MATCH($A209,'부의금 입력'!$H$2:$H$1001,0)))</f>
        <v/>
      </c>
      <c r="D209" s="16">
        <f>IF($A209="","",INDEX('부의금 입력'!$D$2:$D$1001,MATCH($A209,'부의금 입력'!$H$2:$H$1001,0))&amp;"")</f>
        <v/>
      </c>
      <c r="E209" s="16">
        <f>IF($A209="","",INDEX('부의금 입력'!$E$2:$E$1001,MATCH($A209,'부의금 입력'!$H$2:$H$1001,0))&amp;"")</f>
        <v/>
      </c>
      <c r="H209" s="16">
        <f>IF(206&gt;$I$1,"",INDEX('근조 화환'!$B$2:$B$501,MATCH(206,'근조 화환'!$G$2:$G$501,0))&amp;"")</f>
        <v/>
      </c>
      <c r="I209" s="16">
        <f>IF(206&gt;$I$1,"",INDEX('근조 화환'!$C$2:$C$501,MATCH(206,'근조 화환'!$G$2:$G$501,0))&amp;"")</f>
        <v/>
      </c>
      <c r="J209" s="16">
        <f>IF(206&gt;$I$1,"",INDEX('근조 화환'!$D$2:$D$501,MATCH(206,'근조 화환'!$G$2:$G$501,0))&amp;"")</f>
        <v/>
      </c>
      <c r="K209" s="16">
        <f>IF(206&gt;$I$1,"",INDEX('근조 화환'!$E$2:$E$501,MATCH(206,'근조 화환'!$G$2:$G$501,0))&amp;"")</f>
        <v/>
      </c>
    </row>
    <row r="210">
      <c r="A210" s="16">
        <f>IF(207&lt;=$F$1,207,"")</f>
        <v/>
      </c>
      <c r="B210" s="16">
        <f>IF($A210="","",INDEX('부의금 입력'!$B$2:$B$1001,MATCH($A210,'부의금 입력'!$H$2:$H$1001,0))&amp;"")</f>
        <v/>
      </c>
      <c r="C210" s="18">
        <f>IF($A210="","",INDEX('부의금 입력'!$C$2:$C$1001,MATCH($A210,'부의금 입력'!$H$2:$H$1001,0)))</f>
        <v/>
      </c>
      <c r="D210" s="16">
        <f>IF($A210="","",INDEX('부의금 입력'!$D$2:$D$1001,MATCH($A210,'부의금 입력'!$H$2:$H$1001,0))&amp;"")</f>
        <v/>
      </c>
      <c r="E210" s="16">
        <f>IF($A210="","",INDEX('부의금 입력'!$E$2:$E$1001,MATCH($A210,'부의금 입력'!$H$2:$H$1001,0))&amp;"")</f>
        <v/>
      </c>
      <c r="H210" s="16">
        <f>IF(207&gt;$I$1,"",INDEX('근조 화환'!$B$2:$B$501,MATCH(207,'근조 화환'!$G$2:$G$501,0))&amp;"")</f>
        <v/>
      </c>
      <c r="I210" s="16">
        <f>IF(207&gt;$I$1,"",INDEX('근조 화환'!$C$2:$C$501,MATCH(207,'근조 화환'!$G$2:$G$501,0))&amp;"")</f>
        <v/>
      </c>
      <c r="J210" s="16">
        <f>IF(207&gt;$I$1,"",INDEX('근조 화환'!$D$2:$D$501,MATCH(207,'근조 화환'!$G$2:$G$501,0))&amp;"")</f>
        <v/>
      </c>
      <c r="K210" s="16">
        <f>IF(207&gt;$I$1,"",INDEX('근조 화환'!$E$2:$E$501,MATCH(207,'근조 화환'!$G$2:$G$501,0))&amp;"")</f>
        <v/>
      </c>
    </row>
    <row r="211">
      <c r="A211" s="16">
        <f>IF(208&lt;=$F$1,208,"")</f>
        <v/>
      </c>
      <c r="B211" s="16">
        <f>IF($A211="","",INDEX('부의금 입력'!$B$2:$B$1001,MATCH($A211,'부의금 입력'!$H$2:$H$1001,0))&amp;"")</f>
        <v/>
      </c>
      <c r="C211" s="18">
        <f>IF($A211="","",INDEX('부의금 입력'!$C$2:$C$1001,MATCH($A211,'부의금 입력'!$H$2:$H$1001,0)))</f>
        <v/>
      </c>
      <c r="D211" s="16">
        <f>IF($A211="","",INDEX('부의금 입력'!$D$2:$D$1001,MATCH($A211,'부의금 입력'!$H$2:$H$1001,0))&amp;"")</f>
        <v/>
      </c>
      <c r="E211" s="16">
        <f>IF($A211="","",INDEX('부의금 입력'!$E$2:$E$1001,MATCH($A211,'부의금 입력'!$H$2:$H$1001,0))&amp;"")</f>
        <v/>
      </c>
      <c r="H211" s="16">
        <f>IF(208&gt;$I$1,"",INDEX('근조 화환'!$B$2:$B$501,MATCH(208,'근조 화환'!$G$2:$G$501,0))&amp;"")</f>
        <v/>
      </c>
      <c r="I211" s="16">
        <f>IF(208&gt;$I$1,"",INDEX('근조 화환'!$C$2:$C$501,MATCH(208,'근조 화환'!$G$2:$G$501,0))&amp;"")</f>
        <v/>
      </c>
      <c r="J211" s="16">
        <f>IF(208&gt;$I$1,"",INDEX('근조 화환'!$D$2:$D$501,MATCH(208,'근조 화환'!$G$2:$G$501,0))&amp;"")</f>
        <v/>
      </c>
      <c r="K211" s="16">
        <f>IF(208&gt;$I$1,"",INDEX('근조 화환'!$E$2:$E$501,MATCH(208,'근조 화환'!$G$2:$G$501,0))&amp;"")</f>
        <v/>
      </c>
    </row>
    <row r="212">
      <c r="A212" s="16">
        <f>IF(209&lt;=$F$1,209,"")</f>
        <v/>
      </c>
      <c r="B212" s="16">
        <f>IF($A212="","",INDEX('부의금 입력'!$B$2:$B$1001,MATCH($A212,'부의금 입력'!$H$2:$H$1001,0))&amp;"")</f>
        <v/>
      </c>
      <c r="C212" s="18">
        <f>IF($A212="","",INDEX('부의금 입력'!$C$2:$C$1001,MATCH($A212,'부의금 입력'!$H$2:$H$1001,0)))</f>
        <v/>
      </c>
      <c r="D212" s="16">
        <f>IF($A212="","",INDEX('부의금 입력'!$D$2:$D$1001,MATCH($A212,'부의금 입력'!$H$2:$H$1001,0))&amp;"")</f>
        <v/>
      </c>
      <c r="E212" s="16">
        <f>IF($A212="","",INDEX('부의금 입력'!$E$2:$E$1001,MATCH($A212,'부의금 입력'!$H$2:$H$1001,0))&amp;"")</f>
        <v/>
      </c>
      <c r="H212" s="16">
        <f>IF(209&gt;$I$1,"",INDEX('근조 화환'!$B$2:$B$501,MATCH(209,'근조 화환'!$G$2:$G$501,0))&amp;"")</f>
        <v/>
      </c>
      <c r="I212" s="16">
        <f>IF(209&gt;$I$1,"",INDEX('근조 화환'!$C$2:$C$501,MATCH(209,'근조 화환'!$G$2:$G$501,0))&amp;"")</f>
        <v/>
      </c>
      <c r="J212" s="16">
        <f>IF(209&gt;$I$1,"",INDEX('근조 화환'!$D$2:$D$501,MATCH(209,'근조 화환'!$G$2:$G$501,0))&amp;"")</f>
        <v/>
      </c>
      <c r="K212" s="16">
        <f>IF(209&gt;$I$1,"",INDEX('근조 화환'!$E$2:$E$501,MATCH(209,'근조 화환'!$G$2:$G$501,0))&amp;"")</f>
        <v/>
      </c>
    </row>
    <row r="213">
      <c r="A213" s="16">
        <f>IF(210&lt;=$F$1,210,"")</f>
        <v/>
      </c>
      <c r="B213" s="16">
        <f>IF($A213="","",INDEX('부의금 입력'!$B$2:$B$1001,MATCH($A213,'부의금 입력'!$H$2:$H$1001,0))&amp;"")</f>
        <v/>
      </c>
      <c r="C213" s="18">
        <f>IF($A213="","",INDEX('부의금 입력'!$C$2:$C$1001,MATCH($A213,'부의금 입력'!$H$2:$H$1001,0)))</f>
        <v/>
      </c>
      <c r="D213" s="16">
        <f>IF($A213="","",INDEX('부의금 입력'!$D$2:$D$1001,MATCH($A213,'부의금 입력'!$H$2:$H$1001,0))&amp;"")</f>
        <v/>
      </c>
      <c r="E213" s="16">
        <f>IF($A213="","",INDEX('부의금 입력'!$E$2:$E$1001,MATCH($A213,'부의금 입력'!$H$2:$H$1001,0))&amp;"")</f>
        <v/>
      </c>
      <c r="H213" s="16">
        <f>IF(210&gt;$I$1,"",INDEX('근조 화환'!$B$2:$B$501,MATCH(210,'근조 화환'!$G$2:$G$501,0))&amp;"")</f>
        <v/>
      </c>
      <c r="I213" s="16">
        <f>IF(210&gt;$I$1,"",INDEX('근조 화환'!$C$2:$C$501,MATCH(210,'근조 화환'!$G$2:$G$501,0))&amp;"")</f>
        <v/>
      </c>
      <c r="J213" s="16">
        <f>IF(210&gt;$I$1,"",INDEX('근조 화환'!$D$2:$D$501,MATCH(210,'근조 화환'!$G$2:$G$501,0))&amp;"")</f>
        <v/>
      </c>
      <c r="K213" s="16">
        <f>IF(210&gt;$I$1,"",INDEX('근조 화환'!$E$2:$E$501,MATCH(210,'근조 화환'!$G$2:$G$501,0))&amp;"")</f>
        <v/>
      </c>
    </row>
    <row r="214">
      <c r="A214" s="16">
        <f>IF(211&lt;=$F$1,211,"")</f>
        <v/>
      </c>
      <c r="B214" s="16">
        <f>IF($A214="","",INDEX('부의금 입력'!$B$2:$B$1001,MATCH($A214,'부의금 입력'!$H$2:$H$1001,0))&amp;"")</f>
        <v/>
      </c>
      <c r="C214" s="18">
        <f>IF($A214="","",INDEX('부의금 입력'!$C$2:$C$1001,MATCH($A214,'부의금 입력'!$H$2:$H$1001,0)))</f>
        <v/>
      </c>
      <c r="D214" s="16">
        <f>IF($A214="","",INDEX('부의금 입력'!$D$2:$D$1001,MATCH($A214,'부의금 입력'!$H$2:$H$1001,0))&amp;"")</f>
        <v/>
      </c>
      <c r="E214" s="16">
        <f>IF($A214="","",INDEX('부의금 입력'!$E$2:$E$1001,MATCH($A214,'부의금 입력'!$H$2:$H$1001,0))&amp;"")</f>
        <v/>
      </c>
      <c r="H214" s="16">
        <f>IF(211&gt;$I$1,"",INDEX('근조 화환'!$B$2:$B$501,MATCH(211,'근조 화환'!$G$2:$G$501,0))&amp;"")</f>
        <v/>
      </c>
      <c r="I214" s="16">
        <f>IF(211&gt;$I$1,"",INDEX('근조 화환'!$C$2:$C$501,MATCH(211,'근조 화환'!$G$2:$G$501,0))&amp;"")</f>
        <v/>
      </c>
      <c r="J214" s="16">
        <f>IF(211&gt;$I$1,"",INDEX('근조 화환'!$D$2:$D$501,MATCH(211,'근조 화환'!$G$2:$G$501,0))&amp;"")</f>
        <v/>
      </c>
      <c r="K214" s="16">
        <f>IF(211&gt;$I$1,"",INDEX('근조 화환'!$E$2:$E$501,MATCH(211,'근조 화환'!$G$2:$G$501,0))&amp;"")</f>
        <v/>
      </c>
    </row>
    <row r="215">
      <c r="A215" s="16">
        <f>IF(212&lt;=$F$1,212,"")</f>
        <v/>
      </c>
      <c r="B215" s="16">
        <f>IF($A215="","",INDEX('부의금 입력'!$B$2:$B$1001,MATCH($A215,'부의금 입력'!$H$2:$H$1001,0))&amp;"")</f>
        <v/>
      </c>
      <c r="C215" s="18">
        <f>IF($A215="","",INDEX('부의금 입력'!$C$2:$C$1001,MATCH($A215,'부의금 입력'!$H$2:$H$1001,0)))</f>
        <v/>
      </c>
      <c r="D215" s="16">
        <f>IF($A215="","",INDEX('부의금 입력'!$D$2:$D$1001,MATCH($A215,'부의금 입력'!$H$2:$H$1001,0))&amp;"")</f>
        <v/>
      </c>
      <c r="E215" s="16">
        <f>IF($A215="","",INDEX('부의금 입력'!$E$2:$E$1001,MATCH($A215,'부의금 입력'!$H$2:$H$1001,0))&amp;"")</f>
        <v/>
      </c>
      <c r="H215" s="16">
        <f>IF(212&gt;$I$1,"",INDEX('근조 화환'!$B$2:$B$501,MATCH(212,'근조 화환'!$G$2:$G$501,0))&amp;"")</f>
        <v/>
      </c>
      <c r="I215" s="16">
        <f>IF(212&gt;$I$1,"",INDEX('근조 화환'!$C$2:$C$501,MATCH(212,'근조 화환'!$G$2:$G$501,0))&amp;"")</f>
        <v/>
      </c>
      <c r="J215" s="16">
        <f>IF(212&gt;$I$1,"",INDEX('근조 화환'!$D$2:$D$501,MATCH(212,'근조 화환'!$G$2:$G$501,0))&amp;"")</f>
        <v/>
      </c>
      <c r="K215" s="16">
        <f>IF(212&gt;$I$1,"",INDEX('근조 화환'!$E$2:$E$501,MATCH(212,'근조 화환'!$G$2:$G$501,0))&amp;"")</f>
        <v/>
      </c>
    </row>
    <row r="216">
      <c r="A216" s="16">
        <f>IF(213&lt;=$F$1,213,"")</f>
        <v/>
      </c>
      <c r="B216" s="16">
        <f>IF($A216="","",INDEX('부의금 입력'!$B$2:$B$1001,MATCH($A216,'부의금 입력'!$H$2:$H$1001,0))&amp;"")</f>
        <v/>
      </c>
      <c r="C216" s="18">
        <f>IF($A216="","",INDEX('부의금 입력'!$C$2:$C$1001,MATCH($A216,'부의금 입력'!$H$2:$H$1001,0)))</f>
        <v/>
      </c>
      <c r="D216" s="16">
        <f>IF($A216="","",INDEX('부의금 입력'!$D$2:$D$1001,MATCH($A216,'부의금 입력'!$H$2:$H$1001,0))&amp;"")</f>
        <v/>
      </c>
      <c r="E216" s="16">
        <f>IF($A216="","",INDEX('부의금 입력'!$E$2:$E$1001,MATCH($A216,'부의금 입력'!$H$2:$H$1001,0))&amp;"")</f>
        <v/>
      </c>
      <c r="H216" s="16">
        <f>IF(213&gt;$I$1,"",INDEX('근조 화환'!$B$2:$B$501,MATCH(213,'근조 화환'!$G$2:$G$501,0))&amp;"")</f>
        <v/>
      </c>
      <c r="I216" s="16">
        <f>IF(213&gt;$I$1,"",INDEX('근조 화환'!$C$2:$C$501,MATCH(213,'근조 화환'!$G$2:$G$501,0))&amp;"")</f>
        <v/>
      </c>
      <c r="J216" s="16">
        <f>IF(213&gt;$I$1,"",INDEX('근조 화환'!$D$2:$D$501,MATCH(213,'근조 화환'!$G$2:$G$501,0))&amp;"")</f>
        <v/>
      </c>
      <c r="K216" s="16">
        <f>IF(213&gt;$I$1,"",INDEX('근조 화환'!$E$2:$E$501,MATCH(213,'근조 화환'!$G$2:$G$501,0))&amp;"")</f>
        <v/>
      </c>
    </row>
    <row r="217">
      <c r="A217" s="16">
        <f>IF(214&lt;=$F$1,214,"")</f>
        <v/>
      </c>
      <c r="B217" s="16">
        <f>IF($A217="","",INDEX('부의금 입력'!$B$2:$B$1001,MATCH($A217,'부의금 입력'!$H$2:$H$1001,0))&amp;"")</f>
        <v/>
      </c>
      <c r="C217" s="18">
        <f>IF($A217="","",INDEX('부의금 입력'!$C$2:$C$1001,MATCH($A217,'부의금 입력'!$H$2:$H$1001,0)))</f>
        <v/>
      </c>
      <c r="D217" s="16">
        <f>IF($A217="","",INDEX('부의금 입력'!$D$2:$D$1001,MATCH($A217,'부의금 입력'!$H$2:$H$1001,0))&amp;"")</f>
        <v/>
      </c>
      <c r="E217" s="16">
        <f>IF($A217="","",INDEX('부의금 입력'!$E$2:$E$1001,MATCH($A217,'부의금 입력'!$H$2:$H$1001,0))&amp;"")</f>
        <v/>
      </c>
      <c r="H217" s="16">
        <f>IF(214&gt;$I$1,"",INDEX('근조 화환'!$B$2:$B$501,MATCH(214,'근조 화환'!$G$2:$G$501,0))&amp;"")</f>
        <v/>
      </c>
      <c r="I217" s="16">
        <f>IF(214&gt;$I$1,"",INDEX('근조 화환'!$C$2:$C$501,MATCH(214,'근조 화환'!$G$2:$G$501,0))&amp;"")</f>
        <v/>
      </c>
      <c r="J217" s="16">
        <f>IF(214&gt;$I$1,"",INDEX('근조 화환'!$D$2:$D$501,MATCH(214,'근조 화환'!$G$2:$G$501,0))&amp;"")</f>
        <v/>
      </c>
      <c r="K217" s="16">
        <f>IF(214&gt;$I$1,"",INDEX('근조 화환'!$E$2:$E$501,MATCH(214,'근조 화환'!$G$2:$G$501,0))&amp;"")</f>
        <v/>
      </c>
    </row>
    <row r="218">
      <c r="A218" s="16">
        <f>IF(215&lt;=$F$1,215,"")</f>
        <v/>
      </c>
      <c r="B218" s="16">
        <f>IF($A218="","",INDEX('부의금 입력'!$B$2:$B$1001,MATCH($A218,'부의금 입력'!$H$2:$H$1001,0))&amp;"")</f>
        <v/>
      </c>
      <c r="C218" s="18">
        <f>IF($A218="","",INDEX('부의금 입력'!$C$2:$C$1001,MATCH($A218,'부의금 입력'!$H$2:$H$1001,0)))</f>
        <v/>
      </c>
      <c r="D218" s="16">
        <f>IF($A218="","",INDEX('부의금 입력'!$D$2:$D$1001,MATCH($A218,'부의금 입력'!$H$2:$H$1001,0))&amp;"")</f>
        <v/>
      </c>
      <c r="E218" s="16">
        <f>IF($A218="","",INDEX('부의금 입력'!$E$2:$E$1001,MATCH($A218,'부의금 입력'!$H$2:$H$1001,0))&amp;"")</f>
        <v/>
      </c>
      <c r="H218" s="16">
        <f>IF(215&gt;$I$1,"",INDEX('근조 화환'!$B$2:$B$501,MATCH(215,'근조 화환'!$G$2:$G$501,0))&amp;"")</f>
        <v/>
      </c>
      <c r="I218" s="16">
        <f>IF(215&gt;$I$1,"",INDEX('근조 화환'!$C$2:$C$501,MATCH(215,'근조 화환'!$G$2:$G$501,0))&amp;"")</f>
        <v/>
      </c>
      <c r="J218" s="16">
        <f>IF(215&gt;$I$1,"",INDEX('근조 화환'!$D$2:$D$501,MATCH(215,'근조 화환'!$G$2:$G$501,0))&amp;"")</f>
        <v/>
      </c>
      <c r="K218" s="16">
        <f>IF(215&gt;$I$1,"",INDEX('근조 화환'!$E$2:$E$501,MATCH(215,'근조 화환'!$G$2:$G$501,0))&amp;"")</f>
        <v/>
      </c>
    </row>
    <row r="219">
      <c r="A219" s="16">
        <f>IF(216&lt;=$F$1,216,"")</f>
        <v/>
      </c>
      <c r="B219" s="16">
        <f>IF($A219="","",INDEX('부의금 입력'!$B$2:$B$1001,MATCH($A219,'부의금 입력'!$H$2:$H$1001,0))&amp;"")</f>
        <v/>
      </c>
      <c r="C219" s="18">
        <f>IF($A219="","",INDEX('부의금 입력'!$C$2:$C$1001,MATCH($A219,'부의금 입력'!$H$2:$H$1001,0)))</f>
        <v/>
      </c>
      <c r="D219" s="16">
        <f>IF($A219="","",INDEX('부의금 입력'!$D$2:$D$1001,MATCH($A219,'부의금 입력'!$H$2:$H$1001,0))&amp;"")</f>
        <v/>
      </c>
      <c r="E219" s="16">
        <f>IF($A219="","",INDEX('부의금 입력'!$E$2:$E$1001,MATCH($A219,'부의금 입력'!$H$2:$H$1001,0))&amp;"")</f>
        <v/>
      </c>
      <c r="H219" s="16">
        <f>IF(216&gt;$I$1,"",INDEX('근조 화환'!$B$2:$B$501,MATCH(216,'근조 화환'!$G$2:$G$501,0))&amp;"")</f>
        <v/>
      </c>
      <c r="I219" s="16">
        <f>IF(216&gt;$I$1,"",INDEX('근조 화환'!$C$2:$C$501,MATCH(216,'근조 화환'!$G$2:$G$501,0))&amp;"")</f>
        <v/>
      </c>
      <c r="J219" s="16">
        <f>IF(216&gt;$I$1,"",INDEX('근조 화환'!$D$2:$D$501,MATCH(216,'근조 화환'!$G$2:$G$501,0))&amp;"")</f>
        <v/>
      </c>
      <c r="K219" s="16">
        <f>IF(216&gt;$I$1,"",INDEX('근조 화환'!$E$2:$E$501,MATCH(216,'근조 화환'!$G$2:$G$501,0))&amp;"")</f>
        <v/>
      </c>
    </row>
    <row r="220">
      <c r="A220" s="16">
        <f>IF(217&lt;=$F$1,217,"")</f>
        <v/>
      </c>
      <c r="B220" s="16">
        <f>IF($A220="","",INDEX('부의금 입력'!$B$2:$B$1001,MATCH($A220,'부의금 입력'!$H$2:$H$1001,0))&amp;"")</f>
        <v/>
      </c>
      <c r="C220" s="18">
        <f>IF($A220="","",INDEX('부의금 입력'!$C$2:$C$1001,MATCH($A220,'부의금 입력'!$H$2:$H$1001,0)))</f>
        <v/>
      </c>
      <c r="D220" s="16">
        <f>IF($A220="","",INDEX('부의금 입력'!$D$2:$D$1001,MATCH($A220,'부의금 입력'!$H$2:$H$1001,0))&amp;"")</f>
        <v/>
      </c>
      <c r="E220" s="16">
        <f>IF($A220="","",INDEX('부의금 입력'!$E$2:$E$1001,MATCH($A220,'부의금 입력'!$H$2:$H$1001,0))&amp;"")</f>
        <v/>
      </c>
      <c r="H220" s="16">
        <f>IF(217&gt;$I$1,"",INDEX('근조 화환'!$B$2:$B$501,MATCH(217,'근조 화환'!$G$2:$G$501,0))&amp;"")</f>
        <v/>
      </c>
      <c r="I220" s="16">
        <f>IF(217&gt;$I$1,"",INDEX('근조 화환'!$C$2:$C$501,MATCH(217,'근조 화환'!$G$2:$G$501,0))&amp;"")</f>
        <v/>
      </c>
      <c r="J220" s="16">
        <f>IF(217&gt;$I$1,"",INDEX('근조 화환'!$D$2:$D$501,MATCH(217,'근조 화환'!$G$2:$G$501,0))&amp;"")</f>
        <v/>
      </c>
      <c r="K220" s="16">
        <f>IF(217&gt;$I$1,"",INDEX('근조 화환'!$E$2:$E$501,MATCH(217,'근조 화환'!$G$2:$G$501,0))&amp;"")</f>
        <v/>
      </c>
    </row>
    <row r="221">
      <c r="A221" s="16">
        <f>IF(218&lt;=$F$1,218,"")</f>
        <v/>
      </c>
      <c r="B221" s="16">
        <f>IF($A221="","",INDEX('부의금 입력'!$B$2:$B$1001,MATCH($A221,'부의금 입력'!$H$2:$H$1001,0))&amp;"")</f>
        <v/>
      </c>
      <c r="C221" s="18">
        <f>IF($A221="","",INDEX('부의금 입력'!$C$2:$C$1001,MATCH($A221,'부의금 입력'!$H$2:$H$1001,0)))</f>
        <v/>
      </c>
      <c r="D221" s="16">
        <f>IF($A221="","",INDEX('부의금 입력'!$D$2:$D$1001,MATCH($A221,'부의금 입력'!$H$2:$H$1001,0))&amp;"")</f>
        <v/>
      </c>
      <c r="E221" s="16">
        <f>IF($A221="","",INDEX('부의금 입력'!$E$2:$E$1001,MATCH($A221,'부의금 입력'!$H$2:$H$1001,0))&amp;"")</f>
        <v/>
      </c>
      <c r="H221" s="16">
        <f>IF(218&gt;$I$1,"",INDEX('근조 화환'!$B$2:$B$501,MATCH(218,'근조 화환'!$G$2:$G$501,0))&amp;"")</f>
        <v/>
      </c>
      <c r="I221" s="16">
        <f>IF(218&gt;$I$1,"",INDEX('근조 화환'!$C$2:$C$501,MATCH(218,'근조 화환'!$G$2:$G$501,0))&amp;"")</f>
        <v/>
      </c>
      <c r="J221" s="16">
        <f>IF(218&gt;$I$1,"",INDEX('근조 화환'!$D$2:$D$501,MATCH(218,'근조 화환'!$G$2:$G$501,0))&amp;"")</f>
        <v/>
      </c>
      <c r="K221" s="16">
        <f>IF(218&gt;$I$1,"",INDEX('근조 화환'!$E$2:$E$501,MATCH(218,'근조 화환'!$G$2:$G$501,0))&amp;"")</f>
        <v/>
      </c>
    </row>
    <row r="222">
      <c r="A222" s="16">
        <f>IF(219&lt;=$F$1,219,"")</f>
        <v/>
      </c>
      <c r="B222" s="16">
        <f>IF($A222="","",INDEX('부의금 입력'!$B$2:$B$1001,MATCH($A222,'부의금 입력'!$H$2:$H$1001,0))&amp;"")</f>
        <v/>
      </c>
      <c r="C222" s="18">
        <f>IF($A222="","",INDEX('부의금 입력'!$C$2:$C$1001,MATCH($A222,'부의금 입력'!$H$2:$H$1001,0)))</f>
        <v/>
      </c>
      <c r="D222" s="16">
        <f>IF($A222="","",INDEX('부의금 입력'!$D$2:$D$1001,MATCH($A222,'부의금 입력'!$H$2:$H$1001,0))&amp;"")</f>
        <v/>
      </c>
      <c r="E222" s="16">
        <f>IF($A222="","",INDEX('부의금 입력'!$E$2:$E$1001,MATCH($A222,'부의금 입력'!$H$2:$H$1001,0))&amp;"")</f>
        <v/>
      </c>
      <c r="H222" s="16">
        <f>IF(219&gt;$I$1,"",INDEX('근조 화환'!$B$2:$B$501,MATCH(219,'근조 화환'!$G$2:$G$501,0))&amp;"")</f>
        <v/>
      </c>
      <c r="I222" s="16">
        <f>IF(219&gt;$I$1,"",INDEX('근조 화환'!$C$2:$C$501,MATCH(219,'근조 화환'!$G$2:$G$501,0))&amp;"")</f>
        <v/>
      </c>
      <c r="J222" s="16">
        <f>IF(219&gt;$I$1,"",INDEX('근조 화환'!$D$2:$D$501,MATCH(219,'근조 화환'!$G$2:$G$501,0))&amp;"")</f>
        <v/>
      </c>
      <c r="K222" s="16">
        <f>IF(219&gt;$I$1,"",INDEX('근조 화환'!$E$2:$E$501,MATCH(219,'근조 화환'!$G$2:$G$501,0))&amp;"")</f>
        <v/>
      </c>
    </row>
    <row r="223">
      <c r="A223" s="16">
        <f>IF(220&lt;=$F$1,220,"")</f>
        <v/>
      </c>
      <c r="B223" s="16">
        <f>IF($A223="","",INDEX('부의금 입력'!$B$2:$B$1001,MATCH($A223,'부의금 입력'!$H$2:$H$1001,0))&amp;"")</f>
        <v/>
      </c>
      <c r="C223" s="18">
        <f>IF($A223="","",INDEX('부의금 입력'!$C$2:$C$1001,MATCH($A223,'부의금 입력'!$H$2:$H$1001,0)))</f>
        <v/>
      </c>
      <c r="D223" s="16">
        <f>IF($A223="","",INDEX('부의금 입력'!$D$2:$D$1001,MATCH($A223,'부의금 입력'!$H$2:$H$1001,0))&amp;"")</f>
        <v/>
      </c>
      <c r="E223" s="16">
        <f>IF($A223="","",INDEX('부의금 입력'!$E$2:$E$1001,MATCH($A223,'부의금 입력'!$H$2:$H$1001,0))&amp;"")</f>
        <v/>
      </c>
      <c r="H223" s="16">
        <f>IF(220&gt;$I$1,"",INDEX('근조 화환'!$B$2:$B$501,MATCH(220,'근조 화환'!$G$2:$G$501,0))&amp;"")</f>
        <v/>
      </c>
      <c r="I223" s="16">
        <f>IF(220&gt;$I$1,"",INDEX('근조 화환'!$C$2:$C$501,MATCH(220,'근조 화환'!$G$2:$G$501,0))&amp;"")</f>
        <v/>
      </c>
      <c r="J223" s="16">
        <f>IF(220&gt;$I$1,"",INDEX('근조 화환'!$D$2:$D$501,MATCH(220,'근조 화환'!$G$2:$G$501,0))&amp;"")</f>
        <v/>
      </c>
      <c r="K223" s="16">
        <f>IF(220&gt;$I$1,"",INDEX('근조 화환'!$E$2:$E$501,MATCH(220,'근조 화환'!$G$2:$G$501,0))&amp;"")</f>
        <v/>
      </c>
    </row>
    <row r="224">
      <c r="A224" s="16">
        <f>IF(221&lt;=$F$1,221,"")</f>
        <v/>
      </c>
      <c r="B224" s="16">
        <f>IF($A224="","",INDEX('부의금 입력'!$B$2:$B$1001,MATCH($A224,'부의금 입력'!$H$2:$H$1001,0))&amp;"")</f>
        <v/>
      </c>
      <c r="C224" s="18">
        <f>IF($A224="","",INDEX('부의금 입력'!$C$2:$C$1001,MATCH($A224,'부의금 입력'!$H$2:$H$1001,0)))</f>
        <v/>
      </c>
      <c r="D224" s="16">
        <f>IF($A224="","",INDEX('부의금 입력'!$D$2:$D$1001,MATCH($A224,'부의금 입력'!$H$2:$H$1001,0))&amp;"")</f>
        <v/>
      </c>
      <c r="E224" s="16">
        <f>IF($A224="","",INDEX('부의금 입력'!$E$2:$E$1001,MATCH($A224,'부의금 입력'!$H$2:$H$1001,0))&amp;"")</f>
        <v/>
      </c>
      <c r="H224" s="16">
        <f>IF(221&gt;$I$1,"",INDEX('근조 화환'!$B$2:$B$501,MATCH(221,'근조 화환'!$G$2:$G$501,0))&amp;"")</f>
        <v/>
      </c>
      <c r="I224" s="16">
        <f>IF(221&gt;$I$1,"",INDEX('근조 화환'!$C$2:$C$501,MATCH(221,'근조 화환'!$G$2:$G$501,0))&amp;"")</f>
        <v/>
      </c>
      <c r="J224" s="16">
        <f>IF(221&gt;$I$1,"",INDEX('근조 화환'!$D$2:$D$501,MATCH(221,'근조 화환'!$G$2:$G$501,0))&amp;"")</f>
        <v/>
      </c>
      <c r="K224" s="16">
        <f>IF(221&gt;$I$1,"",INDEX('근조 화환'!$E$2:$E$501,MATCH(221,'근조 화환'!$G$2:$G$501,0))&amp;"")</f>
        <v/>
      </c>
    </row>
    <row r="225">
      <c r="A225" s="16">
        <f>IF(222&lt;=$F$1,222,"")</f>
        <v/>
      </c>
      <c r="B225" s="16">
        <f>IF($A225="","",INDEX('부의금 입력'!$B$2:$B$1001,MATCH($A225,'부의금 입력'!$H$2:$H$1001,0))&amp;"")</f>
        <v/>
      </c>
      <c r="C225" s="18">
        <f>IF($A225="","",INDEX('부의금 입력'!$C$2:$C$1001,MATCH($A225,'부의금 입력'!$H$2:$H$1001,0)))</f>
        <v/>
      </c>
      <c r="D225" s="16">
        <f>IF($A225="","",INDEX('부의금 입력'!$D$2:$D$1001,MATCH($A225,'부의금 입력'!$H$2:$H$1001,0))&amp;"")</f>
        <v/>
      </c>
      <c r="E225" s="16">
        <f>IF($A225="","",INDEX('부의금 입력'!$E$2:$E$1001,MATCH($A225,'부의금 입력'!$H$2:$H$1001,0))&amp;"")</f>
        <v/>
      </c>
      <c r="H225" s="16">
        <f>IF(222&gt;$I$1,"",INDEX('근조 화환'!$B$2:$B$501,MATCH(222,'근조 화환'!$G$2:$G$501,0))&amp;"")</f>
        <v/>
      </c>
      <c r="I225" s="16">
        <f>IF(222&gt;$I$1,"",INDEX('근조 화환'!$C$2:$C$501,MATCH(222,'근조 화환'!$G$2:$G$501,0))&amp;"")</f>
        <v/>
      </c>
      <c r="J225" s="16">
        <f>IF(222&gt;$I$1,"",INDEX('근조 화환'!$D$2:$D$501,MATCH(222,'근조 화환'!$G$2:$G$501,0))&amp;"")</f>
        <v/>
      </c>
      <c r="K225" s="16">
        <f>IF(222&gt;$I$1,"",INDEX('근조 화환'!$E$2:$E$501,MATCH(222,'근조 화환'!$G$2:$G$501,0))&amp;"")</f>
        <v/>
      </c>
    </row>
    <row r="226">
      <c r="A226" s="16">
        <f>IF(223&lt;=$F$1,223,"")</f>
        <v/>
      </c>
      <c r="B226" s="16">
        <f>IF($A226="","",INDEX('부의금 입력'!$B$2:$B$1001,MATCH($A226,'부의금 입력'!$H$2:$H$1001,0))&amp;"")</f>
        <v/>
      </c>
      <c r="C226" s="18">
        <f>IF($A226="","",INDEX('부의금 입력'!$C$2:$C$1001,MATCH($A226,'부의금 입력'!$H$2:$H$1001,0)))</f>
        <v/>
      </c>
      <c r="D226" s="16">
        <f>IF($A226="","",INDEX('부의금 입력'!$D$2:$D$1001,MATCH($A226,'부의금 입력'!$H$2:$H$1001,0))&amp;"")</f>
        <v/>
      </c>
      <c r="E226" s="16">
        <f>IF($A226="","",INDEX('부의금 입력'!$E$2:$E$1001,MATCH($A226,'부의금 입력'!$H$2:$H$1001,0))&amp;"")</f>
        <v/>
      </c>
      <c r="H226" s="16">
        <f>IF(223&gt;$I$1,"",INDEX('근조 화환'!$B$2:$B$501,MATCH(223,'근조 화환'!$G$2:$G$501,0))&amp;"")</f>
        <v/>
      </c>
      <c r="I226" s="16">
        <f>IF(223&gt;$I$1,"",INDEX('근조 화환'!$C$2:$C$501,MATCH(223,'근조 화환'!$G$2:$G$501,0))&amp;"")</f>
        <v/>
      </c>
      <c r="J226" s="16">
        <f>IF(223&gt;$I$1,"",INDEX('근조 화환'!$D$2:$D$501,MATCH(223,'근조 화환'!$G$2:$G$501,0))&amp;"")</f>
        <v/>
      </c>
      <c r="K226" s="16">
        <f>IF(223&gt;$I$1,"",INDEX('근조 화환'!$E$2:$E$501,MATCH(223,'근조 화환'!$G$2:$G$501,0))&amp;"")</f>
        <v/>
      </c>
    </row>
    <row r="227">
      <c r="A227" s="16">
        <f>IF(224&lt;=$F$1,224,"")</f>
        <v/>
      </c>
      <c r="B227" s="16">
        <f>IF($A227="","",INDEX('부의금 입력'!$B$2:$B$1001,MATCH($A227,'부의금 입력'!$H$2:$H$1001,0))&amp;"")</f>
        <v/>
      </c>
      <c r="C227" s="18">
        <f>IF($A227="","",INDEX('부의금 입력'!$C$2:$C$1001,MATCH($A227,'부의금 입력'!$H$2:$H$1001,0)))</f>
        <v/>
      </c>
      <c r="D227" s="16">
        <f>IF($A227="","",INDEX('부의금 입력'!$D$2:$D$1001,MATCH($A227,'부의금 입력'!$H$2:$H$1001,0))&amp;"")</f>
        <v/>
      </c>
      <c r="E227" s="16">
        <f>IF($A227="","",INDEX('부의금 입력'!$E$2:$E$1001,MATCH($A227,'부의금 입력'!$H$2:$H$1001,0))&amp;"")</f>
        <v/>
      </c>
      <c r="H227" s="16">
        <f>IF(224&gt;$I$1,"",INDEX('근조 화환'!$B$2:$B$501,MATCH(224,'근조 화환'!$G$2:$G$501,0))&amp;"")</f>
        <v/>
      </c>
      <c r="I227" s="16">
        <f>IF(224&gt;$I$1,"",INDEX('근조 화환'!$C$2:$C$501,MATCH(224,'근조 화환'!$G$2:$G$501,0))&amp;"")</f>
        <v/>
      </c>
      <c r="J227" s="16">
        <f>IF(224&gt;$I$1,"",INDEX('근조 화환'!$D$2:$D$501,MATCH(224,'근조 화환'!$G$2:$G$501,0))&amp;"")</f>
        <v/>
      </c>
      <c r="K227" s="16">
        <f>IF(224&gt;$I$1,"",INDEX('근조 화환'!$E$2:$E$501,MATCH(224,'근조 화환'!$G$2:$G$501,0))&amp;"")</f>
        <v/>
      </c>
    </row>
    <row r="228">
      <c r="A228" s="16">
        <f>IF(225&lt;=$F$1,225,"")</f>
        <v/>
      </c>
      <c r="B228" s="16">
        <f>IF($A228="","",INDEX('부의금 입력'!$B$2:$B$1001,MATCH($A228,'부의금 입력'!$H$2:$H$1001,0))&amp;"")</f>
        <v/>
      </c>
      <c r="C228" s="18">
        <f>IF($A228="","",INDEX('부의금 입력'!$C$2:$C$1001,MATCH($A228,'부의금 입력'!$H$2:$H$1001,0)))</f>
        <v/>
      </c>
      <c r="D228" s="16">
        <f>IF($A228="","",INDEX('부의금 입력'!$D$2:$D$1001,MATCH($A228,'부의금 입력'!$H$2:$H$1001,0))&amp;"")</f>
        <v/>
      </c>
      <c r="E228" s="16">
        <f>IF($A228="","",INDEX('부의금 입력'!$E$2:$E$1001,MATCH($A228,'부의금 입력'!$H$2:$H$1001,0))&amp;"")</f>
        <v/>
      </c>
      <c r="H228" s="16">
        <f>IF(225&gt;$I$1,"",INDEX('근조 화환'!$B$2:$B$501,MATCH(225,'근조 화환'!$G$2:$G$501,0))&amp;"")</f>
        <v/>
      </c>
      <c r="I228" s="16">
        <f>IF(225&gt;$I$1,"",INDEX('근조 화환'!$C$2:$C$501,MATCH(225,'근조 화환'!$G$2:$G$501,0))&amp;"")</f>
        <v/>
      </c>
      <c r="J228" s="16">
        <f>IF(225&gt;$I$1,"",INDEX('근조 화환'!$D$2:$D$501,MATCH(225,'근조 화환'!$G$2:$G$501,0))&amp;"")</f>
        <v/>
      </c>
      <c r="K228" s="16">
        <f>IF(225&gt;$I$1,"",INDEX('근조 화환'!$E$2:$E$501,MATCH(225,'근조 화환'!$G$2:$G$501,0))&amp;"")</f>
        <v/>
      </c>
    </row>
    <row r="229">
      <c r="A229" s="16">
        <f>IF(226&lt;=$F$1,226,"")</f>
        <v/>
      </c>
      <c r="B229" s="16">
        <f>IF($A229="","",INDEX('부의금 입력'!$B$2:$B$1001,MATCH($A229,'부의금 입력'!$H$2:$H$1001,0))&amp;"")</f>
        <v/>
      </c>
      <c r="C229" s="18">
        <f>IF($A229="","",INDEX('부의금 입력'!$C$2:$C$1001,MATCH($A229,'부의금 입력'!$H$2:$H$1001,0)))</f>
        <v/>
      </c>
      <c r="D229" s="16">
        <f>IF($A229="","",INDEX('부의금 입력'!$D$2:$D$1001,MATCH($A229,'부의금 입력'!$H$2:$H$1001,0))&amp;"")</f>
        <v/>
      </c>
      <c r="E229" s="16">
        <f>IF($A229="","",INDEX('부의금 입력'!$E$2:$E$1001,MATCH($A229,'부의금 입력'!$H$2:$H$1001,0))&amp;"")</f>
        <v/>
      </c>
      <c r="H229" s="16">
        <f>IF(226&gt;$I$1,"",INDEX('근조 화환'!$B$2:$B$501,MATCH(226,'근조 화환'!$G$2:$G$501,0))&amp;"")</f>
        <v/>
      </c>
      <c r="I229" s="16">
        <f>IF(226&gt;$I$1,"",INDEX('근조 화환'!$C$2:$C$501,MATCH(226,'근조 화환'!$G$2:$G$501,0))&amp;"")</f>
        <v/>
      </c>
      <c r="J229" s="16">
        <f>IF(226&gt;$I$1,"",INDEX('근조 화환'!$D$2:$D$501,MATCH(226,'근조 화환'!$G$2:$G$501,0))&amp;"")</f>
        <v/>
      </c>
      <c r="K229" s="16">
        <f>IF(226&gt;$I$1,"",INDEX('근조 화환'!$E$2:$E$501,MATCH(226,'근조 화환'!$G$2:$G$501,0))&amp;"")</f>
        <v/>
      </c>
    </row>
    <row r="230">
      <c r="A230" s="16">
        <f>IF(227&lt;=$F$1,227,"")</f>
        <v/>
      </c>
      <c r="B230" s="16">
        <f>IF($A230="","",INDEX('부의금 입력'!$B$2:$B$1001,MATCH($A230,'부의금 입력'!$H$2:$H$1001,0))&amp;"")</f>
        <v/>
      </c>
      <c r="C230" s="18">
        <f>IF($A230="","",INDEX('부의금 입력'!$C$2:$C$1001,MATCH($A230,'부의금 입력'!$H$2:$H$1001,0)))</f>
        <v/>
      </c>
      <c r="D230" s="16">
        <f>IF($A230="","",INDEX('부의금 입력'!$D$2:$D$1001,MATCH($A230,'부의금 입력'!$H$2:$H$1001,0))&amp;"")</f>
        <v/>
      </c>
      <c r="E230" s="16">
        <f>IF($A230="","",INDEX('부의금 입력'!$E$2:$E$1001,MATCH($A230,'부의금 입력'!$H$2:$H$1001,0))&amp;"")</f>
        <v/>
      </c>
      <c r="H230" s="16">
        <f>IF(227&gt;$I$1,"",INDEX('근조 화환'!$B$2:$B$501,MATCH(227,'근조 화환'!$G$2:$G$501,0))&amp;"")</f>
        <v/>
      </c>
      <c r="I230" s="16">
        <f>IF(227&gt;$I$1,"",INDEX('근조 화환'!$C$2:$C$501,MATCH(227,'근조 화환'!$G$2:$G$501,0))&amp;"")</f>
        <v/>
      </c>
      <c r="J230" s="16">
        <f>IF(227&gt;$I$1,"",INDEX('근조 화환'!$D$2:$D$501,MATCH(227,'근조 화환'!$G$2:$G$501,0))&amp;"")</f>
        <v/>
      </c>
      <c r="K230" s="16">
        <f>IF(227&gt;$I$1,"",INDEX('근조 화환'!$E$2:$E$501,MATCH(227,'근조 화환'!$G$2:$G$501,0))&amp;"")</f>
        <v/>
      </c>
    </row>
    <row r="231">
      <c r="A231" s="16">
        <f>IF(228&lt;=$F$1,228,"")</f>
        <v/>
      </c>
      <c r="B231" s="16">
        <f>IF($A231="","",INDEX('부의금 입력'!$B$2:$B$1001,MATCH($A231,'부의금 입력'!$H$2:$H$1001,0))&amp;"")</f>
        <v/>
      </c>
      <c r="C231" s="18">
        <f>IF($A231="","",INDEX('부의금 입력'!$C$2:$C$1001,MATCH($A231,'부의금 입력'!$H$2:$H$1001,0)))</f>
        <v/>
      </c>
      <c r="D231" s="16">
        <f>IF($A231="","",INDEX('부의금 입력'!$D$2:$D$1001,MATCH($A231,'부의금 입력'!$H$2:$H$1001,0))&amp;"")</f>
        <v/>
      </c>
      <c r="E231" s="16">
        <f>IF($A231="","",INDEX('부의금 입력'!$E$2:$E$1001,MATCH($A231,'부의금 입력'!$H$2:$H$1001,0))&amp;"")</f>
        <v/>
      </c>
      <c r="H231" s="16">
        <f>IF(228&gt;$I$1,"",INDEX('근조 화환'!$B$2:$B$501,MATCH(228,'근조 화환'!$G$2:$G$501,0))&amp;"")</f>
        <v/>
      </c>
      <c r="I231" s="16">
        <f>IF(228&gt;$I$1,"",INDEX('근조 화환'!$C$2:$C$501,MATCH(228,'근조 화환'!$G$2:$G$501,0))&amp;"")</f>
        <v/>
      </c>
      <c r="J231" s="16">
        <f>IF(228&gt;$I$1,"",INDEX('근조 화환'!$D$2:$D$501,MATCH(228,'근조 화환'!$G$2:$G$501,0))&amp;"")</f>
        <v/>
      </c>
      <c r="K231" s="16">
        <f>IF(228&gt;$I$1,"",INDEX('근조 화환'!$E$2:$E$501,MATCH(228,'근조 화환'!$G$2:$G$501,0))&amp;"")</f>
        <v/>
      </c>
    </row>
    <row r="232">
      <c r="A232" s="16">
        <f>IF(229&lt;=$F$1,229,"")</f>
        <v/>
      </c>
      <c r="B232" s="16">
        <f>IF($A232="","",INDEX('부의금 입력'!$B$2:$B$1001,MATCH($A232,'부의금 입력'!$H$2:$H$1001,0))&amp;"")</f>
        <v/>
      </c>
      <c r="C232" s="18">
        <f>IF($A232="","",INDEX('부의금 입력'!$C$2:$C$1001,MATCH($A232,'부의금 입력'!$H$2:$H$1001,0)))</f>
        <v/>
      </c>
      <c r="D232" s="16">
        <f>IF($A232="","",INDEX('부의금 입력'!$D$2:$D$1001,MATCH($A232,'부의금 입력'!$H$2:$H$1001,0))&amp;"")</f>
        <v/>
      </c>
      <c r="E232" s="16">
        <f>IF($A232="","",INDEX('부의금 입력'!$E$2:$E$1001,MATCH($A232,'부의금 입력'!$H$2:$H$1001,0))&amp;"")</f>
        <v/>
      </c>
      <c r="H232" s="16">
        <f>IF(229&gt;$I$1,"",INDEX('근조 화환'!$B$2:$B$501,MATCH(229,'근조 화환'!$G$2:$G$501,0))&amp;"")</f>
        <v/>
      </c>
      <c r="I232" s="16">
        <f>IF(229&gt;$I$1,"",INDEX('근조 화환'!$C$2:$C$501,MATCH(229,'근조 화환'!$G$2:$G$501,0))&amp;"")</f>
        <v/>
      </c>
      <c r="J232" s="16">
        <f>IF(229&gt;$I$1,"",INDEX('근조 화환'!$D$2:$D$501,MATCH(229,'근조 화환'!$G$2:$G$501,0))&amp;"")</f>
        <v/>
      </c>
      <c r="K232" s="16">
        <f>IF(229&gt;$I$1,"",INDEX('근조 화환'!$E$2:$E$501,MATCH(229,'근조 화환'!$G$2:$G$501,0))&amp;"")</f>
        <v/>
      </c>
    </row>
    <row r="233">
      <c r="A233" s="16">
        <f>IF(230&lt;=$F$1,230,"")</f>
        <v/>
      </c>
      <c r="B233" s="16">
        <f>IF($A233="","",INDEX('부의금 입력'!$B$2:$B$1001,MATCH($A233,'부의금 입력'!$H$2:$H$1001,0))&amp;"")</f>
        <v/>
      </c>
      <c r="C233" s="18">
        <f>IF($A233="","",INDEX('부의금 입력'!$C$2:$C$1001,MATCH($A233,'부의금 입력'!$H$2:$H$1001,0)))</f>
        <v/>
      </c>
      <c r="D233" s="16">
        <f>IF($A233="","",INDEX('부의금 입력'!$D$2:$D$1001,MATCH($A233,'부의금 입력'!$H$2:$H$1001,0))&amp;"")</f>
        <v/>
      </c>
      <c r="E233" s="16">
        <f>IF($A233="","",INDEX('부의금 입력'!$E$2:$E$1001,MATCH($A233,'부의금 입력'!$H$2:$H$1001,0))&amp;"")</f>
        <v/>
      </c>
      <c r="H233" s="16">
        <f>IF(230&gt;$I$1,"",INDEX('근조 화환'!$B$2:$B$501,MATCH(230,'근조 화환'!$G$2:$G$501,0))&amp;"")</f>
        <v/>
      </c>
      <c r="I233" s="16">
        <f>IF(230&gt;$I$1,"",INDEX('근조 화환'!$C$2:$C$501,MATCH(230,'근조 화환'!$G$2:$G$501,0))&amp;"")</f>
        <v/>
      </c>
      <c r="J233" s="16">
        <f>IF(230&gt;$I$1,"",INDEX('근조 화환'!$D$2:$D$501,MATCH(230,'근조 화환'!$G$2:$G$501,0))&amp;"")</f>
        <v/>
      </c>
      <c r="K233" s="16">
        <f>IF(230&gt;$I$1,"",INDEX('근조 화환'!$E$2:$E$501,MATCH(230,'근조 화환'!$G$2:$G$501,0))&amp;"")</f>
        <v/>
      </c>
    </row>
    <row r="234">
      <c r="A234" s="16">
        <f>IF(231&lt;=$F$1,231,"")</f>
        <v/>
      </c>
      <c r="B234" s="16">
        <f>IF($A234="","",INDEX('부의금 입력'!$B$2:$B$1001,MATCH($A234,'부의금 입력'!$H$2:$H$1001,0))&amp;"")</f>
        <v/>
      </c>
      <c r="C234" s="18">
        <f>IF($A234="","",INDEX('부의금 입력'!$C$2:$C$1001,MATCH($A234,'부의금 입력'!$H$2:$H$1001,0)))</f>
        <v/>
      </c>
      <c r="D234" s="16">
        <f>IF($A234="","",INDEX('부의금 입력'!$D$2:$D$1001,MATCH($A234,'부의금 입력'!$H$2:$H$1001,0))&amp;"")</f>
        <v/>
      </c>
      <c r="E234" s="16">
        <f>IF($A234="","",INDEX('부의금 입력'!$E$2:$E$1001,MATCH($A234,'부의금 입력'!$H$2:$H$1001,0))&amp;"")</f>
        <v/>
      </c>
      <c r="H234" s="16">
        <f>IF(231&gt;$I$1,"",INDEX('근조 화환'!$B$2:$B$501,MATCH(231,'근조 화환'!$G$2:$G$501,0))&amp;"")</f>
        <v/>
      </c>
      <c r="I234" s="16">
        <f>IF(231&gt;$I$1,"",INDEX('근조 화환'!$C$2:$C$501,MATCH(231,'근조 화환'!$G$2:$G$501,0))&amp;"")</f>
        <v/>
      </c>
      <c r="J234" s="16">
        <f>IF(231&gt;$I$1,"",INDEX('근조 화환'!$D$2:$D$501,MATCH(231,'근조 화환'!$G$2:$G$501,0))&amp;"")</f>
        <v/>
      </c>
      <c r="K234" s="16">
        <f>IF(231&gt;$I$1,"",INDEX('근조 화환'!$E$2:$E$501,MATCH(231,'근조 화환'!$G$2:$G$501,0))&amp;"")</f>
        <v/>
      </c>
    </row>
    <row r="235">
      <c r="A235" s="16">
        <f>IF(232&lt;=$F$1,232,"")</f>
        <v/>
      </c>
      <c r="B235" s="16">
        <f>IF($A235="","",INDEX('부의금 입력'!$B$2:$B$1001,MATCH($A235,'부의금 입력'!$H$2:$H$1001,0))&amp;"")</f>
        <v/>
      </c>
      <c r="C235" s="18">
        <f>IF($A235="","",INDEX('부의금 입력'!$C$2:$C$1001,MATCH($A235,'부의금 입력'!$H$2:$H$1001,0)))</f>
        <v/>
      </c>
      <c r="D235" s="16">
        <f>IF($A235="","",INDEX('부의금 입력'!$D$2:$D$1001,MATCH($A235,'부의금 입력'!$H$2:$H$1001,0))&amp;"")</f>
        <v/>
      </c>
      <c r="E235" s="16">
        <f>IF($A235="","",INDEX('부의금 입력'!$E$2:$E$1001,MATCH($A235,'부의금 입력'!$H$2:$H$1001,0))&amp;"")</f>
        <v/>
      </c>
      <c r="H235" s="16">
        <f>IF(232&gt;$I$1,"",INDEX('근조 화환'!$B$2:$B$501,MATCH(232,'근조 화환'!$G$2:$G$501,0))&amp;"")</f>
        <v/>
      </c>
      <c r="I235" s="16">
        <f>IF(232&gt;$I$1,"",INDEX('근조 화환'!$C$2:$C$501,MATCH(232,'근조 화환'!$G$2:$G$501,0))&amp;"")</f>
        <v/>
      </c>
      <c r="J235" s="16">
        <f>IF(232&gt;$I$1,"",INDEX('근조 화환'!$D$2:$D$501,MATCH(232,'근조 화환'!$G$2:$G$501,0))&amp;"")</f>
        <v/>
      </c>
      <c r="K235" s="16">
        <f>IF(232&gt;$I$1,"",INDEX('근조 화환'!$E$2:$E$501,MATCH(232,'근조 화환'!$G$2:$G$501,0))&amp;"")</f>
        <v/>
      </c>
    </row>
    <row r="236">
      <c r="A236" s="16">
        <f>IF(233&lt;=$F$1,233,"")</f>
        <v/>
      </c>
      <c r="B236" s="16">
        <f>IF($A236="","",INDEX('부의금 입력'!$B$2:$B$1001,MATCH($A236,'부의금 입력'!$H$2:$H$1001,0))&amp;"")</f>
        <v/>
      </c>
      <c r="C236" s="18">
        <f>IF($A236="","",INDEX('부의금 입력'!$C$2:$C$1001,MATCH($A236,'부의금 입력'!$H$2:$H$1001,0)))</f>
        <v/>
      </c>
      <c r="D236" s="16">
        <f>IF($A236="","",INDEX('부의금 입력'!$D$2:$D$1001,MATCH($A236,'부의금 입력'!$H$2:$H$1001,0))&amp;"")</f>
        <v/>
      </c>
      <c r="E236" s="16">
        <f>IF($A236="","",INDEX('부의금 입력'!$E$2:$E$1001,MATCH($A236,'부의금 입력'!$H$2:$H$1001,0))&amp;"")</f>
        <v/>
      </c>
      <c r="H236" s="16">
        <f>IF(233&gt;$I$1,"",INDEX('근조 화환'!$B$2:$B$501,MATCH(233,'근조 화환'!$G$2:$G$501,0))&amp;"")</f>
        <v/>
      </c>
      <c r="I236" s="16">
        <f>IF(233&gt;$I$1,"",INDEX('근조 화환'!$C$2:$C$501,MATCH(233,'근조 화환'!$G$2:$G$501,0))&amp;"")</f>
        <v/>
      </c>
      <c r="J236" s="16">
        <f>IF(233&gt;$I$1,"",INDEX('근조 화환'!$D$2:$D$501,MATCH(233,'근조 화환'!$G$2:$G$501,0))&amp;"")</f>
        <v/>
      </c>
      <c r="K236" s="16">
        <f>IF(233&gt;$I$1,"",INDEX('근조 화환'!$E$2:$E$501,MATCH(233,'근조 화환'!$G$2:$G$501,0))&amp;"")</f>
        <v/>
      </c>
    </row>
    <row r="237">
      <c r="A237" s="16">
        <f>IF(234&lt;=$F$1,234,"")</f>
        <v/>
      </c>
      <c r="B237" s="16">
        <f>IF($A237="","",INDEX('부의금 입력'!$B$2:$B$1001,MATCH($A237,'부의금 입력'!$H$2:$H$1001,0))&amp;"")</f>
        <v/>
      </c>
      <c r="C237" s="18">
        <f>IF($A237="","",INDEX('부의금 입력'!$C$2:$C$1001,MATCH($A237,'부의금 입력'!$H$2:$H$1001,0)))</f>
        <v/>
      </c>
      <c r="D237" s="16">
        <f>IF($A237="","",INDEX('부의금 입력'!$D$2:$D$1001,MATCH($A237,'부의금 입력'!$H$2:$H$1001,0))&amp;"")</f>
        <v/>
      </c>
      <c r="E237" s="16">
        <f>IF($A237="","",INDEX('부의금 입력'!$E$2:$E$1001,MATCH($A237,'부의금 입력'!$H$2:$H$1001,0))&amp;"")</f>
        <v/>
      </c>
      <c r="H237" s="16">
        <f>IF(234&gt;$I$1,"",INDEX('근조 화환'!$B$2:$B$501,MATCH(234,'근조 화환'!$G$2:$G$501,0))&amp;"")</f>
        <v/>
      </c>
      <c r="I237" s="16">
        <f>IF(234&gt;$I$1,"",INDEX('근조 화환'!$C$2:$C$501,MATCH(234,'근조 화환'!$G$2:$G$501,0))&amp;"")</f>
        <v/>
      </c>
      <c r="J237" s="16">
        <f>IF(234&gt;$I$1,"",INDEX('근조 화환'!$D$2:$D$501,MATCH(234,'근조 화환'!$G$2:$G$501,0))&amp;"")</f>
        <v/>
      </c>
      <c r="K237" s="16">
        <f>IF(234&gt;$I$1,"",INDEX('근조 화환'!$E$2:$E$501,MATCH(234,'근조 화환'!$G$2:$G$501,0))&amp;"")</f>
        <v/>
      </c>
    </row>
    <row r="238">
      <c r="A238" s="16">
        <f>IF(235&lt;=$F$1,235,"")</f>
        <v/>
      </c>
      <c r="B238" s="16">
        <f>IF($A238="","",INDEX('부의금 입력'!$B$2:$B$1001,MATCH($A238,'부의금 입력'!$H$2:$H$1001,0))&amp;"")</f>
        <v/>
      </c>
      <c r="C238" s="18">
        <f>IF($A238="","",INDEX('부의금 입력'!$C$2:$C$1001,MATCH($A238,'부의금 입력'!$H$2:$H$1001,0)))</f>
        <v/>
      </c>
      <c r="D238" s="16">
        <f>IF($A238="","",INDEX('부의금 입력'!$D$2:$D$1001,MATCH($A238,'부의금 입력'!$H$2:$H$1001,0))&amp;"")</f>
        <v/>
      </c>
      <c r="E238" s="16">
        <f>IF($A238="","",INDEX('부의금 입력'!$E$2:$E$1001,MATCH($A238,'부의금 입력'!$H$2:$H$1001,0))&amp;"")</f>
        <v/>
      </c>
      <c r="H238" s="16">
        <f>IF(235&gt;$I$1,"",INDEX('근조 화환'!$B$2:$B$501,MATCH(235,'근조 화환'!$G$2:$G$501,0))&amp;"")</f>
        <v/>
      </c>
      <c r="I238" s="16">
        <f>IF(235&gt;$I$1,"",INDEX('근조 화환'!$C$2:$C$501,MATCH(235,'근조 화환'!$G$2:$G$501,0))&amp;"")</f>
        <v/>
      </c>
      <c r="J238" s="16">
        <f>IF(235&gt;$I$1,"",INDEX('근조 화환'!$D$2:$D$501,MATCH(235,'근조 화환'!$G$2:$G$501,0))&amp;"")</f>
        <v/>
      </c>
      <c r="K238" s="16">
        <f>IF(235&gt;$I$1,"",INDEX('근조 화환'!$E$2:$E$501,MATCH(235,'근조 화환'!$G$2:$G$501,0))&amp;"")</f>
        <v/>
      </c>
    </row>
    <row r="239">
      <c r="A239" s="16">
        <f>IF(236&lt;=$F$1,236,"")</f>
        <v/>
      </c>
      <c r="B239" s="16">
        <f>IF($A239="","",INDEX('부의금 입력'!$B$2:$B$1001,MATCH($A239,'부의금 입력'!$H$2:$H$1001,0))&amp;"")</f>
        <v/>
      </c>
      <c r="C239" s="18">
        <f>IF($A239="","",INDEX('부의금 입력'!$C$2:$C$1001,MATCH($A239,'부의금 입력'!$H$2:$H$1001,0)))</f>
        <v/>
      </c>
      <c r="D239" s="16">
        <f>IF($A239="","",INDEX('부의금 입력'!$D$2:$D$1001,MATCH($A239,'부의금 입력'!$H$2:$H$1001,0))&amp;"")</f>
        <v/>
      </c>
      <c r="E239" s="16">
        <f>IF($A239="","",INDEX('부의금 입력'!$E$2:$E$1001,MATCH($A239,'부의금 입력'!$H$2:$H$1001,0))&amp;"")</f>
        <v/>
      </c>
      <c r="H239" s="16">
        <f>IF(236&gt;$I$1,"",INDEX('근조 화환'!$B$2:$B$501,MATCH(236,'근조 화환'!$G$2:$G$501,0))&amp;"")</f>
        <v/>
      </c>
      <c r="I239" s="16">
        <f>IF(236&gt;$I$1,"",INDEX('근조 화환'!$C$2:$C$501,MATCH(236,'근조 화환'!$G$2:$G$501,0))&amp;"")</f>
        <v/>
      </c>
      <c r="J239" s="16">
        <f>IF(236&gt;$I$1,"",INDEX('근조 화환'!$D$2:$D$501,MATCH(236,'근조 화환'!$G$2:$G$501,0))&amp;"")</f>
        <v/>
      </c>
      <c r="K239" s="16">
        <f>IF(236&gt;$I$1,"",INDEX('근조 화환'!$E$2:$E$501,MATCH(236,'근조 화환'!$G$2:$G$501,0))&amp;"")</f>
        <v/>
      </c>
    </row>
    <row r="240">
      <c r="A240" s="16">
        <f>IF(237&lt;=$F$1,237,"")</f>
        <v/>
      </c>
      <c r="B240" s="16">
        <f>IF($A240="","",INDEX('부의금 입력'!$B$2:$B$1001,MATCH($A240,'부의금 입력'!$H$2:$H$1001,0))&amp;"")</f>
        <v/>
      </c>
      <c r="C240" s="18">
        <f>IF($A240="","",INDEX('부의금 입력'!$C$2:$C$1001,MATCH($A240,'부의금 입력'!$H$2:$H$1001,0)))</f>
        <v/>
      </c>
      <c r="D240" s="16">
        <f>IF($A240="","",INDEX('부의금 입력'!$D$2:$D$1001,MATCH($A240,'부의금 입력'!$H$2:$H$1001,0))&amp;"")</f>
        <v/>
      </c>
      <c r="E240" s="16">
        <f>IF($A240="","",INDEX('부의금 입력'!$E$2:$E$1001,MATCH($A240,'부의금 입력'!$H$2:$H$1001,0))&amp;"")</f>
        <v/>
      </c>
      <c r="H240" s="16">
        <f>IF(237&gt;$I$1,"",INDEX('근조 화환'!$B$2:$B$501,MATCH(237,'근조 화환'!$G$2:$G$501,0))&amp;"")</f>
        <v/>
      </c>
      <c r="I240" s="16">
        <f>IF(237&gt;$I$1,"",INDEX('근조 화환'!$C$2:$C$501,MATCH(237,'근조 화환'!$G$2:$G$501,0))&amp;"")</f>
        <v/>
      </c>
      <c r="J240" s="16">
        <f>IF(237&gt;$I$1,"",INDEX('근조 화환'!$D$2:$D$501,MATCH(237,'근조 화환'!$G$2:$G$501,0))&amp;"")</f>
        <v/>
      </c>
      <c r="K240" s="16">
        <f>IF(237&gt;$I$1,"",INDEX('근조 화환'!$E$2:$E$501,MATCH(237,'근조 화환'!$G$2:$G$501,0))&amp;"")</f>
        <v/>
      </c>
    </row>
    <row r="241">
      <c r="A241" s="16">
        <f>IF(238&lt;=$F$1,238,"")</f>
        <v/>
      </c>
      <c r="B241" s="16">
        <f>IF($A241="","",INDEX('부의금 입력'!$B$2:$B$1001,MATCH($A241,'부의금 입력'!$H$2:$H$1001,0))&amp;"")</f>
        <v/>
      </c>
      <c r="C241" s="18">
        <f>IF($A241="","",INDEX('부의금 입력'!$C$2:$C$1001,MATCH($A241,'부의금 입력'!$H$2:$H$1001,0)))</f>
        <v/>
      </c>
      <c r="D241" s="16">
        <f>IF($A241="","",INDEX('부의금 입력'!$D$2:$D$1001,MATCH($A241,'부의금 입력'!$H$2:$H$1001,0))&amp;"")</f>
        <v/>
      </c>
      <c r="E241" s="16">
        <f>IF($A241="","",INDEX('부의금 입력'!$E$2:$E$1001,MATCH($A241,'부의금 입력'!$H$2:$H$1001,0))&amp;"")</f>
        <v/>
      </c>
      <c r="H241" s="16">
        <f>IF(238&gt;$I$1,"",INDEX('근조 화환'!$B$2:$B$501,MATCH(238,'근조 화환'!$G$2:$G$501,0))&amp;"")</f>
        <v/>
      </c>
      <c r="I241" s="16">
        <f>IF(238&gt;$I$1,"",INDEX('근조 화환'!$C$2:$C$501,MATCH(238,'근조 화환'!$G$2:$G$501,0))&amp;"")</f>
        <v/>
      </c>
      <c r="J241" s="16">
        <f>IF(238&gt;$I$1,"",INDEX('근조 화환'!$D$2:$D$501,MATCH(238,'근조 화환'!$G$2:$G$501,0))&amp;"")</f>
        <v/>
      </c>
      <c r="K241" s="16">
        <f>IF(238&gt;$I$1,"",INDEX('근조 화환'!$E$2:$E$501,MATCH(238,'근조 화환'!$G$2:$G$501,0))&amp;"")</f>
        <v/>
      </c>
    </row>
    <row r="242">
      <c r="A242" s="16">
        <f>IF(239&lt;=$F$1,239,"")</f>
        <v/>
      </c>
      <c r="B242" s="16">
        <f>IF($A242="","",INDEX('부의금 입력'!$B$2:$B$1001,MATCH($A242,'부의금 입력'!$H$2:$H$1001,0))&amp;"")</f>
        <v/>
      </c>
      <c r="C242" s="18">
        <f>IF($A242="","",INDEX('부의금 입력'!$C$2:$C$1001,MATCH($A242,'부의금 입력'!$H$2:$H$1001,0)))</f>
        <v/>
      </c>
      <c r="D242" s="16">
        <f>IF($A242="","",INDEX('부의금 입력'!$D$2:$D$1001,MATCH($A242,'부의금 입력'!$H$2:$H$1001,0))&amp;"")</f>
        <v/>
      </c>
      <c r="E242" s="16">
        <f>IF($A242="","",INDEX('부의금 입력'!$E$2:$E$1001,MATCH($A242,'부의금 입력'!$H$2:$H$1001,0))&amp;"")</f>
        <v/>
      </c>
      <c r="H242" s="16">
        <f>IF(239&gt;$I$1,"",INDEX('근조 화환'!$B$2:$B$501,MATCH(239,'근조 화환'!$G$2:$G$501,0))&amp;"")</f>
        <v/>
      </c>
      <c r="I242" s="16">
        <f>IF(239&gt;$I$1,"",INDEX('근조 화환'!$C$2:$C$501,MATCH(239,'근조 화환'!$G$2:$G$501,0))&amp;"")</f>
        <v/>
      </c>
      <c r="J242" s="16">
        <f>IF(239&gt;$I$1,"",INDEX('근조 화환'!$D$2:$D$501,MATCH(239,'근조 화환'!$G$2:$G$501,0))&amp;"")</f>
        <v/>
      </c>
      <c r="K242" s="16">
        <f>IF(239&gt;$I$1,"",INDEX('근조 화환'!$E$2:$E$501,MATCH(239,'근조 화환'!$G$2:$G$501,0))&amp;"")</f>
        <v/>
      </c>
    </row>
    <row r="243">
      <c r="A243" s="16">
        <f>IF(240&lt;=$F$1,240,"")</f>
        <v/>
      </c>
      <c r="B243" s="16">
        <f>IF($A243="","",INDEX('부의금 입력'!$B$2:$B$1001,MATCH($A243,'부의금 입력'!$H$2:$H$1001,0))&amp;"")</f>
        <v/>
      </c>
      <c r="C243" s="18">
        <f>IF($A243="","",INDEX('부의금 입력'!$C$2:$C$1001,MATCH($A243,'부의금 입력'!$H$2:$H$1001,0)))</f>
        <v/>
      </c>
      <c r="D243" s="16">
        <f>IF($A243="","",INDEX('부의금 입력'!$D$2:$D$1001,MATCH($A243,'부의금 입력'!$H$2:$H$1001,0))&amp;"")</f>
        <v/>
      </c>
      <c r="E243" s="16">
        <f>IF($A243="","",INDEX('부의금 입력'!$E$2:$E$1001,MATCH($A243,'부의금 입력'!$H$2:$H$1001,0))&amp;"")</f>
        <v/>
      </c>
      <c r="H243" s="16">
        <f>IF(240&gt;$I$1,"",INDEX('근조 화환'!$B$2:$B$501,MATCH(240,'근조 화환'!$G$2:$G$501,0))&amp;"")</f>
        <v/>
      </c>
      <c r="I243" s="16">
        <f>IF(240&gt;$I$1,"",INDEX('근조 화환'!$C$2:$C$501,MATCH(240,'근조 화환'!$G$2:$G$501,0))&amp;"")</f>
        <v/>
      </c>
      <c r="J243" s="16">
        <f>IF(240&gt;$I$1,"",INDEX('근조 화환'!$D$2:$D$501,MATCH(240,'근조 화환'!$G$2:$G$501,0))&amp;"")</f>
        <v/>
      </c>
      <c r="K243" s="16">
        <f>IF(240&gt;$I$1,"",INDEX('근조 화환'!$E$2:$E$501,MATCH(240,'근조 화환'!$G$2:$G$501,0))&amp;"")</f>
        <v/>
      </c>
    </row>
    <row r="244">
      <c r="A244" s="16">
        <f>IF(241&lt;=$F$1,241,"")</f>
        <v/>
      </c>
      <c r="B244" s="16">
        <f>IF($A244="","",INDEX('부의금 입력'!$B$2:$B$1001,MATCH($A244,'부의금 입력'!$H$2:$H$1001,0))&amp;"")</f>
        <v/>
      </c>
      <c r="C244" s="18">
        <f>IF($A244="","",INDEX('부의금 입력'!$C$2:$C$1001,MATCH($A244,'부의금 입력'!$H$2:$H$1001,0)))</f>
        <v/>
      </c>
      <c r="D244" s="16">
        <f>IF($A244="","",INDEX('부의금 입력'!$D$2:$D$1001,MATCH($A244,'부의금 입력'!$H$2:$H$1001,0))&amp;"")</f>
        <v/>
      </c>
      <c r="E244" s="16">
        <f>IF($A244="","",INDEX('부의금 입력'!$E$2:$E$1001,MATCH($A244,'부의금 입력'!$H$2:$H$1001,0))&amp;"")</f>
        <v/>
      </c>
      <c r="H244" s="16">
        <f>IF(241&gt;$I$1,"",INDEX('근조 화환'!$B$2:$B$501,MATCH(241,'근조 화환'!$G$2:$G$501,0))&amp;"")</f>
        <v/>
      </c>
      <c r="I244" s="16">
        <f>IF(241&gt;$I$1,"",INDEX('근조 화환'!$C$2:$C$501,MATCH(241,'근조 화환'!$G$2:$G$501,0))&amp;"")</f>
        <v/>
      </c>
      <c r="J244" s="16">
        <f>IF(241&gt;$I$1,"",INDEX('근조 화환'!$D$2:$D$501,MATCH(241,'근조 화환'!$G$2:$G$501,0))&amp;"")</f>
        <v/>
      </c>
      <c r="K244" s="16">
        <f>IF(241&gt;$I$1,"",INDEX('근조 화환'!$E$2:$E$501,MATCH(241,'근조 화환'!$G$2:$G$501,0))&amp;"")</f>
        <v/>
      </c>
    </row>
    <row r="245">
      <c r="A245" s="16">
        <f>IF(242&lt;=$F$1,242,"")</f>
        <v/>
      </c>
      <c r="B245" s="16">
        <f>IF($A245="","",INDEX('부의금 입력'!$B$2:$B$1001,MATCH($A245,'부의금 입력'!$H$2:$H$1001,0))&amp;"")</f>
        <v/>
      </c>
      <c r="C245" s="18">
        <f>IF($A245="","",INDEX('부의금 입력'!$C$2:$C$1001,MATCH($A245,'부의금 입력'!$H$2:$H$1001,0)))</f>
        <v/>
      </c>
      <c r="D245" s="16">
        <f>IF($A245="","",INDEX('부의금 입력'!$D$2:$D$1001,MATCH($A245,'부의금 입력'!$H$2:$H$1001,0))&amp;"")</f>
        <v/>
      </c>
      <c r="E245" s="16">
        <f>IF($A245="","",INDEX('부의금 입력'!$E$2:$E$1001,MATCH($A245,'부의금 입력'!$H$2:$H$1001,0))&amp;"")</f>
        <v/>
      </c>
      <c r="H245" s="16">
        <f>IF(242&gt;$I$1,"",INDEX('근조 화환'!$B$2:$B$501,MATCH(242,'근조 화환'!$G$2:$G$501,0))&amp;"")</f>
        <v/>
      </c>
      <c r="I245" s="16">
        <f>IF(242&gt;$I$1,"",INDEX('근조 화환'!$C$2:$C$501,MATCH(242,'근조 화환'!$G$2:$G$501,0))&amp;"")</f>
        <v/>
      </c>
      <c r="J245" s="16">
        <f>IF(242&gt;$I$1,"",INDEX('근조 화환'!$D$2:$D$501,MATCH(242,'근조 화환'!$G$2:$G$501,0))&amp;"")</f>
        <v/>
      </c>
      <c r="K245" s="16">
        <f>IF(242&gt;$I$1,"",INDEX('근조 화환'!$E$2:$E$501,MATCH(242,'근조 화환'!$G$2:$G$501,0))&amp;"")</f>
        <v/>
      </c>
    </row>
    <row r="246">
      <c r="A246" s="16">
        <f>IF(243&lt;=$F$1,243,"")</f>
        <v/>
      </c>
      <c r="B246" s="16">
        <f>IF($A246="","",INDEX('부의금 입력'!$B$2:$B$1001,MATCH($A246,'부의금 입력'!$H$2:$H$1001,0))&amp;"")</f>
        <v/>
      </c>
      <c r="C246" s="18">
        <f>IF($A246="","",INDEX('부의금 입력'!$C$2:$C$1001,MATCH($A246,'부의금 입력'!$H$2:$H$1001,0)))</f>
        <v/>
      </c>
      <c r="D246" s="16">
        <f>IF($A246="","",INDEX('부의금 입력'!$D$2:$D$1001,MATCH($A246,'부의금 입력'!$H$2:$H$1001,0))&amp;"")</f>
        <v/>
      </c>
      <c r="E246" s="16">
        <f>IF($A246="","",INDEX('부의금 입력'!$E$2:$E$1001,MATCH($A246,'부의금 입력'!$H$2:$H$1001,0))&amp;"")</f>
        <v/>
      </c>
      <c r="H246" s="16">
        <f>IF(243&gt;$I$1,"",INDEX('근조 화환'!$B$2:$B$501,MATCH(243,'근조 화환'!$G$2:$G$501,0))&amp;"")</f>
        <v/>
      </c>
      <c r="I246" s="16">
        <f>IF(243&gt;$I$1,"",INDEX('근조 화환'!$C$2:$C$501,MATCH(243,'근조 화환'!$G$2:$G$501,0))&amp;"")</f>
        <v/>
      </c>
      <c r="J246" s="16">
        <f>IF(243&gt;$I$1,"",INDEX('근조 화환'!$D$2:$D$501,MATCH(243,'근조 화환'!$G$2:$G$501,0))&amp;"")</f>
        <v/>
      </c>
      <c r="K246" s="16">
        <f>IF(243&gt;$I$1,"",INDEX('근조 화환'!$E$2:$E$501,MATCH(243,'근조 화환'!$G$2:$G$501,0))&amp;"")</f>
        <v/>
      </c>
    </row>
    <row r="247">
      <c r="A247" s="16">
        <f>IF(244&lt;=$F$1,244,"")</f>
        <v/>
      </c>
      <c r="B247" s="16">
        <f>IF($A247="","",INDEX('부의금 입력'!$B$2:$B$1001,MATCH($A247,'부의금 입력'!$H$2:$H$1001,0))&amp;"")</f>
        <v/>
      </c>
      <c r="C247" s="18">
        <f>IF($A247="","",INDEX('부의금 입력'!$C$2:$C$1001,MATCH($A247,'부의금 입력'!$H$2:$H$1001,0)))</f>
        <v/>
      </c>
      <c r="D247" s="16">
        <f>IF($A247="","",INDEX('부의금 입력'!$D$2:$D$1001,MATCH($A247,'부의금 입력'!$H$2:$H$1001,0))&amp;"")</f>
        <v/>
      </c>
      <c r="E247" s="16">
        <f>IF($A247="","",INDEX('부의금 입력'!$E$2:$E$1001,MATCH($A247,'부의금 입력'!$H$2:$H$1001,0))&amp;"")</f>
        <v/>
      </c>
      <c r="H247" s="16">
        <f>IF(244&gt;$I$1,"",INDEX('근조 화환'!$B$2:$B$501,MATCH(244,'근조 화환'!$G$2:$G$501,0))&amp;"")</f>
        <v/>
      </c>
      <c r="I247" s="16">
        <f>IF(244&gt;$I$1,"",INDEX('근조 화환'!$C$2:$C$501,MATCH(244,'근조 화환'!$G$2:$G$501,0))&amp;"")</f>
        <v/>
      </c>
      <c r="J247" s="16">
        <f>IF(244&gt;$I$1,"",INDEX('근조 화환'!$D$2:$D$501,MATCH(244,'근조 화환'!$G$2:$G$501,0))&amp;"")</f>
        <v/>
      </c>
      <c r="K247" s="16">
        <f>IF(244&gt;$I$1,"",INDEX('근조 화환'!$E$2:$E$501,MATCH(244,'근조 화환'!$G$2:$G$501,0))&amp;"")</f>
        <v/>
      </c>
    </row>
    <row r="248">
      <c r="A248" s="16">
        <f>IF(245&lt;=$F$1,245,"")</f>
        <v/>
      </c>
      <c r="B248" s="16">
        <f>IF($A248="","",INDEX('부의금 입력'!$B$2:$B$1001,MATCH($A248,'부의금 입력'!$H$2:$H$1001,0))&amp;"")</f>
        <v/>
      </c>
      <c r="C248" s="18">
        <f>IF($A248="","",INDEX('부의금 입력'!$C$2:$C$1001,MATCH($A248,'부의금 입력'!$H$2:$H$1001,0)))</f>
        <v/>
      </c>
      <c r="D248" s="16">
        <f>IF($A248="","",INDEX('부의금 입력'!$D$2:$D$1001,MATCH($A248,'부의금 입력'!$H$2:$H$1001,0))&amp;"")</f>
        <v/>
      </c>
      <c r="E248" s="16">
        <f>IF($A248="","",INDEX('부의금 입력'!$E$2:$E$1001,MATCH($A248,'부의금 입력'!$H$2:$H$1001,0))&amp;"")</f>
        <v/>
      </c>
      <c r="H248" s="16">
        <f>IF(245&gt;$I$1,"",INDEX('근조 화환'!$B$2:$B$501,MATCH(245,'근조 화환'!$G$2:$G$501,0))&amp;"")</f>
        <v/>
      </c>
      <c r="I248" s="16">
        <f>IF(245&gt;$I$1,"",INDEX('근조 화환'!$C$2:$C$501,MATCH(245,'근조 화환'!$G$2:$G$501,0))&amp;"")</f>
        <v/>
      </c>
      <c r="J248" s="16">
        <f>IF(245&gt;$I$1,"",INDEX('근조 화환'!$D$2:$D$501,MATCH(245,'근조 화환'!$G$2:$G$501,0))&amp;"")</f>
        <v/>
      </c>
      <c r="K248" s="16">
        <f>IF(245&gt;$I$1,"",INDEX('근조 화환'!$E$2:$E$501,MATCH(245,'근조 화환'!$G$2:$G$501,0))&amp;"")</f>
        <v/>
      </c>
    </row>
    <row r="249">
      <c r="A249" s="16">
        <f>IF(246&lt;=$F$1,246,"")</f>
        <v/>
      </c>
      <c r="B249" s="16">
        <f>IF($A249="","",INDEX('부의금 입력'!$B$2:$B$1001,MATCH($A249,'부의금 입력'!$H$2:$H$1001,0))&amp;"")</f>
        <v/>
      </c>
      <c r="C249" s="18">
        <f>IF($A249="","",INDEX('부의금 입력'!$C$2:$C$1001,MATCH($A249,'부의금 입력'!$H$2:$H$1001,0)))</f>
        <v/>
      </c>
      <c r="D249" s="16">
        <f>IF($A249="","",INDEX('부의금 입력'!$D$2:$D$1001,MATCH($A249,'부의금 입력'!$H$2:$H$1001,0))&amp;"")</f>
        <v/>
      </c>
      <c r="E249" s="16">
        <f>IF($A249="","",INDEX('부의금 입력'!$E$2:$E$1001,MATCH($A249,'부의금 입력'!$H$2:$H$1001,0))&amp;"")</f>
        <v/>
      </c>
      <c r="H249" s="16">
        <f>IF(246&gt;$I$1,"",INDEX('근조 화환'!$B$2:$B$501,MATCH(246,'근조 화환'!$G$2:$G$501,0))&amp;"")</f>
        <v/>
      </c>
      <c r="I249" s="16">
        <f>IF(246&gt;$I$1,"",INDEX('근조 화환'!$C$2:$C$501,MATCH(246,'근조 화환'!$G$2:$G$501,0))&amp;"")</f>
        <v/>
      </c>
      <c r="J249" s="16">
        <f>IF(246&gt;$I$1,"",INDEX('근조 화환'!$D$2:$D$501,MATCH(246,'근조 화환'!$G$2:$G$501,0))&amp;"")</f>
        <v/>
      </c>
      <c r="K249" s="16">
        <f>IF(246&gt;$I$1,"",INDEX('근조 화환'!$E$2:$E$501,MATCH(246,'근조 화환'!$G$2:$G$501,0))&amp;"")</f>
        <v/>
      </c>
    </row>
    <row r="250">
      <c r="A250" s="16">
        <f>IF(247&lt;=$F$1,247,"")</f>
        <v/>
      </c>
      <c r="B250" s="16">
        <f>IF($A250="","",INDEX('부의금 입력'!$B$2:$B$1001,MATCH($A250,'부의금 입력'!$H$2:$H$1001,0))&amp;"")</f>
        <v/>
      </c>
      <c r="C250" s="18">
        <f>IF($A250="","",INDEX('부의금 입력'!$C$2:$C$1001,MATCH($A250,'부의금 입력'!$H$2:$H$1001,0)))</f>
        <v/>
      </c>
      <c r="D250" s="16">
        <f>IF($A250="","",INDEX('부의금 입력'!$D$2:$D$1001,MATCH($A250,'부의금 입력'!$H$2:$H$1001,0))&amp;"")</f>
        <v/>
      </c>
      <c r="E250" s="16">
        <f>IF($A250="","",INDEX('부의금 입력'!$E$2:$E$1001,MATCH($A250,'부의금 입력'!$H$2:$H$1001,0))&amp;"")</f>
        <v/>
      </c>
      <c r="H250" s="16">
        <f>IF(247&gt;$I$1,"",INDEX('근조 화환'!$B$2:$B$501,MATCH(247,'근조 화환'!$G$2:$G$501,0))&amp;"")</f>
        <v/>
      </c>
      <c r="I250" s="16">
        <f>IF(247&gt;$I$1,"",INDEX('근조 화환'!$C$2:$C$501,MATCH(247,'근조 화환'!$G$2:$G$501,0))&amp;"")</f>
        <v/>
      </c>
      <c r="J250" s="16">
        <f>IF(247&gt;$I$1,"",INDEX('근조 화환'!$D$2:$D$501,MATCH(247,'근조 화환'!$G$2:$G$501,0))&amp;"")</f>
        <v/>
      </c>
      <c r="K250" s="16">
        <f>IF(247&gt;$I$1,"",INDEX('근조 화환'!$E$2:$E$501,MATCH(247,'근조 화환'!$G$2:$G$501,0))&amp;"")</f>
        <v/>
      </c>
    </row>
    <row r="251">
      <c r="A251" s="16">
        <f>IF(248&lt;=$F$1,248,"")</f>
        <v/>
      </c>
      <c r="B251" s="16">
        <f>IF($A251="","",INDEX('부의금 입력'!$B$2:$B$1001,MATCH($A251,'부의금 입력'!$H$2:$H$1001,0))&amp;"")</f>
        <v/>
      </c>
      <c r="C251" s="18">
        <f>IF($A251="","",INDEX('부의금 입력'!$C$2:$C$1001,MATCH($A251,'부의금 입력'!$H$2:$H$1001,0)))</f>
        <v/>
      </c>
      <c r="D251" s="16">
        <f>IF($A251="","",INDEX('부의금 입력'!$D$2:$D$1001,MATCH($A251,'부의금 입력'!$H$2:$H$1001,0))&amp;"")</f>
        <v/>
      </c>
      <c r="E251" s="16">
        <f>IF($A251="","",INDEX('부의금 입력'!$E$2:$E$1001,MATCH($A251,'부의금 입력'!$H$2:$H$1001,0))&amp;"")</f>
        <v/>
      </c>
      <c r="H251" s="16">
        <f>IF(248&gt;$I$1,"",INDEX('근조 화환'!$B$2:$B$501,MATCH(248,'근조 화환'!$G$2:$G$501,0))&amp;"")</f>
        <v/>
      </c>
      <c r="I251" s="16">
        <f>IF(248&gt;$I$1,"",INDEX('근조 화환'!$C$2:$C$501,MATCH(248,'근조 화환'!$G$2:$G$501,0))&amp;"")</f>
        <v/>
      </c>
      <c r="J251" s="16">
        <f>IF(248&gt;$I$1,"",INDEX('근조 화환'!$D$2:$D$501,MATCH(248,'근조 화환'!$G$2:$G$501,0))&amp;"")</f>
        <v/>
      </c>
      <c r="K251" s="16">
        <f>IF(248&gt;$I$1,"",INDEX('근조 화환'!$E$2:$E$501,MATCH(248,'근조 화환'!$G$2:$G$501,0))&amp;"")</f>
        <v/>
      </c>
    </row>
    <row r="252">
      <c r="A252" s="16">
        <f>IF(249&lt;=$F$1,249,"")</f>
        <v/>
      </c>
      <c r="B252" s="16">
        <f>IF($A252="","",INDEX('부의금 입력'!$B$2:$B$1001,MATCH($A252,'부의금 입력'!$H$2:$H$1001,0))&amp;"")</f>
        <v/>
      </c>
      <c r="C252" s="18">
        <f>IF($A252="","",INDEX('부의금 입력'!$C$2:$C$1001,MATCH($A252,'부의금 입력'!$H$2:$H$1001,0)))</f>
        <v/>
      </c>
      <c r="D252" s="16">
        <f>IF($A252="","",INDEX('부의금 입력'!$D$2:$D$1001,MATCH($A252,'부의금 입력'!$H$2:$H$1001,0))&amp;"")</f>
        <v/>
      </c>
      <c r="E252" s="16">
        <f>IF($A252="","",INDEX('부의금 입력'!$E$2:$E$1001,MATCH($A252,'부의금 입력'!$H$2:$H$1001,0))&amp;"")</f>
        <v/>
      </c>
      <c r="H252" s="16">
        <f>IF(249&gt;$I$1,"",INDEX('근조 화환'!$B$2:$B$501,MATCH(249,'근조 화환'!$G$2:$G$501,0))&amp;"")</f>
        <v/>
      </c>
      <c r="I252" s="16">
        <f>IF(249&gt;$I$1,"",INDEX('근조 화환'!$C$2:$C$501,MATCH(249,'근조 화환'!$G$2:$G$501,0))&amp;"")</f>
        <v/>
      </c>
      <c r="J252" s="16">
        <f>IF(249&gt;$I$1,"",INDEX('근조 화환'!$D$2:$D$501,MATCH(249,'근조 화환'!$G$2:$G$501,0))&amp;"")</f>
        <v/>
      </c>
      <c r="K252" s="16">
        <f>IF(249&gt;$I$1,"",INDEX('근조 화환'!$E$2:$E$501,MATCH(249,'근조 화환'!$G$2:$G$501,0))&amp;"")</f>
        <v/>
      </c>
    </row>
    <row r="253">
      <c r="A253" s="16">
        <f>IF(250&lt;=$F$1,250,"")</f>
        <v/>
      </c>
      <c r="B253" s="16">
        <f>IF($A253="","",INDEX('부의금 입력'!$B$2:$B$1001,MATCH($A253,'부의금 입력'!$H$2:$H$1001,0))&amp;"")</f>
        <v/>
      </c>
      <c r="C253" s="18">
        <f>IF($A253="","",INDEX('부의금 입력'!$C$2:$C$1001,MATCH($A253,'부의금 입력'!$H$2:$H$1001,0)))</f>
        <v/>
      </c>
      <c r="D253" s="16">
        <f>IF($A253="","",INDEX('부의금 입력'!$D$2:$D$1001,MATCH($A253,'부의금 입력'!$H$2:$H$1001,0))&amp;"")</f>
        <v/>
      </c>
      <c r="E253" s="16">
        <f>IF($A253="","",INDEX('부의금 입력'!$E$2:$E$1001,MATCH($A253,'부의금 입력'!$H$2:$H$1001,0))&amp;"")</f>
        <v/>
      </c>
      <c r="H253" s="16">
        <f>IF(250&gt;$I$1,"",INDEX('근조 화환'!$B$2:$B$501,MATCH(250,'근조 화환'!$G$2:$G$501,0))&amp;"")</f>
        <v/>
      </c>
      <c r="I253" s="16">
        <f>IF(250&gt;$I$1,"",INDEX('근조 화환'!$C$2:$C$501,MATCH(250,'근조 화환'!$G$2:$G$501,0))&amp;"")</f>
        <v/>
      </c>
      <c r="J253" s="16">
        <f>IF(250&gt;$I$1,"",INDEX('근조 화환'!$D$2:$D$501,MATCH(250,'근조 화환'!$G$2:$G$501,0))&amp;"")</f>
        <v/>
      </c>
      <c r="K253" s="16">
        <f>IF(250&gt;$I$1,"",INDEX('근조 화환'!$E$2:$E$501,MATCH(250,'근조 화환'!$G$2:$G$501,0))&amp;"")</f>
        <v/>
      </c>
    </row>
    <row r="254">
      <c r="A254" s="16">
        <f>IF(251&lt;=$F$1,251,"")</f>
        <v/>
      </c>
      <c r="B254" s="16">
        <f>IF($A254="","",INDEX('부의금 입력'!$B$2:$B$1001,MATCH($A254,'부의금 입력'!$H$2:$H$1001,0))&amp;"")</f>
        <v/>
      </c>
      <c r="C254" s="18">
        <f>IF($A254="","",INDEX('부의금 입력'!$C$2:$C$1001,MATCH($A254,'부의금 입력'!$H$2:$H$1001,0)))</f>
        <v/>
      </c>
      <c r="D254" s="16">
        <f>IF($A254="","",INDEX('부의금 입력'!$D$2:$D$1001,MATCH($A254,'부의금 입력'!$H$2:$H$1001,0))&amp;"")</f>
        <v/>
      </c>
      <c r="E254" s="16">
        <f>IF($A254="","",INDEX('부의금 입력'!$E$2:$E$1001,MATCH($A254,'부의금 입력'!$H$2:$H$1001,0))&amp;"")</f>
        <v/>
      </c>
      <c r="H254" s="16">
        <f>IF(251&gt;$I$1,"",INDEX('근조 화환'!$B$2:$B$501,MATCH(251,'근조 화환'!$G$2:$G$501,0))&amp;"")</f>
        <v/>
      </c>
      <c r="I254" s="16">
        <f>IF(251&gt;$I$1,"",INDEX('근조 화환'!$C$2:$C$501,MATCH(251,'근조 화환'!$G$2:$G$501,0))&amp;"")</f>
        <v/>
      </c>
      <c r="J254" s="16">
        <f>IF(251&gt;$I$1,"",INDEX('근조 화환'!$D$2:$D$501,MATCH(251,'근조 화환'!$G$2:$G$501,0))&amp;"")</f>
        <v/>
      </c>
      <c r="K254" s="16">
        <f>IF(251&gt;$I$1,"",INDEX('근조 화환'!$E$2:$E$501,MATCH(251,'근조 화환'!$G$2:$G$501,0))&amp;"")</f>
        <v/>
      </c>
    </row>
    <row r="255">
      <c r="A255" s="16">
        <f>IF(252&lt;=$F$1,252,"")</f>
        <v/>
      </c>
      <c r="B255" s="16">
        <f>IF($A255="","",INDEX('부의금 입력'!$B$2:$B$1001,MATCH($A255,'부의금 입력'!$H$2:$H$1001,0))&amp;"")</f>
        <v/>
      </c>
      <c r="C255" s="18">
        <f>IF($A255="","",INDEX('부의금 입력'!$C$2:$C$1001,MATCH($A255,'부의금 입력'!$H$2:$H$1001,0)))</f>
        <v/>
      </c>
      <c r="D255" s="16">
        <f>IF($A255="","",INDEX('부의금 입력'!$D$2:$D$1001,MATCH($A255,'부의금 입력'!$H$2:$H$1001,0))&amp;"")</f>
        <v/>
      </c>
      <c r="E255" s="16">
        <f>IF($A255="","",INDEX('부의금 입력'!$E$2:$E$1001,MATCH($A255,'부의금 입력'!$H$2:$H$1001,0))&amp;"")</f>
        <v/>
      </c>
      <c r="H255" s="16">
        <f>IF(252&gt;$I$1,"",INDEX('근조 화환'!$B$2:$B$501,MATCH(252,'근조 화환'!$G$2:$G$501,0))&amp;"")</f>
        <v/>
      </c>
      <c r="I255" s="16">
        <f>IF(252&gt;$I$1,"",INDEX('근조 화환'!$C$2:$C$501,MATCH(252,'근조 화환'!$G$2:$G$501,0))&amp;"")</f>
        <v/>
      </c>
      <c r="J255" s="16">
        <f>IF(252&gt;$I$1,"",INDEX('근조 화환'!$D$2:$D$501,MATCH(252,'근조 화환'!$G$2:$G$501,0))&amp;"")</f>
        <v/>
      </c>
      <c r="K255" s="16">
        <f>IF(252&gt;$I$1,"",INDEX('근조 화환'!$E$2:$E$501,MATCH(252,'근조 화환'!$G$2:$G$501,0))&amp;"")</f>
        <v/>
      </c>
    </row>
    <row r="256">
      <c r="A256" s="16">
        <f>IF(253&lt;=$F$1,253,"")</f>
        <v/>
      </c>
      <c r="B256" s="16">
        <f>IF($A256="","",INDEX('부의금 입력'!$B$2:$B$1001,MATCH($A256,'부의금 입력'!$H$2:$H$1001,0))&amp;"")</f>
        <v/>
      </c>
      <c r="C256" s="18">
        <f>IF($A256="","",INDEX('부의금 입력'!$C$2:$C$1001,MATCH($A256,'부의금 입력'!$H$2:$H$1001,0)))</f>
        <v/>
      </c>
      <c r="D256" s="16">
        <f>IF($A256="","",INDEX('부의금 입력'!$D$2:$D$1001,MATCH($A256,'부의금 입력'!$H$2:$H$1001,0))&amp;"")</f>
        <v/>
      </c>
      <c r="E256" s="16">
        <f>IF($A256="","",INDEX('부의금 입력'!$E$2:$E$1001,MATCH($A256,'부의금 입력'!$H$2:$H$1001,0))&amp;"")</f>
        <v/>
      </c>
      <c r="H256" s="16">
        <f>IF(253&gt;$I$1,"",INDEX('근조 화환'!$B$2:$B$501,MATCH(253,'근조 화환'!$G$2:$G$501,0))&amp;"")</f>
        <v/>
      </c>
      <c r="I256" s="16">
        <f>IF(253&gt;$I$1,"",INDEX('근조 화환'!$C$2:$C$501,MATCH(253,'근조 화환'!$G$2:$G$501,0))&amp;"")</f>
        <v/>
      </c>
      <c r="J256" s="16">
        <f>IF(253&gt;$I$1,"",INDEX('근조 화환'!$D$2:$D$501,MATCH(253,'근조 화환'!$G$2:$G$501,0))&amp;"")</f>
        <v/>
      </c>
      <c r="K256" s="16">
        <f>IF(253&gt;$I$1,"",INDEX('근조 화환'!$E$2:$E$501,MATCH(253,'근조 화환'!$G$2:$G$501,0))&amp;"")</f>
        <v/>
      </c>
    </row>
    <row r="257">
      <c r="A257" s="16">
        <f>IF(254&lt;=$F$1,254,"")</f>
        <v/>
      </c>
      <c r="B257" s="16">
        <f>IF($A257="","",INDEX('부의금 입력'!$B$2:$B$1001,MATCH($A257,'부의금 입력'!$H$2:$H$1001,0))&amp;"")</f>
        <v/>
      </c>
      <c r="C257" s="18">
        <f>IF($A257="","",INDEX('부의금 입력'!$C$2:$C$1001,MATCH($A257,'부의금 입력'!$H$2:$H$1001,0)))</f>
        <v/>
      </c>
      <c r="D257" s="16">
        <f>IF($A257="","",INDEX('부의금 입력'!$D$2:$D$1001,MATCH($A257,'부의금 입력'!$H$2:$H$1001,0))&amp;"")</f>
        <v/>
      </c>
      <c r="E257" s="16">
        <f>IF($A257="","",INDEX('부의금 입력'!$E$2:$E$1001,MATCH($A257,'부의금 입력'!$H$2:$H$1001,0))&amp;"")</f>
        <v/>
      </c>
      <c r="H257" s="16">
        <f>IF(254&gt;$I$1,"",INDEX('근조 화환'!$B$2:$B$501,MATCH(254,'근조 화환'!$G$2:$G$501,0))&amp;"")</f>
        <v/>
      </c>
      <c r="I257" s="16">
        <f>IF(254&gt;$I$1,"",INDEX('근조 화환'!$C$2:$C$501,MATCH(254,'근조 화환'!$G$2:$G$501,0))&amp;"")</f>
        <v/>
      </c>
      <c r="J257" s="16">
        <f>IF(254&gt;$I$1,"",INDEX('근조 화환'!$D$2:$D$501,MATCH(254,'근조 화환'!$G$2:$G$501,0))&amp;"")</f>
        <v/>
      </c>
      <c r="K257" s="16">
        <f>IF(254&gt;$I$1,"",INDEX('근조 화환'!$E$2:$E$501,MATCH(254,'근조 화환'!$G$2:$G$501,0))&amp;"")</f>
        <v/>
      </c>
    </row>
    <row r="258">
      <c r="A258" s="16">
        <f>IF(255&lt;=$F$1,255,"")</f>
        <v/>
      </c>
      <c r="B258" s="16">
        <f>IF($A258="","",INDEX('부의금 입력'!$B$2:$B$1001,MATCH($A258,'부의금 입력'!$H$2:$H$1001,0))&amp;"")</f>
        <v/>
      </c>
      <c r="C258" s="18">
        <f>IF($A258="","",INDEX('부의금 입력'!$C$2:$C$1001,MATCH($A258,'부의금 입력'!$H$2:$H$1001,0)))</f>
        <v/>
      </c>
      <c r="D258" s="16">
        <f>IF($A258="","",INDEX('부의금 입력'!$D$2:$D$1001,MATCH($A258,'부의금 입력'!$H$2:$H$1001,0))&amp;"")</f>
        <v/>
      </c>
      <c r="E258" s="16">
        <f>IF($A258="","",INDEX('부의금 입력'!$E$2:$E$1001,MATCH($A258,'부의금 입력'!$H$2:$H$1001,0))&amp;"")</f>
        <v/>
      </c>
      <c r="H258" s="16">
        <f>IF(255&gt;$I$1,"",INDEX('근조 화환'!$B$2:$B$501,MATCH(255,'근조 화환'!$G$2:$G$501,0))&amp;"")</f>
        <v/>
      </c>
      <c r="I258" s="16">
        <f>IF(255&gt;$I$1,"",INDEX('근조 화환'!$C$2:$C$501,MATCH(255,'근조 화환'!$G$2:$G$501,0))&amp;"")</f>
        <v/>
      </c>
      <c r="J258" s="16">
        <f>IF(255&gt;$I$1,"",INDEX('근조 화환'!$D$2:$D$501,MATCH(255,'근조 화환'!$G$2:$G$501,0))&amp;"")</f>
        <v/>
      </c>
      <c r="K258" s="16">
        <f>IF(255&gt;$I$1,"",INDEX('근조 화환'!$E$2:$E$501,MATCH(255,'근조 화환'!$G$2:$G$501,0))&amp;"")</f>
        <v/>
      </c>
    </row>
    <row r="259">
      <c r="A259" s="16">
        <f>IF(256&lt;=$F$1,256,"")</f>
        <v/>
      </c>
      <c r="B259" s="16">
        <f>IF($A259="","",INDEX('부의금 입력'!$B$2:$B$1001,MATCH($A259,'부의금 입력'!$H$2:$H$1001,0))&amp;"")</f>
        <v/>
      </c>
      <c r="C259" s="18">
        <f>IF($A259="","",INDEX('부의금 입력'!$C$2:$C$1001,MATCH($A259,'부의금 입력'!$H$2:$H$1001,0)))</f>
        <v/>
      </c>
      <c r="D259" s="16">
        <f>IF($A259="","",INDEX('부의금 입력'!$D$2:$D$1001,MATCH($A259,'부의금 입력'!$H$2:$H$1001,0))&amp;"")</f>
        <v/>
      </c>
      <c r="E259" s="16">
        <f>IF($A259="","",INDEX('부의금 입력'!$E$2:$E$1001,MATCH($A259,'부의금 입력'!$H$2:$H$1001,0))&amp;"")</f>
        <v/>
      </c>
      <c r="H259" s="16">
        <f>IF(256&gt;$I$1,"",INDEX('근조 화환'!$B$2:$B$501,MATCH(256,'근조 화환'!$G$2:$G$501,0))&amp;"")</f>
        <v/>
      </c>
      <c r="I259" s="16">
        <f>IF(256&gt;$I$1,"",INDEX('근조 화환'!$C$2:$C$501,MATCH(256,'근조 화환'!$G$2:$G$501,0))&amp;"")</f>
        <v/>
      </c>
      <c r="J259" s="16">
        <f>IF(256&gt;$I$1,"",INDEX('근조 화환'!$D$2:$D$501,MATCH(256,'근조 화환'!$G$2:$G$501,0))&amp;"")</f>
        <v/>
      </c>
      <c r="K259" s="16">
        <f>IF(256&gt;$I$1,"",INDEX('근조 화환'!$E$2:$E$501,MATCH(256,'근조 화환'!$G$2:$G$501,0))&amp;"")</f>
        <v/>
      </c>
    </row>
    <row r="260">
      <c r="A260" s="16">
        <f>IF(257&lt;=$F$1,257,"")</f>
        <v/>
      </c>
      <c r="B260" s="16">
        <f>IF($A260="","",INDEX('부의금 입력'!$B$2:$B$1001,MATCH($A260,'부의금 입력'!$H$2:$H$1001,0))&amp;"")</f>
        <v/>
      </c>
      <c r="C260" s="18">
        <f>IF($A260="","",INDEX('부의금 입력'!$C$2:$C$1001,MATCH($A260,'부의금 입력'!$H$2:$H$1001,0)))</f>
        <v/>
      </c>
      <c r="D260" s="16">
        <f>IF($A260="","",INDEX('부의금 입력'!$D$2:$D$1001,MATCH($A260,'부의금 입력'!$H$2:$H$1001,0))&amp;"")</f>
        <v/>
      </c>
      <c r="E260" s="16">
        <f>IF($A260="","",INDEX('부의금 입력'!$E$2:$E$1001,MATCH($A260,'부의금 입력'!$H$2:$H$1001,0))&amp;"")</f>
        <v/>
      </c>
      <c r="H260" s="16">
        <f>IF(257&gt;$I$1,"",INDEX('근조 화환'!$B$2:$B$501,MATCH(257,'근조 화환'!$G$2:$G$501,0))&amp;"")</f>
        <v/>
      </c>
      <c r="I260" s="16">
        <f>IF(257&gt;$I$1,"",INDEX('근조 화환'!$C$2:$C$501,MATCH(257,'근조 화환'!$G$2:$G$501,0))&amp;"")</f>
        <v/>
      </c>
      <c r="J260" s="16">
        <f>IF(257&gt;$I$1,"",INDEX('근조 화환'!$D$2:$D$501,MATCH(257,'근조 화환'!$G$2:$G$501,0))&amp;"")</f>
        <v/>
      </c>
      <c r="K260" s="16">
        <f>IF(257&gt;$I$1,"",INDEX('근조 화환'!$E$2:$E$501,MATCH(257,'근조 화환'!$G$2:$G$501,0))&amp;"")</f>
        <v/>
      </c>
    </row>
    <row r="261">
      <c r="A261" s="16">
        <f>IF(258&lt;=$F$1,258,"")</f>
        <v/>
      </c>
      <c r="B261" s="16">
        <f>IF($A261="","",INDEX('부의금 입력'!$B$2:$B$1001,MATCH($A261,'부의금 입력'!$H$2:$H$1001,0))&amp;"")</f>
        <v/>
      </c>
      <c r="C261" s="18">
        <f>IF($A261="","",INDEX('부의금 입력'!$C$2:$C$1001,MATCH($A261,'부의금 입력'!$H$2:$H$1001,0)))</f>
        <v/>
      </c>
      <c r="D261" s="16">
        <f>IF($A261="","",INDEX('부의금 입력'!$D$2:$D$1001,MATCH($A261,'부의금 입력'!$H$2:$H$1001,0))&amp;"")</f>
        <v/>
      </c>
      <c r="E261" s="16">
        <f>IF($A261="","",INDEX('부의금 입력'!$E$2:$E$1001,MATCH($A261,'부의금 입력'!$H$2:$H$1001,0))&amp;"")</f>
        <v/>
      </c>
      <c r="H261" s="16">
        <f>IF(258&gt;$I$1,"",INDEX('근조 화환'!$B$2:$B$501,MATCH(258,'근조 화환'!$G$2:$G$501,0))&amp;"")</f>
        <v/>
      </c>
      <c r="I261" s="16">
        <f>IF(258&gt;$I$1,"",INDEX('근조 화환'!$C$2:$C$501,MATCH(258,'근조 화환'!$G$2:$G$501,0))&amp;"")</f>
        <v/>
      </c>
      <c r="J261" s="16">
        <f>IF(258&gt;$I$1,"",INDEX('근조 화환'!$D$2:$D$501,MATCH(258,'근조 화환'!$G$2:$G$501,0))&amp;"")</f>
        <v/>
      </c>
      <c r="K261" s="16">
        <f>IF(258&gt;$I$1,"",INDEX('근조 화환'!$E$2:$E$501,MATCH(258,'근조 화환'!$G$2:$G$501,0))&amp;"")</f>
        <v/>
      </c>
    </row>
    <row r="262">
      <c r="A262" s="16">
        <f>IF(259&lt;=$F$1,259,"")</f>
        <v/>
      </c>
      <c r="B262" s="16">
        <f>IF($A262="","",INDEX('부의금 입력'!$B$2:$B$1001,MATCH($A262,'부의금 입력'!$H$2:$H$1001,0))&amp;"")</f>
        <v/>
      </c>
      <c r="C262" s="18">
        <f>IF($A262="","",INDEX('부의금 입력'!$C$2:$C$1001,MATCH($A262,'부의금 입력'!$H$2:$H$1001,0)))</f>
        <v/>
      </c>
      <c r="D262" s="16">
        <f>IF($A262="","",INDEX('부의금 입력'!$D$2:$D$1001,MATCH($A262,'부의금 입력'!$H$2:$H$1001,0))&amp;"")</f>
        <v/>
      </c>
      <c r="E262" s="16">
        <f>IF($A262="","",INDEX('부의금 입력'!$E$2:$E$1001,MATCH($A262,'부의금 입력'!$H$2:$H$1001,0))&amp;"")</f>
        <v/>
      </c>
      <c r="H262" s="16">
        <f>IF(259&gt;$I$1,"",INDEX('근조 화환'!$B$2:$B$501,MATCH(259,'근조 화환'!$G$2:$G$501,0))&amp;"")</f>
        <v/>
      </c>
      <c r="I262" s="16">
        <f>IF(259&gt;$I$1,"",INDEX('근조 화환'!$C$2:$C$501,MATCH(259,'근조 화환'!$G$2:$G$501,0))&amp;"")</f>
        <v/>
      </c>
      <c r="J262" s="16">
        <f>IF(259&gt;$I$1,"",INDEX('근조 화환'!$D$2:$D$501,MATCH(259,'근조 화환'!$G$2:$G$501,0))&amp;"")</f>
        <v/>
      </c>
      <c r="K262" s="16">
        <f>IF(259&gt;$I$1,"",INDEX('근조 화환'!$E$2:$E$501,MATCH(259,'근조 화환'!$G$2:$G$501,0))&amp;"")</f>
        <v/>
      </c>
    </row>
    <row r="263">
      <c r="A263" s="16">
        <f>IF(260&lt;=$F$1,260,"")</f>
        <v/>
      </c>
      <c r="B263" s="16">
        <f>IF($A263="","",INDEX('부의금 입력'!$B$2:$B$1001,MATCH($A263,'부의금 입력'!$H$2:$H$1001,0))&amp;"")</f>
        <v/>
      </c>
      <c r="C263" s="18">
        <f>IF($A263="","",INDEX('부의금 입력'!$C$2:$C$1001,MATCH($A263,'부의금 입력'!$H$2:$H$1001,0)))</f>
        <v/>
      </c>
      <c r="D263" s="16">
        <f>IF($A263="","",INDEX('부의금 입력'!$D$2:$D$1001,MATCH($A263,'부의금 입력'!$H$2:$H$1001,0))&amp;"")</f>
        <v/>
      </c>
      <c r="E263" s="16">
        <f>IF($A263="","",INDEX('부의금 입력'!$E$2:$E$1001,MATCH($A263,'부의금 입력'!$H$2:$H$1001,0))&amp;"")</f>
        <v/>
      </c>
      <c r="H263" s="16">
        <f>IF(260&gt;$I$1,"",INDEX('근조 화환'!$B$2:$B$501,MATCH(260,'근조 화환'!$G$2:$G$501,0))&amp;"")</f>
        <v/>
      </c>
      <c r="I263" s="16">
        <f>IF(260&gt;$I$1,"",INDEX('근조 화환'!$C$2:$C$501,MATCH(260,'근조 화환'!$G$2:$G$501,0))&amp;"")</f>
        <v/>
      </c>
      <c r="J263" s="16">
        <f>IF(260&gt;$I$1,"",INDEX('근조 화환'!$D$2:$D$501,MATCH(260,'근조 화환'!$G$2:$G$501,0))&amp;"")</f>
        <v/>
      </c>
      <c r="K263" s="16">
        <f>IF(260&gt;$I$1,"",INDEX('근조 화환'!$E$2:$E$501,MATCH(260,'근조 화환'!$G$2:$G$501,0))&amp;"")</f>
        <v/>
      </c>
    </row>
    <row r="264">
      <c r="A264" s="16">
        <f>IF(261&lt;=$F$1,261,"")</f>
        <v/>
      </c>
      <c r="B264" s="16">
        <f>IF($A264="","",INDEX('부의금 입력'!$B$2:$B$1001,MATCH($A264,'부의금 입력'!$H$2:$H$1001,0))&amp;"")</f>
        <v/>
      </c>
      <c r="C264" s="18">
        <f>IF($A264="","",INDEX('부의금 입력'!$C$2:$C$1001,MATCH($A264,'부의금 입력'!$H$2:$H$1001,0)))</f>
        <v/>
      </c>
      <c r="D264" s="16">
        <f>IF($A264="","",INDEX('부의금 입력'!$D$2:$D$1001,MATCH($A264,'부의금 입력'!$H$2:$H$1001,0))&amp;"")</f>
        <v/>
      </c>
      <c r="E264" s="16">
        <f>IF($A264="","",INDEX('부의금 입력'!$E$2:$E$1001,MATCH($A264,'부의금 입력'!$H$2:$H$1001,0))&amp;"")</f>
        <v/>
      </c>
      <c r="H264" s="16">
        <f>IF(261&gt;$I$1,"",INDEX('근조 화환'!$B$2:$B$501,MATCH(261,'근조 화환'!$G$2:$G$501,0))&amp;"")</f>
        <v/>
      </c>
      <c r="I264" s="16">
        <f>IF(261&gt;$I$1,"",INDEX('근조 화환'!$C$2:$C$501,MATCH(261,'근조 화환'!$G$2:$G$501,0))&amp;"")</f>
        <v/>
      </c>
      <c r="J264" s="16">
        <f>IF(261&gt;$I$1,"",INDEX('근조 화환'!$D$2:$D$501,MATCH(261,'근조 화환'!$G$2:$G$501,0))&amp;"")</f>
        <v/>
      </c>
      <c r="K264" s="16">
        <f>IF(261&gt;$I$1,"",INDEX('근조 화환'!$E$2:$E$501,MATCH(261,'근조 화환'!$G$2:$G$501,0))&amp;"")</f>
        <v/>
      </c>
    </row>
    <row r="265">
      <c r="A265" s="16">
        <f>IF(262&lt;=$F$1,262,"")</f>
        <v/>
      </c>
      <c r="B265" s="16">
        <f>IF($A265="","",INDEX('부의금 입력'!$B$2:$B$1001,MATCH($A265,'부의금 입력'!$H$2:$H$1001,0))&amp;"")</f>
        <v/>
      </c>
      <c r="C265" s="18">
        <f>IF($A265="","",INDEX('부의금 입력'!$C$2:$C$1001,MATCH($A265,'부의금 입력'!$H$2:$H$1001,0)))</f>
        <v/>
      </c>
      <c r="D265" s="16">
        <f>IF($A265="","",INDEX('부의금 입력'!$D$2:$D$1001,MATCH($A265,'부의금 입력'!$H$2:$H$1001,0))&amp;"")</f>
        <v/>
      </c>
      <c r="E265" s="16">
        <f>IF($A265="","",INDEX('부의금 입력'!$E$2:$E$1001,MATCH($A265,'부의금 입력'!$H$2:$H$1001,0))&amp;"")</f>
        <v/>
      </c>
      <c r="H265" s="16">
        <f>IF(262&gt;$I$1,"",INDEX('근조 화환'!$B$2:$B$501,MATCH(262,'근조 화환'!$G$2:$G$501,0))&amp;"")</f>
        <v/>
      </c>
      <c r="I265" s="16">
        <f>IF(262&gt;$I$1,"",INDEX('근조 화환'!$C$2:$C$501,MATCH(262,'근조 화환'!$G$2:$G$501,0))&amp;"")</f>
        <v/>
      </c>
      <c r="J265" s="16">
        <f>IF(262&gt;$I$1,"",INDEX('근조 화환'!$D$2:$D$501,MATCH(262,'근조 화환'!$G$2:$G$501,0))&amp;"")</f>
        <v/>
      </c>
      <c r="K265" s="16">
        <f>IF(262&gt;$I$1,"",INDEX('근조 화환'!$E$2:$E$501,MATCH(262,'근조 화환'!$G$2:$G$501,0))&amp;"")</f>
        <v/>
      </c>
    </row>
    <row r="266">
      <c r="A266" s="16">
        <f>IF(263&lt;=$F$1,263,"")</f>
        <v/>
      </c>
      <c r="B266" s="16">
        <f>IF($A266="","",INDEX('부의금 입력'!$B$2:$B$1001,MATCH($A266,'부의금 입력'!$H$2:$H$1001,0))&amp;"")</f>
        <v/>
      </c>
      <c r="C266" s="18">
        <f>IF($A266="","",INDEX('부의금 입력'!$C$2:$C$1001,MATCH($A266,'부의금 입력'!$H$2:$H$1001,0)))</f>
        <v/>
      </c>
      <c r="D266" s="16">
        <f>IF($A266="","",INDEX('부의금 입력'!$D$2:$D$1001,MATCH($A266,'부의금 입력'!$H$2:$H$1001,0))&amp;"")</f>
        <v/>
      </c>
      <c r="E266" s="16">
        <f>IF($A266="","",INDEX('부의금 입력'!$E$2:$E$1001,MATCH($A266,'부의금 입력'!$H$2:$H$1001,0))&amp;"")</f>
        <v/>
      </c>
      <c r="H266" s="16">
        <f>IF(263&gt;$I$1,"",INDEX('근조 화환'!$B$2:$B$501,MATCH(263,'근조 화환'!$G$2:$G$501,0))&amp;"")</f>
        <v/>
      </c>
      <c r="I266" s="16">
        <f>IF(263&gt;$I$1,"",INDEX('근조 화환'!$C$2:$C$501,MATCH(263,'근조 화환'!$G$2:$G$501,0))&amp;"")</f>
        <v/>
      </c>
      <c r="J266" s="16">
        <f>IF(263&gt;$I$1,"",INDEX('근조 화환'!$D$2:$D$501,MATCH(263,'근조 화환'!$G$2:$G$501,0))&amp;"")</f>
        <v/>
      </c>
      <c r="K266" s="16">
        <f>IF(263&gt;$I$1,"",INDEX('근조 화환'!$E$2:$E$501,MATCH(263,'근조 화환'!$G$2:$G$501,0))&amp;"")</f>
        <v/>
      </c>
    </row>
    <row r="267">
      <c r="A267" s="16">
        <f>IF(264&lt;=$F$1,264,"")</f>
        <v/>
      </c>
      <c r="B267" s="16">
        <f>IF($A267="","",INDEX('부의금 입력'!$B$2:$B$1001,MATCH($A267,'부의금 입력'!$H$2:$H$1001,0))&amp;"")</f>
        <v/>
      </c>
      <c r="C267" s="18">
        <f>IF($A267="","",INDEX('부의금 입력'!$C$2:$C$1001,MATCH($A267,'부의금 입력'!$H$2:$H$1001,0)))</f>
        <v/>
      </c>
      <c r="D267" s="16">
        <f>IF($A267="","",INDEX('부의금 입력'!$D$2:$D$1001,MATCH($A267,'부의금 입력'!$H$2:$H$1001,0))&amp;"")</f>
        <v/>
      </c>
      <c r="E267" s="16">
        <f>IF($A267="","",INDEX('부의금 입력'!$E$2:$E$1001,MATCH($A267,'부의금 입력'!$H$2:$H$1001,0))&amp;"")</f>
        <v/>
      </c>
      <c r="H267" s="16">
        <f>IF(264&gt;$I$1,"",INDEX('근조 화환'!$B$2:$B$501,MATCH(264,'근조 화환'!$G$2:$G$501,0))&amp;"")</f>
        <v/>
      </c>
      <c r="I267" s="16">
        <f>IF(264&gt;$I$1,"",INDEX('근조 화환'!$C$2:$C$501,MATCH(264,'근조 화환'!$G$2:$G$501,0))&amp;"")</f>
        <v/>
      </c>
      <c r="J267" s="16">
        <f>IF(264&gt;$I$1,"",INDEX('근조 화환'!$D$2:$D$501,MATCH(264,'근조 화환'!$G$2:$G$501,0))&amp;"")</f>
        <v/>
      </c>
      <c r="K267" s="16">
        <f>IF(264&gt;$I$1,"",INDEX('근조 화환'!$E$2:$E$501,MATCH(264,'근조 화환'!$G$2:$G$501,0))&amp;"")</f>
        <v/>
      </c>
    </row>
    <row r="268">
      <c r="A268" s="16">
        <f>IF(265&lt;=$F$1,265,"")</f>
        <v/>
      </c>
      <c r="B268" s="16">
        <f>IF($A268="","",INDEX('부의금 입력'!$B$2:$B$1001,MATCH($A268,'부의금 입력'!$H$2:$H$1001,0))&amp;"")</f>
        <v/>
      </c>
      <c r="C268" s="18">
        <f>IF($A268="","",INDEX('부의금 입력'!$C$2:$C$1001,MATCH($A268,'부의금 입력'!$H$2:$H$1001,0)))</f>
        <v/>
      </c>
      <c r="D268" s="16">
        <f>IF($A268="","",INDEX('부의금 입력'!$D$2:$D$1001,MATCH($A268,'부의금 입력'!$H$2:$H$1001,0))&amp;"")</f>
        <v/>
      </c>
      <c r="E268" s="16">
        <f>IF($A268="","",INDEX('부의금 입력'!$E$2:$E$1001,MATCH($A268,'부의금 입력'!$H$2:$H$1001,0))&amp;"")</f>
        <v/>
      </c>
      <c r="H268" s="16">
        <f>IF(265&gt;$I$1,"",INDEX('근조 화환'!$B$2:$B$501,MATCH(265,'근조 화환'!$G$2:$G$501,0))&amp;"")</f>
        <v/>
      </c>
      <c r="I268" s="16">
        <f>IF(265&gt;$I$1,"",INDEX('근조 화환'!$C$2:$C$501,MATCH(265,'근조 화환'!$G$2:$G$501,0))&amp;"")</f>
        <v/>
      </c>
      <c r="J268" s="16">
        <f>IF(265&gt;$I$1,"",INDEX('근조 화환'!$D$2:$D$501,MATCH(265,'근조 화환'!$G$2:$G$501,0))&amp;"")</f>
        <v/>
      </c>
      <c r="K268" s="16">
        <f>IF(265&gt;$I$1,"",INDEX('근조 화환'!$E$2:$E$501,MATCH(265,'근조 화환'!$G$2:$G$501,0))&amp;"")</f>
        <v/>
      </c>
    </row>
    <row r="269">
      <c r="A269" s="16">
        <f>IF(266&lt;=$F$1,266,"")</f>
        <v/>
      </c>
      <c r="B269" s="16">
        <f>IF($A269="","",INDEX('부의금 입력'!$B$2:$B$1001,MATCH($A269,'부의금 입력'!$H$2:$H$1001,0))&amp;"")</f>
        <v/>
      </c>
      <c r="C269" s="18">
        <f>IF($A269="","",INDEX('부의금 입력'!$C$2:$C$1001,MATCH($A269,'부의금 입력'!$H$2:$H$1001,0)))</f>
        <v/>
      </c>
      <c r="D269" s="16">
        <f>IF($A269="","",INDEX('부의금 입력'!$D$2:$D$1001,MATCH($A269,'부의금 입력'!$H$2:$H$1001,0))&amp;"")</f>
        <v/>
      </c>
      <c r="E269" s="16">
        <f>IF($A269="","",INDEX('부의금 입력'!$E$2:$E$1001,MATCH($A269,'부의금 입력'!$H$2:$H$1001,0))&amp;"")</f>
        <v/>
      </c>
      <c r="H269" s="16">
        <f>IF(266&gt;$I$1,"",INDEX('근조 화환'!$B$2:$B$501,MATCH(266,'근조 화환'!$G$2:$G$501,0))&amp;"")</f>
        <v/>
      </c>
      <c r="I269" s="16">
        <f>IF(266&gt;$I$1,"",INDEX('근조 화환'!$C$2:$C$501,MATCH(266,'근조 화환'!$G$2:$G$501,0))&amp;"")</f>
        <v/>
      </c>
      <c r="J269" s="16">
        <f>IF(266&gt;$I$1,"",INDEX('근조 화환'!$D$2:$D$501,MATCH(266,'근조 화환'!$G$2:$G$501,0))&amp;"")</f>
        <v/>
      </c>
      <c r="K269" s="16">
        <f>IF(266&gt;$I$1,"",INDEX('근조 화환'!$E$2:$E$501,MATCH(266,'근조 화환'!$G$2:$G$501,0))&amp;"")</f>
        <v/>
      </c>
    </row>
    <row r="270">
      <c r="A270" s="16">
        <f>IF(267&lt;=$F$1,267,"")</f>
        <v/>
      </c>
      <c r="B270" s="16">
        <f>IF($A270="","",INDEX('부의금 입력'!$B$2:$B$1001,MATCH($A270,'부의금 입력'!$H$2:$H$1001,0))&amp;"")</f>
        <v/>
      </c>
      <c r="C270" s="18">
        <f>IF($A270="","",INDEX('부의금 입력'!$C$2:$C$1001,MATCH($A270,'부의금 입력'!$H$2:$H$1001,0)))</f>
        <v/>
      </c>
      <c r="D270" s="16">
        <f>IF($A270="","",INDEX('부의금 입력'!$D$2:$D$1001,MATCH($A270,'부의금 입력'!$H$2:$H$1001,0))&amp;"")</f>
        <v/>
      </c>
      <c r="E270" s="16">
        <f>IF($A270="","",INDEX('부의금 입력'!$E$2:$E$1001,MATCH($A270,'부의금 입력'!$H$2:$H$1001,0))&amp;"")</f>
        <v/>
      </c>
      <c r="H270" s="16">
        <f>IF(267&gt;$I$1,"",INDEX('근조 화환'!$B$2:$B$501,MATCH(267,'근조 화환'!$G$2:$G$501,0))&amp;"")</f>
        <v/>
      </c>
      <c r="I270" s="16">
        <f>IF(267&gt;$I$1,"",INDEX('근조 화환'!$C$2:$C$501,MATCH(267,'근조 화환'!$G$2:$G$501,0))&amp;"")</f>
        <v/>
      </c>
      <c r="J270" s="16">
        <f>IF(267&gt;$I$1,"",INDEX('근조 화환'!$D$2:$D$501,MATCH(267,'근조 화환'!$G$2:$G$501,0))&amp;"")</f>
        <v/>
      </c>
      <c r="K270" s="16">
        <f>IF(267&gt;$I$1,"",INDEX('근조 화환'!$E$2:$E$501,MATCH(267,'근조 화환'!$G$2:$G$501,0))&amp;"")</f>
        <v/>
      </c>
    </row>
    <row r="271">
      <c r="A271" s="16">
        <f>IF(268&lt;=$F$1,268,"")</f>
        <v/>
      </c>
      <c r="B271" s="16">
        <f>IF($A271="","",INDEX('부의금 입력'!$B$2:$B$1001,MATCH($A271,'부의금 입력'!$H$2:$H$1001,0))&amp;"")</f>
        <v/>
      </c>
      <c r="C271" s="18">
        <f>IF($A271="","",INDEX('부의금 입력'!$C$2:$C$1001,MATCH($A271,'부의금 입력'!$H$2:$H$1001,0)))</f>
        <v/>
      </c>
      <c r="D271" s="16">
        <f>IF($A271="","",INDEX('부의금 입력'!$D$2:$D$1001,MATCH($A271,'부의금 입력'!$H$2:$H$1001,0))&amp;"")</f>
        <v/>
      </c>
      <c r="E271" s="16">
        <f>IF($A271="","",INDEX('부의금 입력'!$E$2:$E$1001,MATCH($A271,'부의금 입력'!$H$2:$H$1001,0))&amp;"")</f>
        <v/>
      </c>
      <c r="H271" s="16">
        <f>IF(268&gt;$I$1,"",INDEX('근조 화환'!$B$2:$B$501,MATCH(268,'근조 화환'!$G$2:$G$501,0))&amp;"")</f>
        <v/>
      </c>
      <c r="I271" s="16">
        <f>IF(268&gt;$I$1,"",INDEX('근조 화환'!$C$2:$C$501,MATCH(268,'근조 화환'!$G$2:$G$501,0))&amp;"")</f>
        <v/>
      </c>
      <c r="J271" s="16">
        <f>IF(268&gt;$I$1,"",INDEX('근조 화환'!$D$2:$D$501,MATCH(268,'근조 화환'!$G$2:$G$501,0))&amp;"")</f>
        <v/>
      </c>
      <c r="K271" s="16">
        <f>IF(268&gt;$I$1,"",INDEX('근조 화환'!$E$2:$E$501,MATCH(268,'근조 화환'!$G$2:$G$501,0))&amp;"")</f>
        <v/>
      </c>
    </row>
    <row r="272">
      <c r="A272" s="16">
        <f>IF(269&lt;=$F$1,269,"")</f>
        <v/>
      </c>
      <c r="B272" s="16">
        <f>IF($A272="","",INDEX('부의금 입력'!$B$2:$B$1001,MATCH($A272,'부의금 입력'!$H$2:$H$1001,0))&amp;"")</f>
        <v/>
      </c>
      <c r="C272" s="18">
        <f>IF($A272="","",INDEX('부의금 입력'!$C$2:$C$1001,MATCH($A272,'부의금 입력'!$H$2:$H$1001,0)))</f>
        <v/>
      </c>
      <c r="D272" s="16">
        <f>IF($A272="","",INDEX('부의금 입력'!$D$2:$D$1001,MATCH($A272,'부의금 입력'!$H$2:$H$1001,0))&amp;"")</f>
        <v/>
      </c>
      <c r="E272" s="16">
        <f>IF($A272="","",INDEX('부의금 입력'!$E$2:$E$1001,MATCH($A272,'부의금 입력'!$H$2:$H$1001,0))&amp;"")</f>
        <v/>
      </c>
      <c r="H272" s="16">
        <f>IF(269&gt;$I$1,"",INDEX('근조 화환'!$B$2:$B$501,MATCH(269,'근조 화환'!$G$2:$G$501,0))&amp;"")</f>
        <v/>
      </c>
      <c r="I272" s="16">
        <f>IF(269&gt;$I$1,"",INDEX('근조 화환'!$C$2:$C$501,MATCH(269,'근조 화환'!$G$2:$G$501,0))&amp;"")</f>
        <v/>
      </c>
      <c r="J272" s="16">
        <f>IF(269&gt;$I$1,"",INDEX('근조 화환'!$D$2:$D$501,MATCH(269,'근조 화환'!$G$2:$G$501,0))&amp;"")</f>
        <v/>
      </c>
      <c r="K272" s="16">
        <f>IF(269&gt;$I$1,"",INDEX('근조 화환'!$E$2:$E$501,MATCH(269,'근조 화환'!$G$2:$G$501,0))&amp;"")</f>
        <v/>
      </c>
    </row>
    <row r="273">
      <c r="A273" s="16">
        <f>IF(270&lt;=$F$1,270,"")</f>
        <v/>
      </c>
      <c r="B273" s="16">
        <f>IF($A273="","",INDEX('부의금 입력'!$B$2:$B$1001,MATCH($A273,'부의금 입력'!$H$2:$H$1001,0))&amp;"")</f>
        <v/>
      </c>
      <c r="C273" s="18">
        <f>IF($A273="","",INDEX('부의금 입력'!$C$2:$C$1001,MATCH($A273,'부의금 입력'!$H$2:$H$1001,0)))</f>
        <v/>
      </c>
      <c r="D273" s="16">
        <f>IF($A273="","",INDEX('부의금 입력'!$D$2:$D$1001,MATCH($A273,'부의금 입력'!$H$2:$H$1001,0))&amp;"")</f>
        <v/>
      </c>
      <c r="E273" s="16">
        <f>IF($A273="","",INDEX('부의금 입력'!$E$2:$E$1001,MATCH($A273,'부의금 입력'!$H$2:$H$1001,0))&amp;"")</f>
        <v/>
      </c>
      <c r="H273" s="16">
        <f>IF(270&gt;$I$1,"",INDEX('근조 화환'!$B$2:$B$501,MATCH(270,'근조 화환'!$G$2:$G$501,0))&amp;"")</f>
        <v/>
      </c>
      <c r="I273" s="16">
        <f>IF(270&gt;$I$1,"",INDEX('근조 화환'!$C$2:$C$501,MATCH(270,'근조 화환'!$G$2:$G$501,0))&amp;"")</f>
        <v/>
      </c>
      <c r="J273" s="16">
        <f>IF(270&gt;$I$1,"",INDEX('근조 화환'!$D$2:$D$501,MATCH(270,'근조 화환'!$G$2:$G$501,0))&amp;"")</f>
        <v/>
      </c>
      <c r="K273" s="16">
        <f>IF(270&gt;$I$1,"",INDEX('근조 화환'!$E$2:$E$501,MATCH(270,'근조 화환'!$G$2:$G$501,0))&amp;"")</f>
        <v/>
      </c>
    </row>
    <row r="274">
      <c r="A274" s="16">
        <f>IF(271&lt;=$F$1,271,"")</f>
        <v/>
      </c>
      <c r="B274" s="16">
        <f>IF($A274="","",INDEX('부의금 입력'!$B$2:$B$1001,MATCH($A274,'부의금 입력'!$H$2:$H$1001,0))&amp;"")</f>
        <v/>
      </c>
      <c r="C274" s="18">
        <f>IF($A274="","",INDEX('부의금 입력'!$C$2:$C$1001,MATCH($A274,'부의금 입력'!$H$2:$H$1001,0)))</f>
        <v/>
      </c>
      <c r="D274" s="16">
        <f>IF($A274="","",INDEX('부의금 입력'!$D$2:$D$1001,MATCH($A274,'부의금 입력'!$H$2:$H$1001,0))&amp;"")</f>
        <v/>
      </c>
      <c r="E274" s="16">
        <f>IF($A274="","",INDEX('부의금 입력'!$E$2:$E$1001,MATCH($A274,'부의금 입력'!$H$2:$H$1001,0))&amp;"")</f>
        <v/>
      </c>
      <c r="H274" s="16">
        <f>IF(271&gt;$I$1,"",INDEX('근조 화환'!$B$2:$B$501,MATCH(271,'근조 화환'!$G$2:$G$501,0))&amp;"")</f>
        <v/>
      </c>
      <c r="I274" s="16">
        <f>IF(271&gt;$I$1,"",INDEX('근조 화환'!$C$2:$C$501,MATCH(271,'근조 화환'!$G$2:$G$501,0))&amp;"")</f>
        <v/>
      </c>
      <c r="J274" s="16">
        <f>IF(271&gt;$I$1,"",INDEX('근조 화환'!$D$2:$D$501,MATCH(271,'근조 화환'!$G$2:$G$501,0))&amp;"")</f>
        <v/>
      </c>
      <c r="K274" s="16">
        <f>IF(271&gt;$I$1,"",INDEX('근조 화환'!$E$2:$E$501,MATCH(271,'근조 화환'!$G$2:$G$501,0))&amp;"")</f>
        <v/>
      </c>
    </row>
    <row r="275">
      <c r="A275" s="16">
        <f>IF(272&lt;=$F$1,272,"")</f>
        <v/>
      </c>
      <c r="B275" s="16">
        <f>IF($A275="","",INDEX('부의금 입력'!$B$2:$B$1001,MATCH($A275,'부의금 입력'!$H$2:$H$1001,0))&amp;"")</f>
        <v/>
      </c>
      <c r="C275" s="18">
        <f>IF($A275="","",INDEX('부의금 입력'!$C$2:$C$1001,MATCH($A275,'부의금 입력'!$H$2:$H$1001,0)))</f>
        <v/>
      </c>
      <c r="D275" s="16">
        <f>IF($A275="","",INDEX('부의금 입력'!$D$2:$D$1001,MATCH($A275,'부의금 입력'!$H$2:$H$1001,0))&amp;"")</f>
        <v/>
      </c>
      <c r="E275" s="16">
        <f>IF($A275="","",INDEX('부의금 입력'!$E$2:$E$1001,MATCH($A275,'부의금 입력'!$H$2:$H$1001,0))&amp;"")</f>
        <v/>
      </c>
      <c r="H275" s="16">
        <f>IF(272&gt;$I$1,"",INDEX('근조 화환'!$B$2:$B$501,MATCH(272,'근조 화환'!$G$2:$G$501,0))&amp;"")</f>
        <v/>
      </c>
      <c r="I275" s="16">
        <f>IF(272&gt;$I$1,"",INDEX('근조 화환'!$C$2:$C$501,MATCH(272,'근조 화환'!$G$2:$G$501,0))&amp;"")</f>
        <v/>
      </c>
      <c r="J275" s="16">
        <f>IF(272&gt;$I$1,"",INDEX('근조 화환'!$D$2:$D$501,MATCH(272,'근조 화환'!$G$2:$G$501,0))&amp;"")</f>
        <v/>
      </c>
      <c r="K275" s="16">
        <f>IF(272&gt;$I$1,"",INDEX('근조 화환'!$E$2:$E$501,MATCH(272,'근조 화환'!$G$2:$G$501,0))&amp;"")</f>
        <v/>
      </c>
    </row>
    <row r="276">
      <c r="A276" s="16">
        <f>IF(273&lt;=$F$1,273,"")</f>
        <v/>
      </c>
      <c r="B276" s="16">
        <f>IF($A276="","",INDEX('부의금 입력'!$B$2:$B$1001,MATCH($A276,'부의금 입력'!$H$2:$H$1001,0))&amp;"")</f>
        <v/>
      </c>
      <c r="C276" s="18">
        <f>IF($A276="","",INDEX('부의금 입력'!$C$2:$C$1001,MATCH($A276,'부의금 입력'!$H$2:$H$1001,0)))</f>
        <v/>
      </c>
      <c r="D276" s="16">
        <f>IF($A276="","",INDEX('부의금 입력'!$D$2:$D$1001,MATCH($A276,'부의금 입력'!$H$2:$H$1001,0))&amp;"")</f>
        <v/>
      </c>
      <c r="E276" s="16">
        <f>IF($A276="","",INDEX('부의금 입력'!$E$2:$E$1001,MATCH($A276,'부의금 입력'!$H$2:$H$1001,0))&amp;"")</f>
        <v/>
      </c>
      <c r="H276" s="16">
        <f>IF(273&gt;$I$1,"",INDEX('근조 화환'!$B$2:$B$501,MATCH(273,'근조 화환'!$G$2:$G$501,0))&amp;"")</f>
        <v/>
      </c>
      <c r="I276" s="16">
        <f>IF(273&gt;$I$1,"",INDEX('근조 화환'!$C$2:$C$501,MATCH(273,'근조 화환'!$G$2:$G$501,0))&amp;"")</f>
        <v/>
      </c>
      <c r="J276" s="16">
        <f>IF(273&gt;$I$1,"",INDEX('근조 화환'!$D$2:$D$501,MATCH(273,'근조 화환'!$G$2:$G$501,0))&amp;"")</f>
        <v/>
      </c>
      <c r="K276" s="16">
        <f>IF(273&gt;$I$1,"",INDEX('근조 화환'!$E$2:$E$501,MATCH(273,'근조 화환'!$G$2:$G$501,0))&amp;"")</f>
        <v/>
      </c>
    </row>
    <row r="277">
      <c r="A277" s="16">
        <f>IF(274&lt;=$F$1,274,"")</f>
        <v/>
      </c>
      <c r="B277" s="16">
        <f>IF($A277="","",INDEX('부의금 입력'!$B$2:$B$1001,MATCH($A277,'부의금 입력'!$H$2:$H$1001,0))&amp;"")</f>
        <v/>
      </c>
      <c r="C277" s="18">
        <f>IF($A277="","",INDEX('부의금 입력'!$C$2:$C$1001,MATCH($A277,'부의금 입력'!$H$2:$H$1001,0)))</f>
        <v/>
      </c>
      <c r="D277" s="16">
        <f>IF($A277="","",INDEX('부의금 입력'!$D$2:$D$1001,MATCH($A277,'부의금 입력'!$H$2:$H$1001,0))&amp;"")</f>
        <v/>
      </c>
      <c r="E277" s="16">
        <f>IF($A277="","",INDEX('부의금 입력'!$E$2:$E$1001,MATCH($A277,'부의금 입력'!$H$2:$H$1001,0))&amp;"")</f>
        <v/>
      </c>
      <c r="H277" s="16">
        <f>IF(274&gt;$I$1,"",INDEX('근조 화환'!$B$2:$B$501,MATCH(274,'근조 화환'!$G$2:$G$501,0))&amp;"")</f>
        <v/>
      </c>
      <c r="I277" s="16">
        <f>IF(274&gt;$I$1,"",INDEX('근조 화환'!$C$2:$C$501,MATCH(274,'근조 화환'!$G$2:$G$501,0))&amp;"")</f>
        <v/>
      </c>
      <c r="J277" s="16">
        <f>IF(274&gt;$I$1,"",INDEX('근조 화환'!$D$2:$D$501,MATCH(274,'근조 화환'!$G$2:$G$501,0))&amp;"")</f>
        <v/>
      </c>
      <c r="K277" s="16">
        <f>IF(274&gt;$I$1,"",INDEX('근조 화환'!$E$2:$E$501,MATCH(274,'근조 화환'!$G$2:$G$501,0))&amp;"")</f>
        <v/>
      </c>
    </row>
    <row r="278">
      <c r="A278" s="16">
        <f>IF(275&lt;=$F$1,275,"")</f>
        <v/>
      </c>
      <c r="B278" s="16">
        <f>IF($A278="","",INDEX('부의금 입력'!$B$2:$B$1001,MATCH($A278,'부의금 입력'!$H$2:$H$1001,0))&amp;"")</f>
        <v/>
      </c>
      <c r="C278" s="18">
        <f>IF($A278="","",INDEX('부의금 입력'!$C$2:$C$1001,MATCH($A278,'부의금 입력'!$H$2:$H$1001,0)))</f>
        <v/>
      </c>
      <c r="D278" s="16">
        <f>IF($A278="","",INDEX('부의금 입력'!$D$2:$D$1001,MATCH($A278,'부의금 입력'!$H$2:$H$1001,0))&amp;"")</f>
        <v/>
      </c>
      <c r="E278" s="16">
        <f>IF($A278="","",INDEX('부의금 입력'!$E$2:$E$1001,MATCH($A278,'부의금 입력'!$H$2:$H$1001,0))&amp;"")</f>
        <v/>
      </c>
      <c r="H278" s="16">
        <f>IF(275&gt;$I$1,"",INDEX('근조 화환'!$B$2:$B$501,MATCH(275,'근조 화환'!$G$2:$G$501,0))&amp;"")</f>
        <v/>
      </c>
      <c r="I278" s="16">
        <f>IF(275&gt;$I$1,"",INDEX('근조 화환'!$C$2:$C$501,MATCH(275,'근조 화환'!$G$2:$G$501,0))&amp;"")</f>
        <v/>
      </c>
      <c r="J278" s="16">
        <f>IF(275&gt;$I$1,"",INDEX('근조 화환'!$D$2:$D$501,MATCH(275,'근조 화환'!$G$2:$G$501,0))&amp;"")</f>
        <v/>
      </c>
      <c r="K278" s="16">
        <f>IF(275&gt;$I$1,"",INDEX('근조 화환'!$E$2:$E$501,MATCH(275,'근조 화환'!$G$2:$G$501,0))&amp;"")</f>
        <v/>
      </c>
    </row>
    <row r="279">
      <c r="A279" s="16">
        <f>IF(276&lt;=$F$1,276,"")</f>
        <v/>
      </c>
      <c r="B279" s="16">
        <f>IF($A279="","",INDEX('부의금 입력'!$B$2:$B$1001,MATCH($A279,'부의금 입력'!$H$2:$H$1001,0))&amp;"")</f>
        <v/>
      </c>
      <c r="C279" s="18">
        <f>IF($A279="","",INDEX('부의금 입력'!$C$2:$C$1001,MATCH($A279,'부의금 입력'!$H$2:$H$1001,0)))</f>
        <v/>
      </c>
      <c r="D279" s="16">
        <f>IF($A279="","",INDEX('부의금 입력'!$D$2:$D$1001,MATCH($A279,'부의금 입력'!$H$2:$H$1001,0))&amp;"")</f>
        <v/>
      </c>
      <c r="E279" s="16">
        <f>IF($A279="","",INDEX('부의금 입력'!$E$2:$E$1001,MATCH($A279,'부의금 입력'!$H$2:$H$1001,0))&amp;"")</f>
        <v/>
      </c>
      <c r="H279" s="16">
        <f>IF(276&gt;$I$1,"",INDEX('근조 화환'!$B$2:$B$501,MATCH(276,'근조 화환'!$G$2:$G$501,0))&amp;"")</f>
        <v/>
      </c>
      <c r="I279" s="16">
        <f>IF(276&gt;$I$1,"",INDEX('근조 화환'!$C$2:$C$501,MATCH(276,'근조 화환'!$G$2:$G$501,0))&amp;"")</f>
        <v/>
      </c>
      <c r="J279" s="16">
        <f>IF(276&gt;$I$1,"",INDEX('근조 화환'!$D$2:$D$501,MATCH(276,'근조 화환'!$G$2:$G$501,0))&amp;"")</f>
        <v/>
      </c>
      <c r="K279" s="16">
        <f>IF(276&gt;$I$1,"",INDEX('근조 화환'!$E$2:$E$501,MATCH(276,'근조 화환'!$G$2:$G$501,0))&amp;"")</f>
        <v/>
      </c>
    </row>
    <row r="280">
      <c r="A280" s="16">
        <f>IF(277&lt;=$F$1,277,"")</f>
        <v/>
      </c>
      <c r="B280" s="16">
        <f>IF($A280="","",INDEX('부의금 입력'!$B$2:$B$1001,MATCH($A280,'부의금 입력'!$H$2:$H$1001,0))&amp;"")</f>
        <v/>
      </c>
      <c r="C280" s="18">
        <f>IF($A280="","",INDEX('부의금 입력'!$C$2:$C$1001,MATCH($A280,'부의금 입력'!$H$2:$H$1001,0)))</f>
        <v/>
      </c>
      <c r="D280" s="16">
        <f>IF($A280="","",INDEX('부의금 입력'!$D$2:$D$1001,MATCH($A280,'부의금 입력'!$H$2:$H$1001,0))&amp;"")</f>
        <v/>
      </c>
      <c r="E280" s="16">
        <f>IF($A280="","",INDEX('부의금 입력'!$E$2:$E$1001,MATCH($A280,'부의금 입력'!$H$2:$H$1001,0))&amp;"")</f>
        <v/>
      </c>
      <c r="H280" s="16">
        <f>IF(277&gt;$I$1,"",INDEX('근조 화환'!$B$2:$B$501,MATCH(277,'근조 화환'!$G$2:$G$501,0))&amp;"")</f>
        <v/>
      </c>
      <c r="I280" s="16">
        <f>IF(277&gt;$I$1,"",INDEX('근조 화환'!$C$2:$C$501,MATCH(277,'근조 화환'!$G$2:$G$501,0))&amp;"")</f>
        <v/>
      </c>
      <c r="J280" s="16">
        <f>IF(277&gt;$I$1,"",INDEX('근조 화환'!$D$2:$D$501,MATCH(277,'근조 화환'!$G$2:$G$501,0))&amp;"")</f>
        <v/>
      </c>
      <c r="K280" s="16">
        <f>IF(277&gt;$I$1,"",INDEX('근조 화환'!$E$2:$E$501,MATCH(277,'근조 화환'!$G$2:$G$501,0))&amp;"")</f>
        <v/>
      </c>
    </row>
    <row r="281">
      <c r="A281" s="16">
        <f>IF(278&lt;=$F$1,278,"")</f>
        <v/>
      </c>
      <c r="B281" s="16">
        <f>IF($A281="","",INDEX('부의금 입력'!$B$2:$B$1001,MATCH($A281,'부의금 입력'!$H$2:$H$1001,0))&amp;"")</f>
        <v/>
      </c>
      <c r="C281" s="18">
        <f>IF($A281="","",INDEX('부의금 입력'!$C$2:$C$1001,MATCH($A281,'부의금 입력'!$H$2:$H$1001,0)))</f>
        <v/>
      </c>
      <c r="D281" s="16">
        <f>IF($A281="","",INDEX('부의금 입력'!$D$2:$D$1001,MATCH($A281,'부의금 입력'!$H$2:$H$1001,0))&amp;"")</f>
        <v/>
      </c>
      <c r="E281" s="16">
        <f>IF($A281="","",INDEX('부의금 입력'!$E$2:$E$1001,MATCH($A281,'부의금 입력'!$H$2:$H$1001,0))&amp;"")</f>
        <v/>
      </c>
      <c r="H281" s="16">
        <f>IF(278&gt;$I$1,"",INDEX('근조 화환'!$B$2:$B$501,MATCH(278,'근조 화환'!$G$2:$G$501,0))&amp;"")</f>
        <v/>
      </c>
      <c r="I281" s="16">
        <f>IF(278&gt;$I$1,"",INDEX('근조 화환'!$C$2:$C$501,MATCH(278,'근조 화환'!$G$2:$G$501,0))&amp;"")</f>
        <v/>
      </c>
      <c r="J281" s="16">
        <f>IF(278&gt;$I$1,"",INDEX('근조 화환'!$D$2:$D$501,MATCH(278,'근조 화환'!$G$2:$G$501,0))&amp;"")</f>
        <v/>
      </c>
      <c r="K281" s="16">
        <f>IF(278&gt;$I$1,"",INDEX('근조 화환'!$E$2:$E$501,MATCH(278,'근조 화환'!$G$2:$G$501,0))&amp;"")</f>
        <v/>
      </c>
    </row>
    <row r="282">
      <c r="A282" s="16">
        <f>IF(279&lt;=$F$1,279,"")</f>
        <v/>
      </c>
      <c r="B282" s="16">
        <f>IF($A282="","",INDEX('부의금 입력'!$B$2:$B$1001,MATCH($A282,'부의금 입력'!$H$2:$H$1001,0))&amp;"")</f>
        <v/>
      </c>
      <c r="C282" s="18">
        <f>IF($A282="","",INDEX('부의금 입력'!$C$2:$C$1001,MATCH($A282,'부의금 입력'!$H$2:$H$1001,0)))</f>
        <v/>
      </c>
      <c r="D282" s="16">
        <f>IF($A282="","",INDEX('부의금 입력'!$D$2:$D$1001,MATCH($A282,'부의금 입력'!$H$2:$H$1001,0))&amp;"")</f>
        <v/>
      </c>
      <c r="E282" s="16">
        <f>IF($A282="","",INDEX('부의금 입력'!$E$2:$E$1001,MATCH($A282,'부의금 입력'!$H$2:$H$1001,0))&amp;"")</f>
        <v/>
      </c>
      <c r="H282" s="16">
        <f>IF(279&gt;$I$1,"",INDEX('근조 화환'!$B$2:$B$501,MATCH(279,'근조 화환'!$G$2:$G$501,0))&amp;"")</f>
        <v/>
      </c>
      <c r="I282" s="16">
        <f>IF(279&gt;$I$1,"",INDEX('근조 화환'!$C$2:$C$501,MATCH(279,'근조 화환'!$G$2:$G$501,0))&amp;"")</f>
        <v/>
      </c>
      <c r="J282" s="16">
        <f>IF(279&gt;$I$1,"",INDEX('근조 화환'!$D$2:$D$501,MATCH(279,'근조 화환'!$G$2:$G$501,0))&amp;"")</f>
        <v/>
      </c>
      <c r="K282" s="16">
        <f>IF(279&gt;$I$1,"",INDEX('근조 화환'!$E$2:$E$501,MATCH(279,'근조 화환'!$G$2:$G$501,0))&amp;"")</f>
        <v/>
      </c>
    </row>
    <row r="283">
      <c r="A283" s="16">
        <f>IF(280&lt;=$F$1,280,"")</f>
        <v/>
      </c>
      <c r="B283" s="16">
        <f>IF($A283="","",INDEX('부의금 입력'!$B$2:$B$1001,MATCH($A283,'부의금 입력'!$H$2:$H$1001,0))&amp;"")</f>
        <v/>
      </c>
      <c r="C283" s="18">
        <f>IF($A283="","",INDEX('부의금 입력'!$C$2:$C$1001,MATCH($A283,'부의금 입력'!$H$2:$H$1001,0)))</f>
        <v/>
      </c>
      <c r="D283" s="16">
        <f>IF($A283="","",INDEX('부의금 입력'!$D$2:$D$1001,MATCH($A283,'부의금 입력'!$H$2:$H$1001,0))&amp;"")</f>
        <v/>
      </c>
      <c r="E283" s="16">
        <f>IF($A283="","",INDEX('부의금 입력'!$E$2:$E$1001,MATCH($A283,'부의금 입력'!$H$2:$H$1001,0))&amp;"")</f>
        <v/>
      </c>
      <c r="H283" s="16">
        <f>IF(280&gt;$I$1,"",INDEX('근조 화환'!$B$2:$B$501,MATCH(280,'근조 화환'!$G$2:$G$501,0))&amp;"")</f>
        <v/>
      </c>
      <c r="I283" s="16">
        <f>IF(280&gt;$I$1,"",INDEX('근조 화환'!$C$2:$C$501,MATCH(280,'근조 화환'!$G$2:$G$501,0))&amp;"")</f>
        <v/>
      </c>
      <c r="J283" s="16">
        <f>IF(280&gt;$I$1,"",INDEX('근조 화환'!$D$2:$D$501,MATCH(280,'근조 화환'!$G$2:$G$501,0))&amp;"")</f>
        <v/>
      </c>
      <c r="K283" s="16">
        <f>IF(280&gt;$I$1,"",INDEX('근조 화환'!$E$2:$E$501,MATCH(280,'근조 화환'!$G$2:$G$501,0))&amp;"")</f>
        <v/>
      </c>
    </row>
    <row r="284">
      <c r="A284" s="16">
        <f>IF(281&lt;=$F$1,281,"")</f>
        <v/>
      </c>
      <c r="B284" s="16">
        <f>IF($A284="","",INDEX('부의금 입력'!$B$2:$B$1001,MATCH($A284,'부의금 입력'!$H$2:$H$1001,0))&amp;"")</f>
        <v/>
      </c>
      <c r="C284" s="18">
        <f>IF($A284="","",INDEX('부의금 입력'!$C$2:$C$1001,MATCH($A284,'부의금 입력'!$H$2:$H$1001,0)))</f>
        <v/>
      </c>
      <c r="D284" s="16">
        <f>IF($A284="","",INDEX('부의금 입력'!$D$2:$D$1001,MATCH($A284,'부의금 입력'!$H$2:$H$1001,0))&amp;"")</f>
        <v/>
      </c>
      <c r="E284" s="16">
        <f>IF($A284="","",INDEX('부의금 입력'!$E$2:$E$1001,MATCH($A284,'부의금 입력'!$H$2:$H$1001,0))&amp;"")</f>
        <v/>
      </c>
      <c r="H284" s="16">
        <f>IF(281&gt;$I$1,"",INDEX('근조 화환'!$B$2:$B$501,MATCH(281,'근조 화환'!$G$2:$G$501,0))&amp;"")</f>
        <v/>
      </c>
      <c r="I284" s="16">
        <f>IF(281&gt;$I$1,"",INDEX('근조 화환'!$C$2:$C$501,MATCH(281,'근조 화환'!$G$2:$G$501,0))&amp;"")</f>
        <v/>
      </c>
      <c r="J284" s="16">
        <f>IF(281&gt;$I$1,"",INDEX('근조 화환'!$D$2:$D$501,MATCH(281,'근조 화환'!$G$2:$G$501,0))&amp;"")</f>
        <v/>
      </c>
      <c r="K284" s="16">
        <f>IF(281&gt;$I$1,"",INDEX('근조 화환'!$E$2:$E$501,MATCH(281,'근조 화환'!$G$2:$G$501,0))&amp;"")</f>
        <v/>
      </c>
    </row>
    <row r="285">
      <c r="A285" s="16">
        <f>IF(282&lt;=$F$1,282,"")</f>
        <v/>
      </c>
      <c r="B285" s="16">
        <f>IF($A285="","",INDEX('부의금 입력'!$B$2:$B$1001,MATCH($A285,'부의금 입력'!$H$2:$H$1001,0))&amp;"")</f>
        <v/>
      </c>
      <c r="C285" s="18">
        <f>IF($A285="","",INDEX('부의금 입력'!$C$2:$C$1001,MATCH($A285,'부의금 입력'!$H$2:$H$1001,0)))</f>
        <v/>
      </c>
      <c r="D285" s="16">
        <f>IF($A285="","",INDEX('부의금 입력'!$D$2:$D$1001,MATCH($A285,'부의금 입력'!$H$2:$H$1001,0))&amp;"")</f>
        <v/>
      </c>
      <c r="E285" s="16">
        <f>IF($A285="","",INDEX('부의금 입력'!$E$2:$E$1001,MATCH($A285,'부의금 입력'!$H$2:$H$1001,0))&amp;"")</f>
        <v/>
      </c>
      <c r="H285" s="16">
        <f>IF(282&gt;$I$1,"",INDEX('근조 화환'!$B$2:$B$501,MATCH(282,'근조 화환'!$G$2:$G$501,0))&amp;"")</f>
        <v/>
      </c>
      <c r="I285" s="16">
        <f>IF(282&gt;$I$1,"",INDEX('근조 화환'!$C$2:$C$501,MATCH(282,'근조 화환'!$G$2:$G$501,0))&amp;"")</f>
        <v/>
      </c>
      <c r="J285" s="16">
        <f>IF(282&gt;$I$1,"",INDEX('근조 화환'!$D$2:$D$501,MATCH(282,'근조 화환'!$G$2:$G$501,0))&amp;"")</f>
        <v/>
      </c>
      <c r="K285" s="16">
        <f>IF(282&gt;$I$1,"",INDEX('근조 화환'!$E$2:$E$501,MATCH(282,'근조 화환'!$G$2:$G$501,0))&amp;"")</f>
        <v/>
      </c>
    </row>
    <row r="286">
      <c r="A286" s="16">
        <f>IF(283&lt;=$F$1,283,"")</f>
        <v/>
      </c>
      <c r="B286" s="16">
        <f>IF($A286="","",INDEX('부의금 입력'!$B$2:$B$1001,MATCH($A286,'부의금 입력'!$H$2:$H$1001,0))&amp;"")</f>
        <v/>
      </c>
      <c r="C286" s="18">
        <f>IF($A286="","",INDEX('부의금 입력'!$C$2:$C$1001,MATCH($A286,'부의금 입력'!$H$2:$H$1001,0)))</f>
        <v/>
      </c>
      <c r="D286" s="16">
        <f>IF($A286="","",INDEX('부의금 입력'!$D$2:$D$1001,MATCH($A286,'부의금 입력'!$H$2:$H$1001,0))&amp;"")</f>
        <v/>
      </c>
      <c r="E286" s="16">
        <f>IF($A286="","",INDEX('부의금 입력'!$E$2:$E$1001,MATCH($A286,'부의금 입력'!$H$2:$H$1001,0))&amp;"")</f>
        <v/>
      </c>
      <c r="H286" s="16">
        <f>IF(283&gt;$I$1,"",INDEX('근조 화환'!$B$2:$B$501,MATCH(283,'근조 화환'!$G$2:$G$501,0))&amp;"")</f>
        <v/>
      </c>
      <c r="I286" s="16">
        <f>IF(283&gt;$I$1,"",INDEX('근조 화환'!$C$2:$C$501,MATCH(283,'근조 화환'!$G$2:$G$501,0))&amp;"")</f>
        <v/>
      </c>
      <c r="J286" s="16">
        <f>IF(283&gt;$I$1,"",INDEX('근조 화환'!$D$2:$D$501,MATCH(283,'근조 화환'!$G$2:$G$501,0))&amp;"")</f>
        <v/>
      </c>
      <c r="K286" s="16">
        <f>IF(283&gt;$I$1,"",INDEX('근조 화환'!$E$2:$E$501,MATCH(283,'근조 화환'!$G$2:$G$501,0))&amp;"")</f>
        <v/>
      </c>
    </row>
    <row r="287">
      <c r="A287" s="16">
        <f>IF(284&lt;=$F$1,284,"")</f>
        <v/>
      </c>
      <c r="B287" s="16">
        <f>IF($A287="","",INDEX('부의금 입력'!$B$2:$B$1001,MATCH($A287,'부의금 입력'!$H$2:$H$1001,0))&amp;"")</f>
        <v/>
      </c>
      <c r="C287" s="18">
        <f>IF($A287="","",INDEX('부의금 입력'!$C$2:$C$1001,MATCH($A287,'부의금 입력'!$H$2:$H$1001,0)))</f>
        <v/>
      </c>
      <c r="D287" s="16">
        <f>IF($A287="","",INDEX('부의금 입력'!$D$2:$D$1001,MATCH($A287,'부의금 입력'!$H$2:$H$1001,0))&amp;"")</f>
        <v/>
      </c>
      <c r="E287" s="16">
        <f>IF($A287="","",INDEX('부의금 입력'!$E$2:$E$1001,MATCH($A287,'부의금 입력'!$H$2:$H$1001,0))&amp;"")</f>
        <v/>
      </c>
      <c r="H287" s="16">
        <f>IF(284&gt;$I$1,"",INDEX('근조 화환'!$B$2:$B$501,MATCH(284,'근조 화환'!$G$2:$G$501,0))&amp;"")</f>
        <v/>
      </c>
      <c r="I287" s="16">
        <f>IF(284&gt;$I$1,"",INDEX('근조 화환'!$C$2:$C$501,MATCH(284,'근조 화환'!$G$2:$G$501,0))&amp;"")</f>
        <v/>
      </c>
      <c r="J287" s="16">
        <f>IF(284&gt;$I$1,"",INDEX('근조 화환'!$D$2:$D$501,MATCH(284,'근조 화환'!$G$2:$G$501,0))&amp;"")</f>
        <v/>
      </c>
      <c r="K287" s="16">
        <f>IF(284&gt;$I$1,"",INDEX('근조 화환'!$E$2:$E$501,MATCH(284,'근조 화환'!$G$2:$G$501,0))&amp;"")</f>
        <v/>
      </c>
    </row>
    <row r="288">
      <c r="A288" s="16">
        <f>IF(285&lt;=$F$1,285,"")</f>
        <v/>
      </c>
      <c r="B288" s="16">
        <f>IF($A288="","",INDEX('부의금 입력'!$B$2:$B$1001,MATCH($A288,'부의금 입력'!$H$2:$H$1001,0))&amp;"")</f>
        <v/>
      </c>
      <c r="C288" s="18">
        <f>IF($A288="","",INDEX('부의금 입력'!$C$2:$C$1001,MATCH($A288,'부의금 입력'!$H$2:$H$1001,0)))</f>
        <v/>
      </c>
      <c r="D288" s="16">
        <f>IF($A288="","",INDEX('부의금 입력'!$D$2:$D$1001,MATCH($A288,'부의금 입력'!$H$2:$H$1001,0))&amp;"")</f>
        <v/>
      </c>
      <c r="E288" s="16">
        <f>IF($A288="","",INDEX('부의금 입력'!$E$2:$E$1001,MATCH($A288,'부의금 입력'!$H$2:$H$1001,0))&amp;"")</f>
        <v/>
      </c>
      <c r="H288" s="16">
        <f>IF(285&gt;$I$1,"",INDEX('근조 화환'!$B$2:$B$501,MATCH(285,'근조 화환'!$G$2:$G$501,0))&amp;"")</f>
        <v/>
      </c>
      <c r="I288" s="16">
        <f>IF(285&gt;$I$1,"",INDEX('근조 화환'!$C$2:$C$501,MATCH(285,'근조 화환'!$G$2:$G$501,0))&amp;"")</f>
        <v/>
      </c>
      <c r="J288" s="16">
        <f>IF(285&gt;$I$1,"",INDEX('근조 화환'!$D$2:$D$501,MATCH(285,'근조 화환'!$G$2:$G$501,0))&amp;"")</f>
        <v/>
      </c>
      <c r="K288" s="16">
        <f>IF(285&gt;$I$1,"",INDEX('근조 화환'!$E$2:$E$501,MATCH(285,'근조 화환'!$G$2:$G$501,0))&amp;"")</f>
        <v/>
      </c>
    </row>
    <row r="289">
      <c r="A289" s="16">
        <f>IF(286&lt;=$F$1,286,"")</f>
        <v/>
      </c>
      <c r="B289" s="16">
        <f>IF($A289="","",INDEX('부의금 입력'!$B$2:$B$1001,MATCH($A289,'부의금 입력'!$H$2:$H$1001,0))&amp;"")</f>
        <v/>
      </c>
      <c r="C289" s="18">
        <f>IF($A289="","",INDEX('부의금 입력'!$C$2:$C$1001,MATCH($A289,'부의금 입력'!$H$2:$H$1001,0)))</f>
        <v/>
      </c>
      <c r="D289" s="16">
        <f>IF($A289="","",INDEX('부의금 입력'!$D$2:$D$1001,MATCH($A289,'부의금 입력'!$H$2:$H$1001,0))&amp;"")</f>
        <v/>
      </c>
      <c r="E289" s="16">
        <f>IF($A289="","",INDEX('부의금 입력'!$E$2:$E$1001,MATCH($A289,'부의금 입력'!$H$2:$H$1001,0))&amp;"")</f>
        <v/>
      </c>
      <c r="H289" s="16">
        <f>IF(286&gt;$I$1,"",INDEX('근조 화환'!$B$2:$B$501,MATCH(286,'근조 화환'!$G$2:$G$501,0))&amp;"")</f>
        <v/>
      </c>
      <c r="I289" s="16">
        <f>IF(286&gt;$I$1,"",INDEX('근조 화환'!$C$2:$C$501,MATCH(286,'근조 화환'!$G$2:$G$501,0))&amp;"")</f>
        <v/>
      </c>
      <c r="J289" s="16">
        <f>IF(286&gt;$I$1,"",INDEX('근조 화환'!$D$2:$D$501,MATCH(286,'근조 화환'!$G$2:$G$501,0))&amp;"")</f>
        <v/>
      </c>
      <c r="K289" s="16">
        <f>IF(286&gt;$I$1,"",INDEX('근조 화환'!$E$2:$E$501,MATCH(286,'근조 화환'!$G$2:$G$501,0))&amp;"")</f>
        <v/>
      </c>
    </row>
    <row r="290">
      <c r="A290" s="16">
        <f>IF(287&lt;=$F$1,287,"")</f>
        <v/>
      </c>
      <c r="B290" s="16">
        <f>IF($A290="","",INDEX('부의금 입력'!$B$2:$B$1001,MATCH($A290,'부의금 입력'!$H$2:$H$1001,0))&amp;"")</f>
        <v/>
      </c>
      <c r="C290" s="18">
        <f>IF($A290="","",INDEX('부의금 입력'!$C$2:$C$1001,MATCH($A290,'부의금 입력'!$H$2:$H$1001,0)))</f>
        <v/>
      </c>
      <c r="D290" s="16">
        <f>IF($A290="","",INDEX('부의금 입력'!$D$2:$D$1001,MATCH($A290,'부의금 입력'!$H$2:$H$1001,0))&amp;"")</f>
        <v/>
      </c>
      <c r="E290" s="16">
        <f>IF($A290="","",INDEX('부의금 입력'!$E$2:$E$1001,MATCH($A290,'부의금 입력'!$H$2:$H$1001,0))&amp;"")</f>
        <v/>
      </c>
      <c r="H290" s="16">
        <f>IF(287&gt;$I$1,"",INDEX('근조 화환'!$B$2:$B$501,MATCH(287,'근조 화환'!$G$2:$G$501,0))&amp;"")</f>
        <v/>
      </c>
      <c r="I290" s="16">
        <f>IF(287&gt;$I$1,"",INDEX('근조 화환'!$C$2:$C$501,MATCH(287,'근조 화환'!$G$2:$G$501,0))&amp;"")</f>
        <v/>
      </c>
      <c r="J290" s="16">
        <f>IF(287&gt;$I$1,"",INDEX('근조 화환'!$D$2:$D$501,MATCH(287,'근조 화환'!$G$2:$G$501,0))&amp;"")</f>
        <v/>
      </c>
      <c r="K290" s="16">
        <f>IF(287&gt;$I$1,"",INDEX('근조 화환'!$E$2:$E$501,MATCH(287,'근조 화환'!$G$2:$G$501,0))&amp;"")</f>
        <v/>
      </c>
    </row>
    <row r="291">
      <c r="A291" s="16">
        <f>IF(288&lt;=$F$1,288,"")</f>
        <v/>
      </c>
      <c r="B291" s="16">
        <f>IF($A291="","",INDEX('부의금 입력'!$B$2:$B$1001,MATCH($A291,'부의금 입력'!$H$2:$H$1001,0))&amp;"")</f>
        <v/>
      </c>
      <c r="C291" s="18">
        <f>IF($A291="","",INDEX('부의금 입력'!$C$2:$C$1001,MATCH($A291,'부의금 입력'!$H$2:$H$1001,0)))</f>
        <v/>
      </c>
      <c r="D291" s="16">
        <f>IF($A291="","",INDEX('부의금 입력'!$D$2:$D$1001,MATCH($A291,'부의금 입력'!$H$2:$H$1001,0))&amp;"")</f>
        <v/>
      </c>
      <c r="E291" s="16">
        <f>IF($A291="","",INDEX('부의금 입력'!$E$2:$E$1001,MATCH($A291,'부의금 입력'!$H$2:$H$1001,0))&amp;"")</f>
        <v/>
      </c>
      <c r="H291" s="16">
        <f>IF(288&gt;$I$1,"",INDEX('근조 화환'!$B$2:$B$501,MATCH(288,'근조 화환'!$G$2:$G$501,0))&amp;"")</f>
        <v/>
      </c>
      <c r="I291" s="16">
        <f>IF(288&gt;$I$1,"",INDEX('근조 화환'!$C$2:$C$501,MATCH(288,'근조 화환'!$G$2:$G$501,0))&amp;"")</f>
        <v/>
      </c>
      <c r="J291" s="16">
        <f>IF(288&gt;$I$1,"",INDEX('근조 화환'!$D$2:$D$501,MATCH(288,'근조 화환'!$G$2:$G$501,0))&amp;"")</f>
        <v/>
      </c>
      <c r="K291" s="16">
        <f>IF(288&gt;$I$1,"",INDEX('근조 화환'!$E$2:$E$501,MATCH(288,'근조 화환'!$G$2:$G$501,0))&amp;"")</f>
        <v/>
      </c>
    </row>
    <row r="292">
      <c r="A292" s="16">
        <f>IF(289&lt;=$F$1,289,"")</f>
        <v/>
      </c>
      <c r="B292" s="16">
        <f>IF($A292="","",INDEX('부의금 입력'!$B$2:$B$1001,MATCH($A292,'부의금 입력'!$H$2:$H$1001,0))&amp;"")</f>
        <v/>
      </c>
      <c r="C292" s="18">
        <f>IF($A292="","",INDEX('부의금 입력'!$C$2:$C$1001,MATCH($A292,'부의금 입력'!$H$2:$H$1001,0)))</f>
        <v/>
      </c>
      <c r="D292" s="16">
        <f>IF($A292="","",INDEX('부의금 입력'!$D$2:$D$1001,MATCH($A292,'부의금 입력'!$H$2:$H$1001,0))&amp;"")</f>
        <v/>
      </c>
      <c r="E292" s="16">
        <f>IF($A292="","",INDEX('부의금 입력'!$E$2:$E$1001,MATCH($A292,'부의금 입력'!$H$2:$H$1001,0))&amp;"")</f>
        <v/>
      </c>
      <c r="H292" s="16">
        <f>IF(289&gt;$I$1,"",INDEX('근조 화환'!$B$2:$B$501,MATCH(289,'근조 화환'!$G$2:$G$501,0))&amp;"")</f>
        <v/>
      </c>
      <c r="I292" s="16">
        <f>IF(289&gt;$I$1,"",INDEX('근조 화환'!$C$2:$C$501,MATCH(289,'근조 화환'!$G$2:$G$501,0))&amp;"")</f>
        <v/>
      </c>
      <c r="J292" s="16">
        <f>IF(289&gt;$I$1,"",INDEX('근조 화환'!$D$2:$D$501,MATCH(289,'근조 화환'!$G$2:$G$501,0))&amp;"")</f>
        <v/>
      </c>
      <c r="K292" s="16">
        <f>IF(289&gt;$I$1,"",INDEX('근조 화환'!$E$2:$E$501,MATCH(289,'근조 화환'!$G$2:$G$501,0))&amp;"")</f>
        <v/>
      </c>
    </row>
    <row r="293">
      <c r="A293" s="16">
        <f>IF(290&lt;=$F$1,290,"")</f>
        <v/>
      </c>
      <c r="B293" s="16">
        <f>IF($A293="","",INDEX('부의금 입력'!$B$2:$B$1001,MATCH($A293,'부의금 입력'!$H$2:$H$1001,0))&amp;"")</f>
        <v/>
      </c>
      <c r="C293" s="18">
        <f>IF($A293="","",INDEX('부의금 입력'!$C$2:$C$1001,MATCH($A293,'부의금 입력'!$H$2:$H$1001,0)))</f>
        <v/>
      </c>
      <c r="D293" s="16">
        <f>IF($A293="","",INDEX('부의금 입력'!$D$2:$D$1001,MATCH($A293,'부의금 입력'!$H$2:$H$1001,0))&amp;"")</f>
        <v/>
      </c>
      <c r="E293" s="16">
        <f>IF($A293="","",INDEX('부의금 입력'!$E$2:$E$1001,MATCH($A293,'부의금 입력'!$H$2:$H$1001,0))&amp;"")</f>
        <v/>
      </c>
      <c r="H293" s="16">
        <f>IF(290&gt;$I$1,"",INDEX('근조 화환'!$B$2:$B$501,MATCH(290,'근조 화환'!$G$2:$G$501,0))&amp;"")</f>
        <v/>
      </c>
      <c r="I293" s="16">
        <f>IF(290&gt;$I$1,"",INDEX('근조 화환'!$C$2:$C$501,MATCH(290,'근조 화환'!$G$2:$G$501,0))&amp;"")</f>
        <v/>
      </c>
      <c r="J293" s="16">
        <f>IF(290&gt;$I$1,"",INDEX('근조 화환'!$D$2:$D$501,MATCH(290,'근조 화환'!$G$2:$G$501,0))&amp;"")</f>
        <v/>
      </c>
      <c r="K293" s="16">
        <f>IF(290&gt;$I$1,"",INDEX('근조 화환'!$E$2:$E$501,MATCH(290,'근조 화환'!$G$2:$G$501,0))&amp;"")</f>
        <v/>
      </c>
    </row>
    <row r="294">
      <c r="A294" s="16">
        <f>IF(291&lt;=$F$1,291,"")</f>
        <v/>
      </c>
      <c r="B294" s="16">
        <f>IF($A294="","",INDEX('부의금 입력'!$B$2:$B$1001,MATCH($A294,'부의금 입력'!$H$2:$H$1001,0))&amp;"")</f>
        <v/>
      </c>
      <c r="C294" s="18">
        <f>IF($A294="","",INDEX('부의금 입력'!$C$2:$C$1001,MATCH($A294,'부의금 입력'!$H$2:$H$1001,0)))</f>
        <v/>
      </c>
      <c r="D294" s="16">
        <f>IF($A294="","",INDEX('부의금 입력'!$D$2:$D$1001,MATCH($A294,'부의금 입력'!$H$2:$H$1001,0))&amp;"")</f>
        <v/>
      </c>
      <c r="E294" s="16">
        <f>IF($A294="","",INDEX('부의금 입력'!$E$2:$E$1001,MATCH($A294,'부의금 입력'!$H$2:$H$1001,0))&amp;"")</f>
        <v/>
      </c>
      <c r="H294" s="16">
        <f>IF(291&gt;$I$1,"",INDEX('근조 화환'!$B$2:$B$501,MATCH(291,'근조 화환'!$G$2:$G$501,0))&amp;"")</f>
        <v/>
      </c>
      <c r="I294" s="16">
        <f>IF(291&gt;$I$1,"",INDEX('근조 화환'!$C$2:$C$501,MATCH(291,'근조 화환'!$G$2:$G$501,0))&amp;"")</f>
        <v/>
      </c>
      <c r="J294" s="16">
        <f>IF(291&gt;$I$1,"",INDEX('근조 화환'!$D$2:$D$501,MATCH(291,'근조 화환'!$G$2:$G$501,0))&amp;"")</f>
        <v/>
      </c>
      <c r="K294" s="16">
        <f>IF(291&gt;$I$1,"",INDEX('근조 화환'!$E$2:$E$501,MATCH(291,'근조 화환'!$G$2:$G$501,0))&amp;"")</f>
        <v/>
      </c>
    </row>
    <row r="295">
      <c r="A295" s="16">
        <f>IF(292&lt;=$F$1,292,"")</f>
        <v/>
      </c>
      <c r="B295" s="16">
        <f>IF($A295="","",INDEX('부의금 입력'!$B$2:$B$1001,MATCH($A295,'부의금 입력'!$H$2:$H$1001,0))&amp;"")</f>
        <v/>
      </c>
      <c r="C295" s="18">
        <f>IF($A295="","",INDEX('부의금 입력'!$C$2:$C$1001,MATCH($A295,'부의금 입력'!$H$2:$H$1001,0)))</f>
        <v/>
      </c>
      <c r="D295" s="16">
        <f>IF($A295="","",INDEX('부의금 입력'!$D$2:$D$1001,MATCH($A295,'부의금 입력'!$H$2:$H$1001,0))&amp;"")</f>
        <v/>
      </c>
      <c r="E295" s="16">
        <f>IF($A295="","",INDEX('부의금 입력'!$E$2:$E$1001,MATCH($A295,'부의금 입력'!$H$2:$H$1001,0))&amp;"")</f>
        <v/>
      </c>
      <c r="H295" s="16">
        <f>IF(292&gt;$I$1,"",INDEX('근조 화환'!$B$2:$B$501,MATCH(292,'근조 화환'!$G$2:$G$501,0))&amp;"")</f>
        <v/>
      </c>
      <c r="I295" s="16">
        <f>IF(292&gt;$I$1,"",INDEX('근조 화환'!$C$2:$C$501,MATCH(292,'근조 화환'!$G$2:$G$501,0))&amp;"")</f>
        <v/>
      </c>
      <c r="J295" s="16">
        <f>IF(292&gt;$I$1,"",INDEX('근조 화환'!$D$2:$D$501,MATCH(292,'근조 화환'!$G$2:$G$501,0))&amp;"")</f>
        <v/>
      </c>
      <c r="K295" s="16">
        <f>IF(292&gt;$I$1,"",INDEX('근조 화환'!$E$2:$E$501,MATCH(292,'근조 화환'!$G$2:$G$501,0))&amp;"")</f>
        <v/>
      </c>
    </row>
    <row r="296">
      <c r="A296" s="16">
        <f>IF(293&lt;=$F$1,293,"")</f>
        <v/>
      </c>
      <c r="B296" s="16">
        <f>IF($A296="","",INDEX('부의금 입력'!$B$2:$B$1001,MATCH($A296,'부의금 입력'!$H$2:$H$1001,0))&amp;"")</f>
        <v/>
      </c>
      <c r="C296" s="18">
        <f>IF($A296="","",INDEX('부의금 입력'!$C$2:$C$1001,MATCH($A296,'부의금 입력'!$H$2:$H$1001,0)))</f>
        <v/>
      </c>
      <c r="D296" s="16">
        <f>IF($A296="","",INDEX('부의금 입력'!$D$2:$D$1001,MATCH($A296,'부의금 입력'!$H$2:$H$1001,0))&amp;"")</f>
        <v/>
      </c>
      <c r="E296" s="16">
        <f>IF($A296="","",INDEX('부의금 입력'!$E$2:$E$1001,MATCH($A296,'부의금 입력'!$H$2:$H$1001,0))&amp;"")</f>
        <v/>
      </c>
      <c r="H296" s="16">
        <f>IF(293&gt;$I$1,"",INDEX('근조 화환'!$B$2:$B$501,MATCH(293,'근조 화환'!$G$2:$G$501,0))&amp;"")</f>
        <v/>
      </c>
      <c r="I296" s="16">
        <f>IF(293&gt;$I$1,"",INDEX('근조 화환'!$C$2:$C$501,MATCH(293,'근조 화환'!$G$2:$G$501,0))&amp;"")</f>
        <v/>
      </c>
      <c r="J296" s="16">
        <f>IF(293&gt;$I$1,"",INDEX('근조 화환'!$D$2:$D$501,MATCH(293,'근조 화환'!$G$2:$G$501,0))&amp;"")</f>
        <v/>
      </c>
      <c r="K296" s="16">
        <f>IF(293&gt;$I$1,"",INDEX('근조 화환'!$E$2:$E$501,MATCH(293,'근조 화환'!$G$2:$G$501,0))&amp;"")</f>
        <v/>
      </c>
    </row>
    <row r="297">
      <c r="A297" s="16">
        <f>IF(294&lt;=$F$1,294,"")</f>
        <v/>
      </c>
      <c r="B297" s="16">
        <f>IF($A297="","",INDEX('부의금 입력'!$B$2:$B$1001,MATCH($A297,'부의금 입력'!$H$2:$H$1001,0))&amp;"")</f>
        <v/>
      </c>
      <c r="C297" s="18">
        <f>IF($A297="","",INDEX('부의금 입력'!$C$2:$C$1001,MATCH($A297,'부의금 입력'!$H$2:$H$1001,0)))</f>
        <v/>
      </c>
      <c r="D297" s="16">
        <f>IF($A297="","",INDEX('부의금 입력'!$D$2:$D$1001,MATCH($A297,'부의금 입력'!$H$2:$H$1001,0))&amp;"")</f>
        <v/>
      </c>
      <c r="E297" s="16">
        <f>IF($A297="","",INDEX('부의금 입력'!$E$2:$E$1001,MATCH($A297,'부의금 입력'!$H$2:$H$1001,0))&amp;"")</f>
        <v/>
      </c>
      <c r="H297" s="16">
        <f>IF(294&gt;$I$1,"",INDEX('근조 화환'!$B$2:$B$501,MATCH(294,'근조 화환'!$G$2:$G$501,0))&amp;"")</f>
        <v/>
      </c>
      <c r="I297" s="16">
        <f>IF(294&gt;$I$1,"",INDEX('근조 화환'!$C$2:$C$501,MATCH(294,'근조 화환'!$G$2:$G$501,0))&amp;"")</f>
        <v/>
      </c>
      <c r="J297" s="16">
        <f>IF(294&gt;$I$1,"",INDEX('근조 화환'!$D$2:$D$501,MATCH(294,'근조 화환'!$G$2:$G$501,0))&amp;"")</f>
        <v/>
      </c>
      <c r="K297" s="16">
        <f>IF(294&gt;$I$1,"",INDEX('근조 화환'!$E$2:$E$501,MATCH(294,'근조 화환'!$G$2:$G$501,0))&amp;"")</f>
        <v/>
      </c>
    </row>
    <row r="298">
      <c r="A298" s="16">
        <f>IF(295&lt;=$F$1,295,"")</f>
        <v/>
      </c>
      <c r="B298" s="16">
        <f>IF($A298="","",INDEX('부의금 입력'!$B$2:$B$1001,MATCH($A298,'부의금 입력'!$H$2:$H$1001,0))&amp;"")</f>
        <v/>
      </c>
      <c r="C298" s="18">
        <f>IF($A298="","",INDEX('부의금 입력'!$C$2:$C$1001,MATCH($A298,'부의금 입력'!$H$2:$H$1001,0)))</f>
        <v/>
      </c>
      <c r="D298" s="16">
        <f>IF($A298="","",INDEX('부의금 입력'!$D$2:$D$1001,MATCH($A298,'부의금 입력'!$H$2:$H$1001,0))&amp;"")</f>
        <v/>
      </c>
      <c r="E298" s="16">
        <f>IF($A298="","",INDEX('부의금 입력'!$E$2:$E$1001,MATCH($A298,'부의금 입력'!$H$2:$H$1001,0))&amp;"")</f>
        <v/>
      </c>
      <c r="H298" s="16">
        <f>IF(295&gt;$I$1,"",INDEX('근조 화환'!$B$2:$B$501,MATCH(295,'근조 화환'!$G$2:$G$501,0))&amp;"")</f>
        <v/>
      </c>
      <c r="I298" s="16">
        <f>IF(295&gt;$I$1,"",INDEX('근조 화환'!$C$2:$C$501,MATCH(295,'근조 화환'!$G$2:$G$501,0))&amp;"")</f>
        <v/>
      </c>
      <c r="J298" s="16">
        <f>IF(295&gt;$I$1,"",INDEX('근조 화환'!$D$2:$D$501,MATCH(295,'근조 화환'!$G$2:$G$501,0))&amp;"")</f>
        <v/>
      </c>
      <c r="K298" s="16">
        <f>IF(295&gt;$I$1,"",INDEX('근조 화환'!$E$2:$E$501,MATCH(295,'근조 화환'!$G$2:$G$501,0))&amp;"")</f>
        <v/>
      </c>
    </row>
    <row r="299">
      <c r="A299" s="16">
        <f>IF(296&lt;=$F$1,296,"")</f>
        <v/>
      </c>
      <c r="B299" s="16">
        <f>IF($A299="","",INDEX('부의금 입력'!$B$2:$B$1001,MATCH($A299,'부의금 입력'!$H$2:$H$1001,0))&amp;"")</f>
        <v/>
      </c>
      <c r="C299" s="18">
        <f>IF($A299="","",INDEX('부의금 입력'!$C$2:$C$1001,MATCH($A299,'부의금 입력'!$H$2:$H$1001,0)))</f>
        <v/>
      </c>
      <c r="D299" s="16">
        <f>IF($A299="","",INDEX('부의금 입력'!$D$2:$D$1001,MATCH($A299,'부의금 입력'!$H$2:$H$1001,0))&amp;"")</f>
        <v/>
      </c>
      <c r="E299" s="16">
        <f>IF($A299="","",INDEX('부의금 입력'!$E$2:$E$1001,MATCH($A299,'부의금 입력'!$H$2:$H$1001,0))&amp;"")</f>
        <v/>
      </c>
      <c r="H299" s="16">
        <f>IF(296&gt;$I$1,"",INDEX('근조 화환'!$B$2:$B$501,MATCH(296,'근조 화환'!$G$2:$G$501,0))&amp;"")</f>
        <v/>
      </c>
      <c r="I299" s="16">
        <f>IF(296&gt;$I$1,"",INDEX('근조 화환'!$C$2:$C$501,MATCH(296,'근조 화환'!$G$2:$G$501,0))&amp;"")</f>
        <v/>
      </c>
      <c r="J299" s="16">
        <f>IF(296&gt;$I$1,"",INDEX('근조 화환'!$D$2:$D$501,MATCH(296,'근조 화환'!$G$2:$G$501,0))&amp;"")</f>
        <v/>
      </c>
      <c r="K299" s="16">
        <f>IF(296&gt;$I$1,"",INDEX('근조 화환'!$E$2:$E$501,MATCH(296,'근조 화환'!$G$2:$G$501,0))&amp;"")</f>
        <v/>
      </c>
    </row>
    <row r="300">
      <c r="A300" s="16">
        <f>IF(297&lt;=$F$1,297,"")</f>
        <v/>
      </c>
      <c r="B300" s="16">
        <f>IF($A300="","",INDEX('부의금 입력'!$B$2:$B$1001,MATCH($A300,'부의금 입력'!$H$2:$H$1001,0))&amp;"")</f>
        <v/>
      </c>
      <c r="C300" s="18">
        <f>IF($A300="","",INDEX('부의금 입력'!$C$2:$C$1001,MATCH($A300,'부의금 입력'!$H$2:$H$1001,0)))</f>
        <v/>
      </c>
      <c r="D300" s="16">
        <f>IF($A300="","",INDEX('부의금 입력'!$D$2:$D$1001,MATCH($A300,'부의금 입력'!$H$2:$H$1001,0))&amp;"")</f>
        <v/>
      </c>
      <c r="E300" s="16">
        <f>IF($A300="","",INDEX('부의금 입력'!$E$2:$E$1001,MATCH($A300,'부의금 입력'!$H$2:$H$1001,0))&amp;"")</f>
        <v/>
      </c>
      <c r="H300" s="16">
        <f>IF(297&gt;$I$1,"",INDEX('근조 화환'!$B$2:$B$501,MATCH(297,'근조 화환'!$G$2:$G$501,0))&amp;"")</f>
        <v/>
      </c>
      <c r="I300" s="16">
        <f>IF(297&gt;$I$1,"",INDEX('근조 화환'!$C$2:$C$501,MATCH(297,'근조 화환'!$G$2:$G$501,0))&amp;"")</f>
        <v/>
      </c>
      <c r="J300" s="16">
        <f>IF(297&gt;$I$1,"",INDEX('근조 화환'!$D$2:$D$501,MATCH(297,'근조 화환'!$G$2:$G$501,0))&amp;"")</f>
        <v/>
      </c>
      <c r="K300" s="16">
        <f>IF(297&gt;$I$1,"",INDEX('근조 화환'!$E$2:$E$501,MATCH(297,'근조 화환'!$G$2:$G$501,0))&amp;"")</f>
        <v/>
      </c>
    </row>
    <row r="301">
      <c r="A301" s="16">
        <f>IF(298&lt;=$F$1,298,"")</f>
        <v/>
      </c>
      <c r="B301" s="16">
        <f>IF($A301="","",INDEX('부의금 입력'!$B$2:$B$1001,MATCH($A301,'부의금 입력'!$H$2:$H$1001,0))&amp;"")</f>
        <v/>
      </c>
      <c r="C301" s="18">
        <f>IF($A301="","",INDEX('부의금 입력'!$C$2:$C$1001,MATCH($A301,'부의금 입력'!$H$2:$H$1001,0)))</f>
        <v/>
      </c>
      <c r="D301" s="16">
        <f>IF($A301="","",INDEX('부의금 입력'!$D$2:$D$1001,MATCH($A301,'부의금 입력'!$H$2:$H$1001,0))&amp;"")</f>
        <v/>
      </c>
      <c r="E301" s="16">
        <f>IF($A301="","",INDEX('부의금 입력'!$E$2:$E$1001,MATCH($A301,'부의금 입력'!$H$2:$H$1001,0))&amp;"")</f>
        <v/>
      </c>
      <c r="H301" s="16">
        <f>IF(298&gt;$I$1,"",INDEX('근조 화환'!$B$2:$B$501,MATCH(298,'근조 화환'!$G$2:$G$501,0))&amp;"")</f>
        <v/>
      </c>
      <c r="I301" s="16">
        <f>IF(298&gt;$I$1,"",INDEX('근조 화환'!$C$2:$C$501,MATCH(298,'근조 화환'!$G$2:$G$501,0))&amp;"")</f>
        <v/>
      </c>
      <c r="J301" s="16">
        <f>IF(298&gt;$I$1,"",INDEX('근조 화환'!$D$2:$D$501,MATCH(298,'근조 화환'!$G$2:$G$501,0))&amp;"")</f>
        <v/>
      </c>
      <c r="K301" s="16">
        <f>IF(298&gt;$I$1,"",INDEX('근조 화환'!$E$2:$E$501,MATCH(298,'근조 화환'!$G$2:$G$501,0))&amp;"")</f>
        <v/>
      </c>
    </row>
    <row r="302">
      <c r="A302" s="16">
        <f>IF(299&lt;=$F$1,299,"")</f>
        <v/>
      </c>
      <c r="B302" s="16">
        <f>IF($A302="","",INDEX('부의금 입력'!$B$2:$B$1001,MATCH($A302,'부의금 입력'!$H$2:$H$1001,0))&amp;"")</f>
        <v/>
      </c>
      <c r="C302" s="18">
        <f>IF($A302="","",INDEX('부의금 입력'!$C$2:$C$1001,MATCH($A302,'부의금 입력'!$H$2:$H$1001,0)))</f>
        <v/>
      </c>
      <c r="D302" s="16">
        <f>IF($A302="","",INDEX('부의금 입력'!$D$2:$D$1001,MATCH($A302,'부의금 입력'!$H$2:$H$1001,0))&amp;"")</f>
        <v/>
      </c>
      <c r="E302" s="16">
        <f>IF($A302="","",INDEX('부의금 입력'!$E$2:$E$1001,MATCH($A302,'부의금 입력'!$H$2:$H$1001,0))&amp;"")</f>
        <v/>
      </c>
      <c r="H302" s="16">
        <f>IF(299&gt;$I$1,"",INDEX('근조 화환'!$B$2:$B$501,MATCH(299,'근조 화환'!$G$2:$G$501,0))&amp;"")</f>
        <v/>
      </c>
      <c r="I302" s="16">
        <f>IF(299&gt;$I$1,"",INDEX('근조 화환'!$C$2:$C$501,MATCH(299,'근조 화환'!$G$2:$G$501,0))&amp;"")</f>
        <v/>
      </c>
      <c r="J302" s="16">
        <f>IF(299&gt;$I$1,"",INDEX('근조 화환'!$D$2:$D$501,MATCH(299,'근조 화환'!$G$2:$G$501,0))&amp;"")</f>
        <v/>
      </c>
      <c r="K302" s="16">
        <f>IF(299&gt;$I$1,"",INDEX('근조 화환'!$E$2:$E$501,MATCH(299,'근조 화환'!$G$2:$G$501,0))&amp;"")</f>
        <v/>
      </c>
    </row>
    <row r="303">
      <c r="A303" s="16">
        <f>IF(300&lt;=$F$1,300,"")</f>
        <v/>
      </c>
      <c r="B303" s="16">
        <f>IF($A303="","",INDEX('부의금 입력'!$B$2:$B$1001,MATCH($A303,'부의금 입력'!$H$2:$H$1001,0))&amp;"")</f>
        <v/>
      </c>
      <c r="C303" s="18">
        <f>IF($A303="","",INDEX('부의금 입력'!$C$2:$C$1001,MATCH($A303,'부의금 입력'!$H$2:$H$1001,0)))</f>
        <v/>
      </c>
      <c r="D303" s="16">
        <f>IF($A303="","",INDEX('부의금 입력'!$D$2:$D$1001,MATCH($A303,'부의금 입력'!$H$2:$H$1001,0))&amp;"")</f>
        <v/>
      </c>
      <c r="E303" s="16">
        <f>IF($A303="","",INDEX('부의금 입력'!$E$2:$E$1001,MATCH($A303,'부의금 입력'!$H$2:$H$1001,0))&amp;"")</f>
        <v/>
      </c>
      <c r="H303" s="16">
        <f>IF(300&gt;$I$1,"",INDEX('근조 화환'!$B$2:$B$501,MATCH(300,'근조 화환'!$G$2:$G$501,0))&amp;"")</f>
        <v/>
      </c>
      <c r="I303" s="16">
        <f>IF(300&gt;$I$1,"",INDEX('근조 화환'!$C$2:$C$501,MATCH(300,'근조 화환'!$G$2:$G$501,0))&amp;"")</f>
        <v/>
      </c>
      <c r="J303" s="16">
        <f>IF(300&gt;$I$1,"",INDEX('근조 화환'!$D$2:$D$501,MATCH(300,'근조 화환'!$G$2:$G$501,0))&amp;"")</f>
        <v/>
      </c>
      <c r="K303" s="16">
        <f>IF(300&gt;$I$1,"",INDEX('근조 화환'!$E$2:$E$501,MATCH(300,'근조 화환'!$G$2:$G$501,0))&amp;"")</f>
        <v/>
      </c>
    </row>
    <row r="304">
      <c r="A304" s="16">
        <f>IF(301&lt;=$F$1,301,"")</f>
        <v/>
      </c>
      <c r="B304" s="16">
        <f>IF($A304="","",INDEX('부의금 입력'!$B$2:$B$1001,MATCH($A304,'부의금 입력'!$H$2:$H$1001,0))&amp;"")</f>
        <v/>
      </c>
      <c r="C304" s="18">
        <f>IF($A304="","",INDEX('부의금 입력'!$C$2:$C$1001,MATCH($A304,'부의금 입력'!$H$2:$H$1001,0)))</f>
        <v/>
      </c>
      <c r="D304" s="16">
        <f>IF($A304="","",INDEX('부의금 입력'!$D$2:$D$1001,MATCH($A304,'부의금 입력'!$H$2:$H$1001,0))&amp;"")</f>
        <v/>
      </c>
      <c r="E304" s="16">
        <f>IF($A304="","",INDEX('부의금 입력'!$E$2:$E$1001,MATCH($A304,'부의금 입력'!$H$2:$H$1001,0))&amp;"")</f>
        <v/>
      </c>
      <c r="H304" s="16">
        <f>IF(301&gt;$I$1,"",INDEX('근조 화환'!$B$2:$B$501,MATCH(301,'근조 화환'!$G$2:$G$501,0))&amp;"")</f>
        <v/>
      </c>
      <c r="I304" s="16">
        <f>IF(301&gt;$I$1,"",INDEX('근조 화환'!$C$2:$C$501,MATCH(301,'근조 화환'!$G$2:$G$501,0))&amp;"")</f>
        <v/>
      </c>
      <c r="J304" s="16">
        <f>IF(301&gt;$I$1,"",INDEX('근조 화환'!$D$2:$D$501,MATCH(301,'근조 화환'!$G$2:$G$501,0))&amp;"")</f>
        <v/>
      </c>
      <c r="K304" s="16">
        <f>IF(301&gt;$I$1,"",INDEX('근조 화환'!$E$2:$E$501,MATCH(301,'근조 화환'!$G$2:$G$501,0))&amp;"")</f>
        <v/>
      </c>
    </row>
    <row r="305">
      <c r="A305" s="16">
        <f>IF(302&lt;=$F$1,302,"")</f>
        <v/>
      </c>
      <c r="B305" s="16">
        <f>IF($A305="","",INDEX('부의금 입력'!$B$2:$B$1001,MATCH($A305,'부의금 입력'!$H$2:$H$1001,0))&amp;"")</f>
        <v/>
      </c>
      <c r="C305" s="18">
        <f>IF($A305="","",INDEX('부의금 입력'!$C$2:$C$1001,MATCH($A305,'부의금 입력'!$H$2:$H$1001,0)))</f>
        <v/>
      </c>
      <c r="D305" s="16">
        <f>IF($A305="","",INDEX('부의금 입력'!$D$2:$D$1001,MATCH($A305,'부의금 입력'!$H$2:$H$1001,0))&amp;"")</f>
        <v/>
      </c>
      <c r="E305" s="16">
        <f>IF($A305="","",INDEX('부의금 입력'!$E$2:$E$1001,MATCH($A305,'부의금 입력'!$H$2:$H$1001,0))&amp;"")</f>
        <v/>
      </c>
      <c r="H305" s="16">
        <f>IF(302&gt;$I$1,"",INDEX('근조 화환'!$B$2:$B$501,MATCH(302,'근조 화환'!$G$2:$G$501,0))&amp;"")</f>
        <v/>
      </c>
      <c r="I305" s="16">
        <f>IF(302&gt;$I$1,"",INDEX('근조 화환'!$C$2:$C$501,MATCH(302,'근조 화환'!$G$2:$G$501,0))&amp;"")</f>
        <v/>
      </c>
      <c r="J305" s="16">
        <f>IF(302&gt;$I$1,"",INDEX('근조 화환'!$D$2:$D$501,MATCH(302,'근조 화환'!$G$2:$G$501,0))&amp;"")</f>
        <v/>
      </c>
      <c r="K305" s="16">
        <f>IF(302&gt;$I$1,"",INDEX('근조 화환'!$E$2:$E$501,MATCH(302,'근조 화환'!$G$2:$G$501,0))&amp;"")</f>
        <v/>
      </c>
    </row>
    <row r="306">
      <c r="A306" s="16">
        <f>IF(303&lt;=$F$1,303,"")</f>
        <v/>
      </c>
      <c r="B306" s="16">
        <f>IF($A306="","",INDEX('부의금 입력'!$B$2:$B$1001,MATCH($A306,'부의금 입력'!$H$2:$H$1001,0))&amp;"")</f>
        <v/>
      </c>
      <c r="C306" s="18">
        <f>IF($A306="","",INDEX('부의금 입력'!$C$2:$C$1001,MATCH($A306,'부의금 입력'!$H$2:$H$1001,0)))</f>
        <v/>
      </c>
      <c r="D306" s="16">
        <f>IF($A306="","",INDEX('부의금 입력'!$D$2:$D$1001,MATCH($A306,'부의금 입력'!$H$2:$H$1001,0))&amp;"")</f>
        <v/>
      </c>
      <c r="E306" s="16">
        <f>IF($A306="","",INDEX('부의금 입력'!$E$2:$E$1001,MATCH($A306,'부의금 입력'!$H$2:$H$1001,0))&amp;"")</f>
        <v/>
      </c>
      <c r="H306" s="16">
        <f>IF(303&gt;$I$1,"",INDEX('근조 화환'!$B$2:$B$501,MATCH(303,'근조 화환'!$G$2:$G$501,0))&amp;"")</f>
        <v/>
      </c>
      <c r="I306" s="16">
        <f>IF(303&gt;$I$1,"",INDEX('근조 화환'!$C$2:$C$501,MATCH(303,'근조 화환'!$G$2:$G$501,0))&amp;"")</f>
        <v/>
      </c>
      <c r="J306" s="16">
        <f>IF(303&gt;$I$1,"",INDEX('근조 화환'!$D$2:$D$501,MATCH(303,'근조 화환'!$G$2:$G$501,0))&amp;"")</f>
        <v/>
      </c>
      <c r="K306" s="16">
        <f>IF(303&gt;$I$1,"",INDEX('근조 화환'!$E$2:$E$501,MATCH(303,'근조 화환'!$G$2:$G$501,0))&amp;"")</f>
        <v/>
      </c>
    </row>
    <row r="307">
      <c r="A307" s="16">
        <f>IF(304&lt;=$F$1,304,"")</f>
        <v/>
      </c>
      <c r="B307" s="16">
        <f>IF($A307="","",INDEX('부의금 입력'!$B$2:$B$1001,MATCH($A307,'부의금 입력'!$H$2:$H$1001,0))&amp;"")</f>
        <v/>
      </c>
      <c r="C307" s="18">
        <f>IF($A307="","",INDEX('부의금 입력'!$C$2:$C$1001,MATCH($A307,'부의금 입력'!$H$2:$H$1001,0)))</f>
        <v/>
      </c>
      <c r="D307" s="16">
        <f>IF($A307="","",INDEX('부의금 입력'!$D$2:$D$1001,MATCH($A307,'부의금 입력'!$H$2:$H$1001,0))&amp;"")</f>
        <v/>
      </c>
      <c r="E307" s="16">
        <f>IF($A307="","",INDEX('부의금 입력'!$E$2:$E$1001,MATCH($A307,'부의금 입력'!$H$2:$H$1001,0))&amp;"")</f>
        <v/>
      </c>
      <c r="H307" s="16">
        <f>IF(304&gt;$I$1,"",INDEX('근조 화환'!$B$2:$B$501,MATCH(304,'근조 화환'!$G$2:$G$501,0))&amp;"")</f>
        <v/>
      </c>
      <c r="I307" s="16">
        <f>IF(304&gt;$I$1,"",INDEX('근조 화환'!$C$2:$C$501,MATCH(304,'근조 화환'!$G$2:$G$501,0))&amp;"")</f>
        <v/>
      </c>
      <c r="J307" s="16">
        <f>IF(304&gt;$I$1,"",INDEX('근조 화환'!$D$2:$D$501,MATCH(304,'근조 화환'!$G$2:$G$501,0))&amp;"")</f>
        <v/>
      </c>
      <c r="K307" s="16">
        <f>IF(304&gt;$I$1,"",INDEX('근조 화환'!$E$2:$E$501,MATCH(304,'근조 화환'!$G$2:$G$501,0))&amp;"")</f>
        <v/>
      </c>
    </row>
    <row r="308">
      <c r="A308" s="16">
        <f>IF(305&lt;=$F$1,305,"")</f>
        <v/>
      </c>
      <c r="B308" s="16">
        <f>IF($A308="","",INDEX('부의금 입력'!$B$2:$B$1001,MATCH($A308,'부의금 입력'!$H$2:$H$1001,0))&amp;"")</f>
        <v/>
      </c>
      <c r="C308" s="18">
        <f>IF($A308="","",INDEX('부의금 입력'!$C$2:$C$1001,MATCH($A308,'부의금 입력'!$H$2:$H$1001,0)))</f>
        <v/>
      </c>
      <c r="D308" s="16">
        <f>IF($A308="","",INDEX('부의금 입력'!$D$2:$D$1001,MATCH($A308,'부의금 입력'!$H$2:$H$1001,0))&amp;"")</f>
        <v/>
      </c>
      <c r="E308" s="16">
        <f>IF($A308="","",INDEX('부의금 입력'!$E$2:$E$1001,MATCH($A308,'부의금 입력'!$H$2:$H$1001,0))&amp;"")</f>
        <v/>
      </c>
      <c r="H308" s="16">
        <f>IF(305&gt;$I$1,"",INDEX('근조 화환'!$B$2:$B$501,MATCH(305,'근조 화환'!$G$2:$G$501,0))&amp;"")</f>
        <v/>
      </c>
      <c r="I308" s="16">
        <f>IF(305&gt;$I$1,"",INDEX('근조 화환'!$C$2:$C$501,MATCH(305,'근조 화환'!$G$2:$G$501,0))&amp;"")</f>
        <v/>
      </c>
      <c r="J308" s="16">
        <f>IF(305&gt;$I$1,"",INDEX('근조 화환'!$D$2:$D$501,MATCH(305,'근조 화환'!$G$2:$G$501,0))&amp;"")</f>
        <v/>
      </c>
      <c r="K308" s="16">
        <f>IF(305&gt;$I$1,"",INDEX('근조 화환'!$E$2:$E$501,MATCH(305,'근조 화환'!$G$2:$G$501,0))&amp;"")</f>
        <v/>
      </c>
    </row>
    <row r="309">
      <c r="A309" s="16">
        <f>IF(306&lt;=$F$1,306,"")</f>
        <v/>
      </c>
      <c r="B309" s="16">
        <f>IF($A309="","",INDEX('부의금 입력'!$B$2:$B$1001,MATCH($A309,'부의금 입력'!$H$2:$H$1001,0))&amp;"")</f>
        <v/>
      </c>
      <c r="C309" s="18">
        <f>IF($A309="","",INDEX('부의금 입력'!$C$2:$C$1001,MATCH($A309,'부의금 입력'!$H$2:$H$1001,0)))</f>
        <v/>
      </c>
      <c r="D309" s="16">
        <f>IF($A309="","",INDEX('부의금 입력'!$D$2:$D$1001,MATCH($A309,'부의금 입력'!$H$2:$H$1001,0))&amp;"")</f>
        <v/>
      </c>
      <c r="E309" s="16">
        <f>IF($A309="","",INDEX('부의금 입력'!$E$2:$E$1001,MATCH($A309,'부의금 입력'!$H$2:$H$1001,0))&amp;"")</f>
        <v/>
      </c>
      <c r="H309" s="16">
        <f>IF(306&gt;$I$1,"",INDEX('근조 화환'!$B$2:$B$501,MATCH(306,'근조 화환'!$G$2:$G$501,0))&amp;"")</f>
        <v/>
      </c>
      <c r="I309" s="16">
        <f>IF(306&gt;$I$1,"",INDEX('근조 화환'!$C$2:$C$501,MATCH(306,'근조 화환'!$G$2:$G$501,0))&amp;"")</f>
        <v/>
      </c>
      <c r="J309" s="16">
        <f>IF(306&gt;$I$1,"",INDEX('근조 화환'!$D$2:$D$501,MATCH(306,'근조 화환'!$G$2:$G$501,0))&amp;"")</f>
        <v/>
      </c>
      <c r="K309" s="16">
        <f>IF(306&gt;$I$1,"",INDEX('근조 화환'!$E$2:$E$501,MATCH(306,'근조 화환'!$G$2:$G$501,0))&amp;"")</f>
        <v/>
      </c>
    </row>
    <row r="310">
      <c r="A310" s="16">
        <f>IF(307&lt;=$F$1,307,"")</f>
        <v/>
      </c>
      <c r="B310" s="16">
        <f>IF($A310="","",INDEX('부의금 입력'!$B$2:$B$1001,MATCH($A310,'부의금 입력'!$H$2:$H$1001,0))&amp;"")</f>
        <v/>
      </c>
      <c r="C310" s="18">
        <f>IF($A310="","",INDEX('부의금 입력'!$C$2:$C$1001,MATCH($A310,'부의금 입력'!$H$2:$H$1001,0)))</f>
        <v/>
      </c>
      <c r="D310" s="16">
        <f>IF($A310="","",INDEX('부의금 입력'!$D$2:$D$1001,MATCH($A310,'부의금 입력'!$H$2:$H$1001,0))&amp;"")</f>
        <v/>
      </c>
      <c r="E310" s="16">
        <f>IF($A310="","",INDEX('부의금 입력'!$E$2:$E$1001,MATCH($A310,'부의금 입력'!$H$2:$H$1001,0))&amp;"")</f>
        <v/>
      </c>
      <c r="H310" s="16">
        <f>IF(307&gt;$I$1,"",INDEX('근조 화환'!$B$2:$B$501,MATCH(307,'근조 화환'!$G$2:$G$501,0))&amp;"")</f>
        <v/>
      </c>
      <c r="I310" s="16">
        <f>IF(307&gt;$I$1,"",INDEX('근조 화환'!$C$2:$C$501,MATCH(307,'근조 화환'!$G$2:$G$501,0))&amp;"")</f>
        <v/>
      </c>
      <c r="J310" s="16">
        <f>IF(307&gt;$I$1,"",INDEX('근조 화환'!$D$2:$D$501,MATCH(307,'근조 화환'!$G$2:$G$501,0))&amp;"")</f>
        <v/>
      </c>
      <c r="K310" s="16">
        <f>IF(307&gt;$I$1,"",INDEX('근조 화환'!$E$2:$E$501,MATCH(307,'근조 화환'!$G$2:$G$501,0))&amp;"")</f>
        <v/>
      </c>
    </row>
    <row r="311">
      <c r="A311" s="16">
        <f>IF(308&lt;=$F$1,308,"")</f>
        <v/>
      </c>
      <c r="B311" s="16">
        <f>IF($A311="","",INDEX('부의금 입력'!$B$2:$B$1001,MATCH($A311,'부의금 입력'!$H$2:$H$1001,0))&amp;"")</f>
        <v/>
      </c>
      <c r="C311" s="18">
        <f>IF($A311="","",INDEX('부의금 입력'!$C$2:$C$1001,MATCH($A311,'부의금 입력'!$H$2:$H$1001,0)))</f>
        <v/>
      </c>
      <c r="D311" s="16">
        <f>IF($A311="","",INDEX('부의금 입력'!$D$2:$D$1001,MATCH($A311,'부의금 입력'!$H$2:$H$1001,0))&amp;"")</f>
        <v/>
      </c>
      <c r="E311" s="16">
        <f>IF($A311="","",INDEX('부의금 입력'!$E$2:$E$1001,MATCH($A311,'부의금 입력'!$H$2:$H$1001,0))&amp;"")</f>
        <v/>
      </c>
      <c r="H311" s="16">
        <f>IF(308&gt;$I$1,"",INDEX('근조 화환'!$B$2:$B$501,MATCH(308,'근조 화환'!$G$2:$G$501,0))&amp;"")</f>
        <v/>
      </c>
      <c r="I311" s="16">
        <f>IF(308&gt;$I$1,"",INDEX('근조 화환'!$C$2:$C$501,MATCH(308,'근조 화환'!$G$2:$G$501,0))&amp;"")</f>
        <v/>
      </c>
      <c r="J311" s="16">
        <f>IF(308&gt;$I$1,"",INDEX('근조 화환'!$D$2:$D$501,MATCH(308,'근조 화환'!$G$2:$G$501,0))&amp;"")</f>
        <v/>
      </c>
      <c r="K311" s="16">
        <f>IF(308&gt;$I$1,"",INDEX('근조 화환'!$E$2:$E$501,MATCH(308,'근조 화환'!$G$2:$G$501,0))&amp;"")</f>
        <v/>
      </c>
    </row>
    <row r="312">
      <c r="A312" s="16">
        <f>IF(309&lt;=$F$1,309,"")</f>
        <v/>
      </c>
      <c r="B312" s="16">
        <f>IF($A312="","",INDEX('부의금 입력'!$B$2:$B$1001,MATCH($A312,'부의금 입력'!$H$2:$H$1001,0))&amp;"")</f>
        <v/>
      </c>
      <c r="C312" s="18">
        <f>IF($A312="","",INDEX('부의금 입력'!$C$2:$C$1001,MATCH($A312,'부의금 입력'!$H$2:$H$1001,0)))</f>
        <v/>
      </c>
      <c r="D312" s="16">
        <f>IF($A312="","",INDEX('부의금 입력'!$D$2:$D$1001,MATCH($A312,'부의금 입력'!$H$2:$H$1001,0))&amp;"")</f>
        <v/>
      </c>
      <c r="E312" s="16">
        <f>IF($A312="","",INDEX('부의금 입력'!$E$2:$E$1001,MATCH($A312,'부의금 입력'!$H$2:$H$1001,0))&amp;"")</f>
        <v/>
      </c>
      <c r="H312" s="16">
        <f>IF(309&gt;$I$1,"",INDEX('근조 화환'!$B$2:$B$501,MATCH(309,'근조 화환'!$G$2:$G$501,0))&amp;"")</f>
        <v/>
      </c>
      <c r="I312" s="16">
        <f>IF(309&gt;$I$1,"",INDEX('근조 화환'!$C$2:$C$501,MATCH(309,'근조 화환'!$G$2:$G$501,0))&amp;"")</f>
        <v/>
      </c>
      <c r="J312" s="16">
        <f>IF(309&gt;$I$1,"",INDEX('근조 화환'!$D$2:$D$501,MATCH(309,'근조 화환'!$G$2:$G$501,0))&amp;"")</f>
        <v/>
      </c>
      <c r="K312" s="16">
        <f>IF(309&gt;$I$1,"",INDEX('근조 화환'!$E$2:$E$501,MATCH(309,'근조 화환'!$G$2:$G$501,0))&amp;"")</f>
        <v/>
      </c>
    </row>
    <row r="313">
      <c r="A313" s="16">
        <f>IF(310&lt;=$F$1,310,"")</f>
        <v/>
      </c>
      <c r="B313" s="16">
        <f>IF($A313="","",INDEX('부의금 입력'!$B$2:$B$1001,MATCH($A313,'부의금 입력'!$H$2:$H$1001,0))&amp;"")</f>
        <v/>
      </c>
      <c r="C313" s="18">
        <f>IF($A313="","",INDEX('부의금 입력'!$C$2:$C$1001,MATCH($A313,'부의금 입력'!$H$2:$H$1001,0)))</f>
        <v/>
      </c>
      <c r="D313" s="16">
        <f>IF($A313="","",INDEX('부의금 입력'!$D$2:$D$1001,MATCH($A313,'부의금 입력'!$H$2:$H$1001,0))&amp;"")</f>
        <v/>
      </c>
      <c r="E313" s="16">
        <f>IF($A313="","",INDEX('부의금 입력'!$E$2:$E$1001,MATCH($A313,'부의금 입력'!$H$2:$H$1001,0))&amp;"")</f>
        <v/>
      </c>
      <c r="H313" s="16">
        <f>IF(310&gt;$I$1,"",INDEX('근조 화환'!$B$2:$B$501,MATCH(310,'근조 화환'!$G$2:$G$501,0))&amp;"")</f>
        <v/>
      </c>
      <c r="I313" s="16">
        <f>IF(310&gt;$I$1,"",INDEX('근조 화환'!$C$2:$C$501,MATCH(310,'근조 화환'!$G$2:$G$501,0))&amp;"")</f>
        <v/>
      </c>
      <c r="J313" s="16">
        <f>IF(310&gt;$I$1,"",INDEX('근조 화환'!$D$2:$D$501,MATCH(310,'근조 화환'!$G$2:$G$501,0))&amp;"")</f>
        <v/>
      </c>
      <c r="K313" s="16">
        <f>IF(310&gt;$I$1,"",INDEX('근조 화환'!$E$2:$E$501,MATCH(310,'근조 화환'!$G$2:$G$501,0))&amp;"")</f>
        <v/>
      </c>
    </row>
    <row r="314">
      <c r="A314" s="16">
        <f>IF(311&lt;=$F$1,311,"")</f>
        <v/>
      </c>
      <c r="B314" s="16">
        <f>IF($A314="","",INDEX('부의금 입력'!$B$2:$B$1001,MATCH($A314,'부의금 입력'!$H$2:$H$1001,0))&amp;"")</f>
        <v/>
      </c>
      <c r="C314" s="18">
        <f>IF($A314="","",INDEX('부의금 입력'!$C$2:$C$1001,MATCH($A314,'부의금 입력'!$H$2:$H$1001,0)))</f>
        <v/>
      </c>
      <c r="D314" s="16">
        <f>IF($A314="","",INDEX('부의금 입력'!$D$2:$D$1001,MATCH($A314,'부의금 입력'!$H$2:$H$1001,0))&amp;"")</f>
        <v/>
      </c>
      <c r="E314" s="16">
        <f>IF($A314="","",INDEX('부의금 입력'!$E$2:$E$1001,MATCH($A314,'부의금 입력'!$H$2:$H$1001,0))&amp;"")</f>
        <v/>
      </c>
      <c r="H314" s="16">
        <f>IF(311&gt;$I$1,"",INDEX('근조 화환'!$B$2:$B$501,MATCH(311,'근조 화환'!$G$2:$G$501,0))&amp;"")</f>
        <v/>
      </c>
      <c r="I314" s="16">
        <f>IF(311&gt;$I$1,"",INDEX('근조 화환'!$C$2:$C$501,MATCH(311,'근조 화환'!$G$2:$G$501,0))&amp;"")</f>
        <v/>
      </c>
      <c r="J314" s="16">
        <f>IF(311&gt;$I$1,"",INDEX('근조 화환'!$D$2:$D$501,MATCH(311,'근조 화환'!$G$2:$G$501,0))&amp;"")</f>
        <v/>
      </c>
      <c r="K314" s="16">
        <f>IF(311&gt;$I$1,"",INDEX('근조 화환'!$E$2:$E$501,MATCH(311,'근조 화환'!$G$2:$G$501,0))&amp;"")</f>
        <v/>
      </c>
    </row>
    <row r="315">
      <c r="A315" s="16">
        <f>IF(312&lt;=$F$1,312,"")</f>
        <v/>
      </c>
      <c r="B315" s="16">
        <f>IF($A315="","",INDEX('부의금 입력'!$B$2:$B$1001,MATCH($A315,'부의금 입력'!$H$2:$H$1001,0))&amp;"")</f>
        <v/>
      </c>
      <c r="C315" s="18">
        <f>IF($A315="","",INDEX('부의금 입력'!$C$2:$C$1001,MATCH($A315,'부의금 입력'!$H$2:$H$1001,0)))</f>
        <v/>
      </c>
      <c r="D315" s="16">
        <f>IF($A315="","",INDEX('부의금 입력'!$D$2:$D$1001,MATCH($A315,'부의금 입력'!$H$2:$H$1001,0))&amp;"")</f>
        <v/>
      </c>
      <c r="E315" s="16">
        <f>IF($A315="","",INDEX('부의금 입력'!$E$2:$E$1001,MATCH($A315,'부의금 입력'!$H$2:$H$1001,0))&amp;"")</f>
        <v/>
      </c>
      <c r="H315" s="16">
        <f>IF(312&gt;$I$1,"",INDEX('근조 화환'!$B$2:$B$501,MATCH(312,'근조 화환'!$G$2:$G$501,0))&amp;"")</f>
        <v/>
      </c>
      <c r="I315" s="16">
        <f>IF(312&gt;$I$1,"",INDEX('근조 화환'!$C$2:$C$501,MATCH(312,'근조 화환'!$G$2:$G$501,0))&amp;"")</f>
        <v/>
      </c>
      <c r="J315" s="16">
        <f>IF(312&gt;$I$1,"",INDEX('근조 화환'!$D$2:$D$501,MATCH(312,'근조 화환'!$G$2:$G$501,0))&amp;"")</f>
        <v/>
      </c>
      <c r="K315" s="16">
        <f>IF(312&gt;$I$1,"",INDEX('근조 화환'!$E$2:$E$501,MATCH(312,'근조 화환'!$G$2:$G$501,0))&amp;"")</f>
        <v/>
      </c>
    </row>
    <row r="316">
      <c r="A316" s="16">
        <f>IF(313&lt;=$F$1,313,"")</f>
        <v/>
      </c>
      <c r="B316" s="16">
        <f>IF($A316="","",INDEX('부의금 입력'!$B$2:$B$1001,MATCH($A316,'부의금 입력'!$H$2:$H$1001,0))&amp;"")</f>
        <v/>
      </c>
      <c r="C316" s="18">
        <f>IF($A316="","",INDEX('부의금 입력'!$C$2:$C$1001,MATCH($A316,'부의금 입력'!$H$2:$H$1001,0)))</f>
        <v/>
      </c>
      <c r="D316" s="16">
        <f>IF($A316="","",INDEX('부의금 입력'!$D$2:$D$1001,MATCH($A316,'부의금 입력'!$H$2:$H$1001,0))&amp;"")</f>
        <v/>
      </c>
      <c r="E316" s="16">
        <f>IF($A316="","",INDEX('부의금 입력'!$E$2:$E$1001,MATCH($A316,'부의금 입력'!$H$2:$H$1001,0))&amp;"")</f>
        <v/>
      </c>
      <c r="H316" s="16">
        <f>IF(313&gt;$I$1,"",INDEX('근조 화환'!$B$2:$B$501,MATCH(313,'근조 화환'!$G$2:$G$501,0))&amp;"")</f>
        <v/>
      </c>
      <c r="I316" s="16">
        <f>IF(313&gt;$I$1,"",INDEX('근조 화환'!$C$2:$C$501,MATCH(313,'근조 화환'!$G$2:$G$501,0))&amp;"")</f>
        <v/>
      </c>
      <c r="J316" s="16">
        <f>IF(313&gt;$I$1,"",INDEX('근조 화환'!$D$2:$D$501,MATCH(313,'근조 화환'!$G$2:$G$501,0))&amp;"")</f>
        <v/>
      </c>
      <c r="K316" s="16">
        <f>IF(313&gt;$I$1,"",INDEX('근조 화환'!$E$2:$E$501,MATCH(313,'근조 화환'!$G$2:$G$501,0))&amp;"")</f>
        <v/>
      </c>
    </row>
    <row r="317">
      <c r="A317" s="16">
        <f>IF(314&lt;=$F$1,314,"")</f>
        <v/>
      </c>
      <c r="B317" s="16">
        <f>IF($A317="","",INDEX('부의금 입력'!$B$2:$B$1001,MATCH($A317,'부의금 입력'!$H$2:$H$1001,0))&amp;"")</f>
        <v/>
      </c>
      <c r="C317" s="18">
        <f>IF($A317="","",INDEX('부의금 입력'!$C$2:$C$1001,MATCH($A317,'부의금 입력'!$H$2:$H$1001,0)))</f>
        <v/>
      </c>
      <c r="D317" s="16">
        <f>IF($A317="","",INDEX('부의금 입력'!$D$2:$D$1001,MATCH($A317,'부의금 입력'!$H$2:$H$1001,0))&amp;"")</f>
        <v/>
      </c>
      <c r="E317" s="16">
        <f>IF($A317="","",INDEX('부의금 입력'!$E$2:$E$1001,MATCH($A317,'부의금 입력'!$H$2:$H$1001,0))&amp;"")</f>
        <v/>
      </c>
      <c r="H317" s="16">
        <f>IF(314&gt;$I$1,"",INDEX('근조 화환'!$B$2:$B$501,MATCH(314,'근조 화환'!$G$2:$G$501,0))&amp;"")</f>
        <v/>
      </c>
      <c r="I317" s="16">
        <f>IF(314&gt;$I$1,"",INDEX('근조 화환'!$C$2:$C$501,MATCH(314,'근조 화환'!$G$2:$G$501,0))&amp;"")</f>
        <v/>
      </c>
      <c r="J317" s="16">
        <f>IF(314&gt;$I$1,"",INDEX('근조 화환'!$D$2:$D$501,MATCH(314,'근조 화환'!$G$2:$G$501,0))&amp;"")</f>
        <v/>
      </c>
      <c r="K317" s="16">
        <f>IF(314&gt;$I$1,"",INDEX('근조 화환'!$E$2:$E$501,MATCH(314,'근조 화환'!$G$2:$G$501,0))&amp;"")</f>
        <v/>
      </c>
    </row>
    <row r="318">
      <c r="A318" s="16">
        <f>IF(315&lt;=$F$1,315,"")</f>
        <v/>
      </c>
      <c r="B318" s="16">
        <f>IF($A318="","",INDEX('부의금 입력'!$B$2:$B$1001,MATCH($A318,'부의금 입력'!$H$2:$H$1001,0))&amp;"")</f>
        <v/>
      </c>
      <c r="C318" s="18">
        <f>IF($A318="","",INDEX('부의금 입력'!$C$2:$C$1001,MATCH($A318,'부의금 입력'!$H$2:$H$1001,0)))</f>
        <v/>
      </c>
      <c r="D318" s="16">
        <f>IF($A318="","",INDEX('부의금 입력'!$D$2:$D$1001,MATCH($A318,'부의금 입력'!$H$2:$H$1001,0))&amp;"")</f>
        <v/>
      </c>
      <c r="E318" s="16">
        <f>IF($A318="","",INDEX('부의금 입력'!$E$2:$E$1001,MATCH($A318,'부의금 입력'!$H$2:$H$1001,0))&amp;"")</f>
        <v/>
      </c>
      <c r="H318" s="16">
        <f>IF(315&gt;$I$1,"",INDEX('근조 화환'!$B$2:$B$501,MATCH(315,'근조 화환'!$G$2:$G$501,0))&amp;"")</f>
        <v/>
      </c>
      <c r="I318" s="16">
        <f>IF(315&gt;$I$1,"",INDEX('근조 화환'!$C$2:$C$501,MATCH(315,'근조 화환'!$G$2:$G$501,0))&amp;"")</f>
        <v/>
      </c>
      <c r="J318" s="16">
        <f>IF(315&gt;$I$1,"",INDEX('근조 화환'!$D$2:$D$501,MATCH(315,'근조 화환'!$G$2:$G$501,0))&amp;"")</f>
        <v/>
      </c>
      <c r="K318" s="16">
        <f>IF(315&gt;$I$1,"",INDEX('근조 화환'!$E$2:$E$501,MATCH(315,'근조 화환'!$G$2:$G$501,0))&amp;"")</f>
        <v/>
      </c>
    </row>
    <row r="319">
      <c r="A319" s="16">
        <f>IF(316&lt;=$F$1,316,"")</f>
        <v/>
      </c>
      <c r="B319" s="16">
        <f>IF($A319="","",INDEX('부의금 입력'!$B$2:$B$1001,MATCH($A319,'부의금 입력'!$H$2:$H$1001,0))&amp;"")</f>
        <v/>
      </c>
      <c r="C319" s="18">
        <f>IF($A319="","",INDEX('부의금 입력'!$C$2:$C$1001,MATCH($A319,'부의금 입력'!$H$2:$H$1001,0)))</f>
        <v/>
      </c>
      <c r="D319" s="16">
        <f>IF($A319="","",INDEX('부의금 입력'!$D$2:$D$1001,MATCH($A319,'부의금 입력'!$H$2:$H$1001,0))&amp;"")</f>
        <v/>
      </c>
      <c r="E319" s="16">
        <f>IF($A319="","",INDEX('부의금 입력'!$E$2:$E$1001,MATCH($A319,'부의금 입력'!$H$2:$H$1001,0))&amp;"")</f>
        <v/>
      </c>
      <c r="H319" s="16">
        <f>IF(316&gt;$I$1,"",INDEX('근조 화환'!$B$2:$B$501,MATCH(316,'근조 화환'!$G$2:$G$501,0))&amp;"")</f>
        <v/>
      </c>
      <c r="I319" s="16">
        <f>IF(316&gt;$I$1,"",INDEX('근조 화환'!$C$2:$C$501,MATCH(316,'근조 화환'!$G$2:$G$501,0))&amp;"")</f>
        <v/>
      </c>
      <c r="J319" s="16">
        <f>IF(316&gt;$I$1,"",INDEX('근조 화환'!$D$2:$D$501,MATCH(316,'근조 화환'!$G$2:$G$501,0))&amp;"")</f>
        <v/>
      </c>
      <c r="K319" s="16">
        <f>IF(316&gt;$I$1,"",INDEX('근조 화환'!$E$2:$E$501,MATCH(316,'근조 화환'!$G$2:$G$501,0))&amp;"")</f>
        <v/>
      </c>
    </row>
    <row r="320">
      <c r="A320" s="16">
        <f>IF(317&lt;=$F$1,317,"")</f>
        <v/>
      </c>
      <c r="B320" s="16">
        <f>IF($A320="","",INDEX('부의금 입력'!$B$2:$B$1001,MATCH($A320,'부의금 입력'!$H$2:$H$1001,0))&amp;"")</f>
        <v/>
      </c>
      <c r="C320" s="18">
        <f>IF($A320="","",INDEX('부의금 입력'!$C$2:$C$1001,MATCH($A320,'부의금 입력'!$H$2:$H$1001,0)))</f>
        <v/>
      </c>
      <c r="D320" s="16">
        <f>IF($A320="","",INDEX('부의금 입력'!$D$2:$D$1001,MATCH($A320,'부의금 입력'!$H$2:$H$1001,0))&amp;"")</f>
        <v/>
      </c>
      <c r="E320" s="16">
        <f>IF($A320="","",INDEX('부의금 입력'!$E$2:$E$1001,MATCH($A320,'부의금 입력'!$H$2:$H$1001,0))&amp;"")</f>
        <v/>
      </c>
      <c r="H320" s="16">
        <f>IF(317&gt;$I$1,"",INDEX('근조 화환'!$B$2:$B$501,MATCH(317,'근조 화환'!$G$2:$G$501,0))&amp;"")</f>
        <v/>
      </c>
      <c r="I320" s="16">
        <f>IF(317&gt;$I$1,"",INDEX('근조 화환'!$C$2:$C$501,MATCH(317,'근조 화환'!$G$2:$G$501,0))&amp;"")</f>
        <v/>
      </c>
      <c r="J320" s="16">
        <f>IF(317&gt;$I$1,"",INDEX('근조 화환'!$D$2:$D$501,MATCH(317,'근조 화환'!$G$2:$G$501,0))&amp;"")</f>
        <v/>
      </c>
      <c r="K320" s="16">
        <f>IF(317&gt;$I$1,"",INDEX('근조 화환'!$E$2:$E$501,MATCH(317,'근조 화환'!$G$2:$G$501,0))&amp;"")</f>
        <v/>
      </c>
    </row>
    <row r="321">
      <c r="A321" s="16">
        <f>IF(318&lt;=$F$1,318,"")</f>
        <v/>
      </c>
      <c r="B321" s="16">
        <f>IF($A321="","",INDEX('부의금 입력'!$B$2:$B$1001,MATCH($A321,'부의금 입력'!$H$2:$H$1001,0))&amp;"")</f>
        <v/>
      </c>
      <c r="C321" s="18">
        <f>IF($A321="","",INDEX('부의금 입력'!$C$2:$C$1001,MATCH($A321,'부의금 입력'!$H$2:$H$1001,0)))</f>
        <v/>
      </c>
      <c r="D321" s="16">
        <f>IF($A321="","",INDEX('부의금 입력'!$D$2:$D$1001,MATCH($A321,'부의금 입력'!$H$2:$H$1001,0))&amp;"")</f>
        <v/>
      </c>
      <c r="E321" s="16">
        <f>IF($A321="","",INDEX('부의금 입력'!$E$2:$E$1001,MATCH($A321,'부의금 입력'!$H$2:$H$1001,0))&amp;"")</f>
        <v/>
      </c>
      <c r="H321" s="16">
        <f>IF(318&gt;$I$1,"",INDEX('근조 화환'!$B$2:$B$501,MATCH(318,'근조 화환'!$G$2:$G$501,0))&amp;"")</f>
        <v/>
      </c>
      <c r="I321" s="16">
        <f>IF(318&gt;$I$1,"",INDEX('근조 화환'!$C$2:$C$501,MATCH(318,'근조 화환'!$G$2:$G$501,0))&amp;"")</f>
        <v/>
      </c>
      <c r="J321" s="16">
        <f>IF(318&gt;$I$1,"",INDEX('근조 화환'!$D$2:$D$501,MATCH(318,'근조 화환'!$G$2:$G$501,0))&amp;"")</f>
        <v/>
      </c>
      <c r="K321" s="16">
        <f>IF(318&gt;$I$1,"",INDEX('근조 화환'!$E$2:$E$501,MATCH(318,'근조 화환'!$G$2:$G$501,0))&amp;"")</f>
        <v/>
      </c>
    </row>
    <row r="322">
      <c r="A322" s="16">
        <f>IF(319&lt;=$F$1,319,"")</f>
        <v/>
      </c>
      <c r="B322" s="16">
        <f>IF($A322="","",INDEX('부의금 입력'!$B$2:$B$1001,MATCH($A322,'부의금 입력'!$H$2:$H$1001,0))&amp;"")</f>
        <v/>
      </c>
      <c r="C322" s="18">
        <f>IF($A322="","",INDEX('부의금 입력'!$C$2:$C$1001,MATCH($A322,'부의금 입력'!$H$2:$H$1001,0)))</f>
        <v/>
      </c>
      <c r="D322" s="16">
        <f>IF($A322="","",INDEX('부의금 입력'!$D$2:$D$1001,MATCH($A322,'부의금 입력'!$H$2:$H$1001,0))&amp;"")</f>
        <v/>
      </c>
      <c r="E322" s="16">
        <f>IF($A322="","",INDEX('부의금 입력'!$E$2:$E$1001,MATCH($A322,'부의금 입력'!$H$2:$H$1001,0))&amp;"")</f>
        <v/>
      </c>
      <c r="H322" s="16">
        <f>IF(319&gt;$I$1,"",INDEX('근조 화환'!$B$2:$B$501,MATCH(319,'근조 화환'!$G$2:$G$501,0))&amp;"")</f>
        <v/>
      </c>
      <c r="I322" s="16">
        <f>IF(319&gt;$I$1,"",INDEX('근조 화환'!$C$2:$C$501,MATCH(319,'근조 화환'!$G$2:$G$501,0))&amp;"")</f>
        <v/>
      </c>
      <c r="J322" s="16">
        <f>IF(319&gt;$I$1,"",INDEX('근조 화환'!$D$2:$D$501,MATCH(319,'근조 화환'!$G$2:$G$501,0))&amp;"")</f>
        <v/>
      </c>
      <c r="K322" s="16">
        <f>IF(319&gt;$I$1,"",INDEX('근조 화환'!$E$2:$E$501,MATCH(319,'근조 화환'!$G$2:$G$501,0))&amp;"")</f>
        <v/>
      </c>
    </row>
    <row r="323">
      <c r="A323" s="16">
        <f>IF(320&lt;=$F$1,320,"")</f>
        <v/>
      </c>
      <c r="B323" s="16">
        <f>IF($A323="","",INDEX('부의금 입력'!$B$2:$B$1001,MATCH($A323,'부의금 입력'!$H$2:$H$1001,0))&amp;"")</f>
        <v/>
      </c>
      <c r="C323" s="18">
        <f>IF($A323="","",INDEX('부의금 입력'!$C$2:$C$1001,MATCH($A323,'부의금 입력'!$H$2:$H$1001,0)))</f>
        <v/>
      </c>
      <c r="D323" s="16">
        <f>IF($A323="","",INDEX('부의금 입력'!$D$2:$D$1001,MATCH($A323,'부의금 입력'!$H$2:$H$1001,0))&amp;"")</f>
        <v/>
      </c>
      <c r="E323" s="16">
        <f>IF($A323="","",INDEX('부의금 입력'!$E$2:$E$1001,MATCH($A323,'부의금 입력'!$H$2:$H$1001,0))&amp;"")</f>
        <v/>
      </c>
      <c r="H323" s="16">
        <f>IF(320&gt;$I$1,"",INDEX('근조 화환'!$B$2:$B$501,MATCH(320,'근조 화환'!$G$2:$G$501,0))&amp;"")</f>
        <v/>
      </c>
      <c r="I323" s="16">
        <f>IF(320&gt;$I$1,"",INDEX('근조 화환'!$C$2:$C$501,MATCH(320,'근조 화환'!$G$2:$G$501,0))&amp;"")</f>
        <v/>
      </c>
      <c r="J323" s="16">
        <f>IF(320&gt;$I$1,"",INDEX('근조 화환'!$D$2:$D$501,MATCH(320,'근조 화환'!$G$2:$G$501,0))&amp;"")</f>
        <v/>
      </c>
      <c r="K323" s="16">
        <f>IF(320&gt;$I$1,"",INDEX('근조 화환'!$E$2:$E$501,MATCH(320,'근조 화환'!$G$2:$G$501,0))&amp;"")</f>
        <v/>
      </c>
    </row>
    <row r="324">
      <c r="A324" s="16">
        <f>IF(321&lt;=$F$1,321,"")</f>
        <v/>
      </c>
      <c r="B324" s="16">
        <f>IF($A324="","",INDEX('부의금 입력'!$B$2:$B$1001,MATCH($A324,'부의금 입력'!$H$2:$H$1001,0))&amp;"")</f>
        <v/>
      </c>
      <c r="C324" s="18">
        <f>IF($A324="","",INDEX('부의금 입력'!$C$2:$C$1001,MATCH($A324,'부의금 입력'!$H$2:$H$1001,0)))</f>
        <v/>
      </c>
      <c r="D324" s="16">
        <f>IF($A324="","",INDEX('부의금 입력'!$D$2:$D$1001,MATCH($A324,'부의금 입력'!$H$2:$H$1001,0))&amp;"")</f>
        <v/>
      </c>
      <c r="E324" s="16">
        <f>IF($A324="","",INDEX('부의금 입력'!$E$2:$E$1001,MATCH($A324,'부의금 입력'!$H$2:$H$1001,0))&amp;"")</f>
        <v/>
      </c>
      <c r="H324" s="16">
        <f>IF(321&gt;$I$1,"",INDEX('근조 화환'!$B$2:$B$501,MATCH(321,'근조 화환'!$G$2:$G$501,0))&amp;"")</f>
        <v/>
      </c>
      <c r="I324" s="16">
        <f>IF(321&gt;$I$1,"",INDEX('근조 화환'!$C$2:$C$501,MATCH(321,'근조 화환'!$G$2:$G$501,0))&amp;"")</f>
        <v/>
      </c>
      <c r="J324" s="16">
        <f>IF(321&gt;$I$1,"",INDEX('근조 화환'!$D$2:$D$501,MATCH(321,'근조 화환'!$G$2:$G$501,0))&amp;"")</f>
        <v/>
      </c>
      <c r="K324" s="16">
        <f>IF(321&gt;$I$1,"",INDEX('근조 화환'!$E$2:$E$501,MATCH(321,'근조 화환'!$G$2:$G$501,0))&amp;"")</f>
        <v/>
      </c>
    </row>
    <row r="325">
      <c r="A325" s="16">
        <f>IF(322&lt;=$F$1,322,"")</f>
        <v/>
      </c>
      <c r="B325" s="16">
        <f>IF($A325="","",INDEX('부의금 입력'!$B$2:$B$1001,MATCH($A325,'부의금 입력'!$H$2:$H$1001,0))&amp;"")</f>
        <v/>
      </c>
      <c r="C325" s="18">
        <f>IF($A325="","",INDEX('부의금 입력'!$C$2:$C$1001,MATCH($A325,'부의금 입력'!$H$2:$H$1001,0)))</f>
        <v/>
      </c>
      <c r="D325" s="16">
        <f>IF($A325="","",INDEX('부의금 입력'!$D$2:$D$1001,MATCH($A325,'부의금 입력'!$H$2:$H$1001,0))&amp;"")</f>
        <v/>
      </c>
      <c r="E325" s="16">
        <f>IF($A325="","",INDEX('부의금 입력'!$E$2:$E$1001,MATCH($A325,'부의금 입력'!$H$2:$H$1001,0))&amp;"")</f>
        <v/>
      </c>
      <c r="H325" s="16">
        <f>IF(322&gt;$I$1,"",INDEX('근조 화환'!$B$2:$B$501,MATCH(322,'근조 화환'!$G$2:$G$501,0))&amp;"")</f>
        <v/>
      </c>
      <c r="I325" s="16">
        <f>IF(322&gt;$I$1,"",INDEX('근조 화환'!$C$2:$C$501,MATCH(322,'근조 화환'!$G$2:$G$501,0))&amp;"")</f>
        <v/>
      </c>
      <c r="J325" s="16">
        <f>IF(322&gt;$I$1,"",INDEX('근조 화환'!$D$2:$D$501,MATCH(322,'근조 화환'!$G$2:$G$501,0))&amp;"")</f>
        <v/>
      </c>
      <c r="K325" s="16">
        <f>IF(322&gt;$I$1,"",INDEX('근조 화환'!$E$2:$E$501,MATCH(322,'근조 화환'!$G$2:$G$501,0))&amp;"")</f>
        <v/>
      </c>
    </row>
    <row r="326">
      <c r="A326" s="16">
        <f>IF(323&lt;=$F$1,323,"")</f>
        <v/>
      </c>
      <c r="B326" s="16">
        <f>IF($A326="","",INDEX('부의금 입력'!$B$2:$B$1001,MATCH($A326,'부의금 입력'!$H$2:$H$1001,0))&amp;"")</f>
        <v/>
      </c>
      <c r="C326" s="18">
        <f>IF($A326="","",INDEX('부의금 입력'!$C$2:$C$1001,MATCH($A326,'부의금 입력'!$H$2:$H$1001,0)))</f>
        <v/>
      </c>
      <c r="D326" s="16">
        <f>IF($A326="","",INDEX('부의금 입력'!$D$2:$D$1001,MATCH($A326,'부의금 입력'!$H$2:$H$1001,0))&amp;"")</f>
        <v/>
      </c>
      <c r="E326" s="16">
        <f>IF($A326="","",INDEX('부의금 입력'!$E$2:$E$1001,MATCH($A326,'부의금 입력'!$H$2:$H$1001,0))&amp;"")</f>
        <v/>
      </c>
      <c r="H326" s="16">
        <f>IF(323&gt;$I$1,"",INDEX('근조 화환'!$B$2:$B$501,MATCH(323,'근조 화환'!$G$2:$G$501,0))&amp;"")</f>
        <v/>
      </c>
      <c r="I326" s="16">
        <f>IF(323&gt;$I$1,"",INDEX('근조 화환'!$C$2:$C$501,MATCH(323,'근조 화환'!$G$2:$G$501,0))&amp;"")</f>
        <v/>
      </c>
      <c r="J326" s="16">
        <f>IF(323&gt;$I$1,"",INDEX('근조 화환'!$D$2:$D$501,MATCH(323,'근조 화환'!$G$2:$G$501,0))&amp;"")</f>
        <v/>
      </c>
      <c r="K326" s="16">
        <f>IF(323&gt;$I$1,"",INDEX('근조 화환'!$E$2:$E$501,MATCH(323,'근조 화환'!$G$2:$G$501,0))&amp;"")</f>
        <v/>
      </c>
    </row>
    <row r="327">
      <c r="A327" s="16">
        <f>IF(324&lt;=$F$1,324,"")</f>
        <v/>
      </c>
      <c r="B327" s="16">
        <f>IF($A327="","",INDEX('부의금 입력'!$B$2:$B$1001,MATCH($A327,'부의금 입력'!$H$2:$H$1001,0))&amp;"")</f>
        <v/>
      </c>
      <c r="C327" s="18">
        <f>IF($A327="","",INDEX('부의금 입력'!$C$2:$C$1001,MATCH($A327,'부의금 입력'!$H$2:$H$1001,0)))</f>
        <v/>
      </c>
      <c r="D327" s="16">
        <f>IF($A327="","",INDEX('부의금 입력'!$D$2:$D$1001,MATCH($A327,'부의금 입력'!$H$2:$H$1001,0))&amp;"")</f>
        <v/>
      </c>
      <c r="E327" s="16">
        <f>IF($A327="","",INDEX('부의금 입력'!$E$2:$E$1001,MATCH($A327,'부의금 입력'!$H$2:$H$1001,0))&amp;"")</f>
        <v/>
      </c>
      <c r="H327" s="16">
        <f>IF(324&gt;$I$1,"",INDEX('근조 화환'!$B$2:$B$501,MATCH(324,'근조 화환'!$G$2:$G$501,0))&amp;"")</f>
        <v/>
      </c>
      <c r="I327" s="16">
        <f>IF(324&gt;$I$1,"",INDEX('근조 화환'!$C$2:$C$501,MATCH(324,'근조 화환'!$G$2:$G$501,0))&amp;"")</f>
        <v/>
      </c>
      <c r="J327" s="16">
        <f>IF(324&gt;$I$1,"",INDEX('근조 화환'!$D$2:$D$501,MATCH(324,'근조 화환'!$G$2:$G$501,0))&amp;"")</f>
        <v/>
      </c>
      <c r="K327" s="16">
        <f>IF(324&gt;$I$1,"",INDEX('근조 화환'!$E$2:$E$501,MATCH(324,'근조 화환'!$G$2:$G$501,0))&amp;"")</f>
        <v/>
      </c>
    </row>
    <row r="328">
      <c r="A328" s="16">
        <f>IF(325&lt;=$F$1,325,"")</f>
        <v/>
      </c>
      <c r="B328" s="16">
        <f>IF($A328="","",INDEX('부의금 입력'!$B$2:$B$1001,MATCH($A328,'부의금 입력'!$H$2:$H$1001,0))&amp;"")</f>
        <v/>
      </c>
      <c r="C328" s="18">
        <f>IF($A328="","",INDEX('부의금 입력'!$C$2:$C$1001,MATCH($A328,'부의금 입력'!$H$2:$H$1001,0)))</f>
        <v/>
      </c>
      <c r="D328" s="16">
        <f>IF($A328="","",INDEX('부의금 입력'!$D$2:$D$1001,MATCH($A328,'부의금 입력'!$H$2:$H$1001,0))&amp;"")</f>
        <v/>
      </c>
      <c r="E328" s="16">
        <f>IF($A328="","",INDEX('부의금 입력'!$E$2:$E$1001,MATCH($A328,'부의금 입력'!$H$2:$H$1001,0))&amp;"")</f>
        <v/>
      </c>
      <c r="H328" s="16">
        <f>IF(325&gt;$I$1,"",INDEX('근조 화환'!$B$2:$B$501,MATCH(325,'근조 화환'!$G$2:$G$501,0))&amp;"")</f>
        <v/>
      </c>
      <c r="I328" s="16">
        <f>IF(325&gt;$I$1,"",INDEX('근조 화환'!$C$2:$C$501,MATCH(325,'근조 화환'!$G$2:$G$501,0))&amp;"")</f>
        <v/>
      </c>
      <c r="J328" s="16">
        <f>IF(325&gt;$I$1,"",INDEX('근조 화환'!$D$2:$D$501,MATCH(325,'근조 화환'!$G$2:$G$501,0))&amp;"")</f>
        <v/>
      </c>
      <c r="K328" s="16">
        <f>IF(325&gt;$I$1,"",INDEX('근조 화환'!$E$2:$E$501,MATCH(325,'근조 화환'!$G$2:$G$501,0))&amp;"")</f>
        <v/>
      </c>
    </row>
    <row r="329">
      <c r="A329" s="16">
        <f>IF(326&lt;=$F$1,326,"")</f>
        <v/>
      </c>
      <c r="B329" s="16">
        <f>IF($A329="","",INDEX('부의금 입력'!$B$2:$B$1001,MATCH($A329,'부의금 입력'!$H$2:$H$1001,0))&amp;"")</f>
        <v/>
      </c>
      <c r="C329" s="18">
        <f>IF($A329="","",INDEX('부의금 입력'!$C$2:$C$1001,MATCH($A329,'부의금 입력'!$H$2:$H$1001,0)))</f>
        <v/>
      </c>
      <c r="D329" s="16">
        <f>IF($A329="","",INDEX('부의금 입력'!$D$2:$D$1001,MATCH($A329,'부의금 입력'!$H$2:$H$1001,0))&amp;"")</f>
        <v/>
      </c>
      <c r="E329" s="16">
        <f>IF($A329="","",INDEX('부의금 입력'!$E$2:$E$1001,MATCH($A329,'부의금 입력'!$H$2:$H$1001,0))&amp;"")</f>
        <v/>
      </c>
      <c r="H329" s="16">
        <f>IF(326&gt;$I$1,"",INDEX('근조 화환'!$B$2:$B$501,MATCH(326,'근조 화환'!$G$2:$G$501,0))&amp;"")</f>
        <v/>
      </c>
      <c r="I329" s="16">
        <f>IF(326&gt;$I$1,"",INDEX('근조 화환'!$C$2:$C$501,MATCH(326,'근조 화환'!$G$2:$G$501,0))&amp;"")</f>
        <v/>
      </c>
      <c r="J329" s="16">
        <f>IF(326&gt;$I$1,"",INDEX('근조 화환'!$D$2:$D$501,MATCH(326,'근조 화환'!$G$2:$G$501,0))&amp;"")</f>
        <v/>
      </c>
      <c r="K329" s="16">
        <f>IF(326&gt;$I$1,"",INDEX('근조 화환'!$E$2:$E$501,MATCH(326,'근조 화환'!$G$2:$G$501,0))&amp;"")</f>
        <v/>
      </c>
    </row>
    <row r="330">
      <c r="A330" s="16">
        <f>IF(327&lt;=$F$1,327,"")</f>
        <v/>
      </c>
      <c r="B330" s="16">
        <f>IF($A330="","",INDEX('부의금 입력'!$B$2:$B$1001,MATCH($A330,'부의금 입력'!$H$2:$H$1001,0))&amp;"")</f>
        <v/>
      </c>
      <c r="C330" s="18">
        <f>IF($A330="","",INDEX('부의금 입력'!$C$2:$C$1001,MATCH($A330,'부의금 입력'!$H$2:$H$1001,0)))</f>
        <v/>
      </c>
      <c r="D330" s="16">
        <f>IF($A330="","",INDEX('부의금 입력'!$D$2:$D$1001,MATCH($A330,'부의금 입력'!$H$2:$H$1001,0))&amp;"")</f>
        <v/>
      </c>
      <c r="E330" s="16">
        <f>IF($A330="","",INDEX('부의금 입력'!$E$2:$E$1001,MATCH($A330,'부의금 입력'!$H$2:$H$1001,0))&amp;"")</f>
        <v/>
      </c>
      <c r="H330" s="16">
        <f>IF(327&gt;$I$1,"",INDEX('근조 화환'!$B$2:$B$501,MATCH(327,'근조 화환'!$G$2:$G$501,0))&amp;"")</f>
        <v/>
      </c>
      <c r="I330" s="16">
        <f>IF(327&gt;$I$1,"",INDEX('근조 화환'!$C$2:$C$501,MATCH(327,'근조 화환'!$G$2:$G$501,0))&amp;"")</f>
        <v/>
      </c>
      <c r="J330" s="16">
        <f>IF(327&gt;$I$1,"",INDEX('근조 화환'!$D$2:$D$501,MATCH(327,'근조 화환'!$G$2:$G$501,0))&amp;"")</f>
        <v/>
      </c>
      <c r="K330" s="16">
        <f>IF(327&gt;$I$1,"",INDEX('근조 화환'!$E$2:$E$501,MATCH(327,'근조 화환'!$G$2:$G$501,0))&amp;"")</f>
        <v/>
      </c>
    </row>
    <row r="331">
      <c r="A331" s="16">
        <f>IF(328&lt;=$F$1,328,"")</f>
        <v/>
      </c>
      <c r="B331" s="16">
        <f>IF($A331="","",INDEX('부의금 입력'!$B$2:$B$1001,MATCH($A331,'부의금 입력'!$H$2:$H$1001,0))&amp;"")</f>
        <v/>
      </c>
      <c r="C331" s="18">
        <f>IF($A331="","",INDEX('부의금 입력'!$C$2:$C$1001,MATCH($A331,'부의금 입력'!$H$2:$H$1001,0)))</f>
        <v/>
      </c>
      <c r="D331" s="16">
        <f>IF($A331="","",INDEX('부의금 입력'!$D$2:$D$1001,MATCH($A331,'부의금 입력'!$H$2:$H$1001,0))&amp;"")</f>
        <v/>
      </c>
      <c r="E331" s="16">
        <f>IF($A331="","",INDEX('부의금 입력'!$E$2:$E$1001,MATCH($A331,'부의금 입력'!$H$2:$H$1001,0))&amp;"")</f>
        <v/>
      </c>
      <c r="H331" s="16">
        <f>IF(328&gt;$I$1,"",INDEX('근조 화환'!$B$2:$B$501,MATCH(328,'근조 화환'!$G$2:$G$501,0))&amp;"")</f>
        <v/>
      </c>
      <c r="I331" s="16">
        <f>IF(328&gt;$I$1,"",INDEX('근조 화환'!$C$2:$C$501,MATCH(328,'근조 화환'!$G$2:$G$501,0))&amp;"")</f>
        <v/>
      </c>
      <c r="J331" s="16">
        <f>IF(328&gt;$I$1,"",INDEX('근조 화환'!$D$2:$D$501,MATCH(328,'근조 화환'!$G$2:$G$501,0))&amp;"")</f>
        <v/>
      </c>
      <c r="K331" s="16">
        <f>IF(328&gt;$I$1,"",INDEX('근조 화환'!$E$2:$E$501,MATCH(328,'근조 화환'!$G$2:$G$501,0))&amp;"")</f>
        <v/>
      </c>
    </row>
    <row r="332">
      <c r="A332" s="16">
        <f>IF(329&lt;=$F$1,329,"")</f>
        <v/>
      </c>
      <c r="B332" s="16">
        <f>IF($A332="","",INDEX('부의금 입력'!$B$2:$B$1001,MATCH($A332,'부의금 입력'!$H$2:$H$1001,0))&amp;"")</f>
        <v/>
      </c>
      <c r="C332" s="18">
        <f>IF($A332="","",INDEX('부의금 입력'!$C$2:$C$1001,MATCH($A332,'부의금 입력'!$H$2:$H$1001,0)))</f>
        <v/>
      </c>
      <c r="D332" s="16">
        <f>IF($A332="","",INDEX('부의금 입력'!$D$2:$D$1001,MATCH($A332,'부의금 입력'!$H$2:$H$1001,0))&amp;"")</f>
        <v/>
      </c>
      <c r="E332" s="16">
        <f>IF($A332="","",INDEX('부의금 입력'!$E$2:$E$1001,MATCH($A332,'부의금 입력'!$H$2:$H$1001,0))&amp;"")</f>
        <v/>
      </c>
      <c r="H332" s="16">
        <f>IF(329&gt;$I$1,"",INDEX('근조 화환'!$B$2:$B$501,MATCH(329,'근조 화환'!$G$2:$G$501,0))&amp;"")</f>
        <v/>
      </c>
      <c r="I332" s="16">
        <f>IF(329&gt;$I$1,"",INDEX('근조 화환'!$C$2:$C$501,MATCH(329,'근조 화환'!$G$2:$G$501,0))&amp;"")</f>
        <v/>
      </c>
      <c r="J332" s="16">
        <f>IF(329&gt;$I$1,"",INDEX('근조 화환'!$D$2:$D$501,MATCH(329,'근조 화환'!$G$2:$G$501,0))&amp;"")</f>
        <v/>
      </c>
      <c r="K332" s="16">
        <f>IF(329&gt;$I$1,"",INDEX('근조 화환'!$E$2:$E$501,MATCH(329,'근조 화환'!$G$2:$G$501,0))&amp;"")</f>
        <v/>
      </c>
    </row>
    <row r="333">
      <c r="A333" s="16">
        <f>IF(330&lt;=$F$1,330,"")</f>
        <v/>
      </c>
      <c r="B333" s="16">
        <f>IF($A333="","",INDEX('부의금 입력'!$B$2:$B$1001,MATCH($A333,'부의금 입력'!$H$2:$H$1001,0))&amp;"")</f>
        <v/>
      </c>
      <c r="C333" s="18">
        <f>IF($A333="","",INDEX('부의금 입력'!$C$2:$C$1001,MATCH($A333,'부의금 입력'!$H$2:$H$1001,0)))</f>
        <v/>
      </c>
      <c r="D333" s="16">
        <f>IF($A333="","",INDEX('부의금 입력'!$D$2:$D$1001,MATCH($A333,'부의금 입력'!$H$2:$H$1001,0))&amp;"")</f>
        <v/>
      </c>
      <c r="E333" s="16">
        <f>IF($A333="","",INDEX('부의금 입력'!$E$2:$E$1001,MATCH($A333,'부의금 입력'!$H$2:$H$1001,0))&amp;"")</f>
        <v/>
      </c>
      <c r="H333" s="16">
        <f>IF(330&gt;$I$1,"",INDEX('근조 화환'!$B$2:$B$501,MATCH(330,'근조 화환'!$G$2:$G$501,0))&amp;"")</f>
        <v/>
      </c>
      <c r="I333" s="16">
        <f>IF(330&gt;$I$1,"",INDEX('근조 화환'!$C$2:$C$501,MATCH(330,'근조 화환'!$G$2:$G$501,0))&amp;"")</f>
        <v/>
      </c>
      <c r="J333" s="16">
        <f>IF(330&gt;$I$1,"",INDEX('근조 화환'!$D$2:$D$501,MATCH(330,'근조 화환'!$G$2:$G$501,0))&amp;"")</f>
        <v/>
      </c>
      <c r="K333" s="16">
        <f>IF(330&gt;$I$1,"",INDEX('근조 화환'!$E$2:$E$501,MATCH(330,'근조 화환'!$G$2:$G$501,0))&amp;"")</f>
        <v/>
      </c>
    </row>
    <row r="334">
      <c r="A334" s="16">
        <f>IF(331&lt;=$F$1,331,"")</f>
        <v/>
      </c>
      <c r="B334" s="16">
        <f>IF($A334="","",INDEX('부의금 입력'!$B$2:$B$1001,MATCH($A334,'부의금 입력'!$H$2:$H$1001,0))&amp;"")</f>
        <v/>
      </c>
      <c r="C334" s="18">
        <f>IF($A334="","",INDEX('부의금 입력'!$C$2:$C$1001,MATCH($A334,'부의금 입력'!$H$2:$H$1001,0)))</f>
        <v/>
      </c>
      <c r="D334" s="16">
        <f>IF($A334="","",INDEX('부의금 입력'!$D$2:$D$1001,MATCH($A334,'부의금 입력'!$H$2:$H$1001,0))&amp;"")</f>
        <v/>
      </c>
      <c r="E334" s="16">
        <f>IF($A334="","",INDEX('부의금 입력'!$E$2:$E$1001,MATCH($A334,'부의금 입력'!$H$2:$H$1001,0))&amp;"")</f>
        <v/>
      </c>
      <c r="H334" s="16">
        <f>IF(331&gt;$I$1,"",INDEX('근조 화환'!$B$2:$B$501,MATCH(331,'근조 화환'!$G$2:$G$501,0))&amp;"")</f>
        <v/>
      </c>
      <c r="I334" s="16">
        <f>IF(331&gt;$I$1,"",INDEX('근조 화환'!$C$2:$C$501,MATCH(331,'근조 화환'!$G$2:$G$501,0))&amp;"")</f>
        <v/>
      </c>
      <c r="J334" s="16">
        <f>IF(331&gt;$I$1,"",INDEX('근조 화환'!$D$2:$D$501,MATCH(331,'근조 화환'!$G$2:$G$501,0))&amp;"")</f>
        <v/>
      </c>
      <c r="K334" s="16">
        <f>IF(331&gt;$I$1,"",INDEX('근조 화환'!$E$2:$E$501,MATCH(331,'근조 화환'!$G$2:$G$501,0))&amp;"")</f>
        <v/>
      </c>
    </row>
    <row r="335">
      <c r="A335" s="16">
        <f>IF(332&lt;=$F$1,332,"")</f>
        <v/>
      </c>
      <c r="B335" s="16">
        <f>IF($A335="","",INDEX('부의금 입력'!$B$2:$B$1001,MATCH($A335,'부의금 입력'!$H$2:$H$1001,0))&amp;"")</f>
        <v/>
      </c>
      <c r="C335" s="18">
        <f>IF($A335="","",INDEX('부의금 입력'!$C$2:$C$1001,MATCH($A335,'부의금 입력'!$H$2:$H$1001,0)))</f>
        <v/>
      </c>
      <c r="D335" s="16">
        <f>IF($A335="","",INDEX('부의금 입력'!$D$2:$D$1001,MATCH($A335,'부의금 입력'!$H$2:$H$1001,0))&amp;"")</f>
        <v/>
      </c>
      <c r="E335" s="16">
        <f>IF($A335="","",INDEX('부의금 입력'!$E$2:$E$1001,MATCH($A335,'부의금 입력'!$H$2:$H$1001,0))&amp;"")</f>
        <v/>
      </c>
      <c r="H335" s="16">
        <f>IF(332&gt;$I$1,"",INDEX('근조 화환'!$B$2:$B$501,MATCH(332,'근조 화환'!$G$2:$G$501,0))&amp;"")</f>
        <v/>
      </c>
      <c r="I335" s="16">
        <f>IF(332&gt;$I$1,"",INDEX('근조 화환'!$C$2:$C$501,MATCH(332,'근조 화환'!$G$2:$G$501,0))&amp;"")</f>
        <v/>
      </c>
      <c r="J335" s="16">
        <f>IF(332&gt;$I$1,"",INDEX('근조 화환'!$D$2:$D$501,MATCH(332,'근조 화환'!$G$2:$G$501,0))&amp;"")</f>
        <v/>
      </c>
      <c r="K335" s="16">
        <f>IF(332&gt;$I$1,"",INDEX('근조 화환'!$E$2:$E$501,MATCH(332,'근조 화환'!$G$2:$G$501,0))&amp;"")</f>
        <v/>
      </c>
    </row>
    <row r="336">
      <c r="A336" s="16">
        <f>IF(333&lt;=$F$1,333,"")</f>
        <v/>
      </c>
      <c r="B336" s="16">
        <f>IF($A336="","",INDEX('부의금 입력'!$B$2:$B$1001,MATCH($A336,'부의금 입력'!$H$2:$H$1001,0))&amp;"")</f>
        <v/>
      </c>
      <c r="C336" s="18">
        <f>IF($A336="","",INDEX('부의금 입력'!$C$2:$C$1001,MATCH($A336,'부의금 입력'!$H$2:$H$1001,0)))</f>
        <v/>
      </c>
      <c r="D336" s="16">
        <f>IF($A336="","",INDEX('부의금 입력'!$D$2:$D$1001,MATCH($A336,'부의금 입력'!$H$2:$H$1001,0))&amp;"")</f>
        <v/>
      </c>
      <c r="E336" s="16">
        <f>IF($A336="","",INDEX('부의금 입력'!$E$2:$E$1001,MATCH($A336,'부의금 입력'!$H$2:$H$1001,0))&amp;"")</f>
        <v/>
      </c>
      <c r="H336" s="16">
        <f>IF(333&gt;$I$1,"",INDEX('근조 화환'!$B$2:$B$501,MATCH(333,'근조 화환'!$G$2:$G$501,0))&amp;"")</f>
        <v/>
      </c>
      <c r="I336" s="16">
        <f>IF(333&gt;$I$1,"",INDEX('근조 화환'!$C$2:$C$501,MATCH(333,'근조 화환'!$G$2:$G$501,0))&amp;"")</f>
        <v/>
      </c>
      <c r="J336" s="16">
        <f>IF(333&gt;$I$1,"",INDEX('근조 화환'!$D$2:$D$501,MATCH(333,'근조 화환'!$G$2:$G$501,0))&amp;"")</f>
        <v/>
      </c>
      <c r="K336" s="16">
        <f>IF(333&gt;$I$1,"",INDEX('근조 화환'!$E$2:$E$501,MATCH(333,'근조 화환'!$G$2:$G$501,0))&amp;"")</f>
        <v/>
      </c>
    </row>
    <row r="337">
      <c r="A337" s="16">
        <f>IF(334&lt;=$F$1,334,"")</f>
        <v/>
      </c>
      <c r="B337" s="16">
        <f>IF($A337="","",INDEX('부의금 입력'!$B$2:$B$1001,MATCH($A337,'부의금 입력'!$H$2:$H$1001,0))&amp;"")</f>
        <v/>
      </c>
      <c r="C337" s="18">
        <f>IF($A337="","",INDEX('부의금 입력'!$C$2:$C$1001,MATCH($A337,'부의금 입력'!$H$2:$H$1001,0)))</f>
        <v/>
      </c>
      <c r="D337" s="16">
        <f>IF($A337="","",INDEX('부의금 입력'!$D$2:$D$1001,MATCH($A337,'부의금 입력'!$H$2:$H$1001,0))&amp;"")</f>
        <v/>
      </c>
      <c r="E337" s="16">
        <f>IF($A337="","",INDEX('부의금 입력'!$E$2:$E$1001,MATCH($A337,'부의금 입력'!$H$2:$H$1001,0))&amp;"")</f>
        <v/>
      </c>
      <c r="H337" s="16">
        <f>IF(334&gt;$I$1,"",INDEX('근조 화환'!$B$2:$B$501,MATCH(334,'근조 화환'!$G$2:$G$501,0))&amp;"")</f>
        <v/>
      </c>
      <c r="I337" s="16">
        <f>IF(334&gt;$I$1,"",INDEX('근조 화환'!$C$2:$C$501,MATCH(334,'근조 화환'!$G$2:$G$501,0))&amp;"")</f>
        <v/>
      </c>
      <c r="J337" s="16">
        <f>IF(334&gt;$I$1,"",INDEX('근조 화환'!$D$2:$D$501,MATCH(334,'근조 화환'!$G$2:$G$501,0))&amp;"")</f>
        <v/>
      </c>
      <c r="K337" s="16">
        <f>IF(334&gt;$I$1,"",INDEX('근조 화환'!$E$2:$E$501,MATCH(334,'근조 화환'!$G$2:$G$501,0))&amp;"")</f>
        <v/>
      </c>
    </row>
    <row r="338">
      <c r="A338" s="16">
        <f>IF(335&lt;=$F$1,335,"")</f>
        <v/>
      </c>
      <c r="B338" s="16">
        <f>IF($A338="","",INDEX('부의금 입력'!$B$2:$B$1001,MATCH($A338,'부의금 입력'!$H$2:$H$1001,0))&amp;"")</f>
        <v/>
      </c>
      <c r="C338" s="18">
        <f>IF($A338="","",INDEX('부의금 입력'!$C$2:$C$1001,MATCH($A338,'부의금 입력'!$H$2:$H$1001,0)))</f>
        <v/>
      </c>
      <c r="D338" s="16">
        <f>IF($A338="","",INDEX('부의금 입력'!$D$2:$D$1001,MATCH($A338,'부의금 입력'!$H$2:$H$1001,0))&amp;"")</f>
        <v/>
      </c>
      <c r="E338" s="16">
        <f>IF($A338="","",INDEX('부의금 입력'!$E$2:$E$1001,MATCH($A338,'부의금 입력'!$H$2:$H$1001,0))&amp;"")</f>
        <v/>
      </c>
      <c r="H338" s="16">
        <f>IF(335&gt;$I$1,"",INDEX('근조 화환'!$B$2:$B$501,MATCH(335,'근조 화환'!$G$2:$G$501,0))&amp;"")</f>
        <v/>
      </c>
      <c r="I338" s="16">
        <f>IF(335&gt;$I$1,"",INDEX('근조 화환'!$C$2:$C$501,MATCH(335,'근조 화환'!$G$2:$G$501,0))&amp;"")</f>
        <v/>
      </c>
      <c r="J338" s="16">
        <f>IF(335&gt;$I$1,"",INDEX('근조 화환'!$D$2:$D$501,MATCH(335,'근조 화환'!$G$2:$G$501,0))&amp;"")</f>
        <v/>
      </c>
      <c r="K338" s="16">
        <f>IF(335&gt;$I$1,"",INDEX('근조 화환'!$E$2:$E$501,MATCH(335,'근조 화환'!$G$2:$G$501,0))&amp;"")</f>
        <v/>
      </c>
    </row>
    <row r="339">
      <c r="A339" s="16">
        <f>IF(336&lt;=$F$1,336,"")</f>
        <v/>
      </c>
      <c r="B339" s="16">
        <f>IF($A339="","",INDEX('부의금 입력'!$B$2:$B$1001,MATCH($A339,'부의금 입력'!$H$2:$H$1001,0))&amp;"")</f>
        <v/>
      </c>
      <c r="C339" s="18">
        <f>IF($A339="","",INDEX('부의금 입력'!$C$2:$C$1001,MATCH($A339,'부의금 입력'!$H$2:$H$1001,0)))</f>
        <v/>
      </c>
      <c r="D339" s="16">
        <f>IF($A339="","",INDEX('부의금 입력'!$D$2:$D$1001,MATCH($A339,'부의금 입력'!$H$2:$H$1001,0))&amp;"")</f>
        <v/>
      </c>
      <c r="E339" s="16">
        <f>IF($A339="","",INDEX('부의금 입력'!$E$2:$E$1001,MATCH($A339,'부의금 입력'!$H$2:$H$1001,0))&amp;"")</f>
        <v/>
      </c>
      <c r="H339" s="16">
        <f>IF(336&gt;$I$1,"",INDEX('근조 화환'!$B$2:$B$501,MATCH(336,'근조 화환'!$G$2:$G$501,0))&amp;"")</f>
        <v/>
      </c>
      <c r="I339" s="16">
        <f>IF(336&gt;$I$1,"",INDEX('근조 화환'!$C$2:$C$501,MATCH(336,'근조 화환'!$G$2:$G$501,0))&amp;"")</f>
        <v/>
      </c>
      <c r="J339" s="16">
        <f>IF(336&gt;$I$1,"",INDEX('근조 화환'!$D$2:$D$501,MATCH(336,'근조 화환'!$G$2:$G$501,0))&amp;"")</f>
        <v/>
      </c>
      <c r="K339" s="16">
        <f>IF(336&gt;$I$1,"",INDEX('근조 화환'!$E$2:$E$501,MATCH(336,'근조 화환'!$G$2:$G$501,0))&amp;"")</f>
        <v/>
      </c>
    </row>
    <row r="340">
      <c r="A340" s="16">
        <f>IF(337&lt;=$F$1,337,"")</f>
        <v/>
      </c>
      <c r="B340" s="16">
        <f>IF($A340="","",INDEX('부의금 입력'!$B$2:$B$1001,MATCH($A340,'부의금 입력'!$H$2:$H$1001,0))&amp;"")</f>
        <v/>
      </c>
      <c r="C340" s="18">
        <f>IF($A340="","",INDEX('부의금 입력'!$C$2:$C$1001,MATCH($A340,'부의금 입력'!$H$2:$H$1001,0)))</f>
        <v/>
      </c>
      <c r="D340" s="16">
        <f>IF($A340="","",INDEX('부의금 입력'!$D$2:$D$1001,MATCH($A340,'부의금 입력'!$H$2:$H$1001,0))&amp;"")</f>
        <v/>
      </c>
      <c r="E340" s="16">
        <f>IF($A340="","",INDEX('부의금 입력'!$E$2:$E$1001,MATCH($A340,'부의금 입력'!$H$2:$H$1001,0))&amp;"")</f>
        <v/>
      </c>
      <c r="H340" s="16">
        <f>IF(337&gt;$I$1,"",INDEX('근조 화환'!$B$2:$B$501,MATCH(337,'근조 화환'!$G$2:$G$501,0))&amp;"")</f>
        <v/>
      </c>
      <c r="I340" s="16">
        <f>IF(337&gt;$I$1,"",INDEX('근조 화환'!$C$2:$C$501,MATCH(337,'근조 화환'!$G$2:$G$501,0))&amp;"")</f>
        <v/>
      </c>
      <c r="J340" s="16">
        <f>IF(337&gt;$I$1,"",INDEX('근조 화환'!$D$2:$D$501,MATCH(337,'근조 화환'!$G$2:$G$501,0))&amp;"")</f>
        <v/>
      </c>
      <c r="K340" s="16">
        <f>IF(337&gt;$I$1,"",INDEX('근조 화환'!$E$2:$E$501,MATCH(337,'근조 화환'!$G$2:$G$501,0))&amp;"")</f>
        <v/>
      </c>
    </row>
    <row r="341">
      <c r="A341" s="16">
        <f>IF(338&lt;=$F$1,338,"")</f>
        <v/>
      </c>
      <c r="B341" s="16">
        <f>IF($A341="","",INDEX('부의금 입력'!$B$2:$B$1001,MATCH($A341,'부의금 입력'!$H$2:$H$1001,0))&amp;"")</f>
        <v/>
      </c>
      <c r="C341" s="18">
        <f>IF($A341="","",INDEX('부의금 입력'!$C$2:$C$1001,MATCH($A341,'부의금 입력'!$H$2:$H$1001,0)))</f>
        <v/>
      </c>
      <c r="D341" s="16">
        <f>IF($A341="","",INDEX('부의금 입력'!$D$2:$D$1001,MATCH($A341,'부의금 입력'!$H$2:$H$1001,0))&amp;"")</f>
        <v/>
      </c>
      <c r="E341" s="16">
        <f>IF($A341="","",INDEX('부의금 입력'!$E$2:$E$1001,MATCH($A341,'부의금 입력'!$H$2:$H$1001,0))&amp;"")</f>
        <v/>
      </c>
      <c r="H341" s="16">
        <f>IF(338&gt;$I$1,"",INDEX('근조 화환'!$B$2:$B$501,MATCH(338,'근조 화환'!$G$2:$G$501,0))&amp;"")</f>
        <v/>
      </c>
      <c r="I341" s="16">
        <f>IF(338&gt;$I$1,"",INDEX('근조 화환'!$C$2:$C$501,MATCH(338,'근조 화환'!$G$2:$G$501,0))&amp;"")</f>
        <v/>
      </c>
      <c r="J341" s="16">
        <f>IF(338&gt;$I$1,"",INDEX('근조 화환'!$D$2:$D$501,MATCH(338,'근조 화환'!$G$2:$G$501,0))&amp;"")</f>
        <v/>
      </c>
      <c r="K341" s="16">
        <f>IF(338&gt;$I$1,"",INDEX('근조 화환'!$E$2:$E$501,MATCH(338,'근조 화환'!$G$2:$G$501,0))&amp;"")</f>
        <v/>
      </c>
    </row>
    <row r="342">
      <c r="A342" s="16">
        <f>IF(339&lt;=$F$1,339,"")</f>
        <v/>
      </c>
      <c r="B342" s="16">
        <f>IF($A342="","",INDEX('부의금 입력'!$B$2:$B$1001,MATCH($A342,'부의금 입력'!$H$2:$H$1001,0))&amp;"")</f>
        <v/>
      </c>
      <c r="C342" s="18">
        <f>IF($A342="","",INDEX('부의금 입력'!$C$2:$C$1001,MATCH($A342,'부의금 입력'!$H$2:$H$1001,0)))</f>
        <v/>
      </c>
      <c r="D342" s="16">
        <f>IF($A342="","",INDEX('부의금 입력'!$D$2:$D$1001,MATCH($A342,'부의금 입력'!$H$2:$H$1001,0))&amp;"")</f>
        <v/>
      </c>
      <c r="E342" s="16">
        <f>IF($A342="","",INDEX('부의금 입력'!$E$2:$E$1001,MATCH($A342,'부의금 입력'!$H$2:$H$1001,0))&amp;"")</f>
        <v/>
      </c>
      <c r="H342" s="16">
        <f>IF(339&gt;$I$1,"",INDEX('근조 화환'!$B$2:$B$501,MATCH(339,'근조 화환'!$G$2:$G$501,0))&amp;"")</f>
        <v/>
      </c>
      <c r="I342" s="16">
        <f>IF(339&gt;$I$1,"",INDEX('근조 화환'!$C$2:$C$501,MATCH(339,'근조 화환'!$G$2:$G$501,0))&amp;"")</f>
        <v/>
      </c>
      <c r="J342" s="16">
        <f>IF(339&gt;$I$1,"",INDEX('근조 화환'!$D$2:$D$501,MATCH(339,'근조 화환'!$G$2:$G$501,0))&amp;"")</f>
        <v/>
      </c>
      <c r="K342" s="16">
        <f>IF(339&gt;$I$1,"",INDEX('근조 화환'!$E$2:$E$501,MATCH(339,'근조 화환'!$G$2:$G$501,0))&amp;"")</f>
        <v/>
      </c>
    </row>
    <row r="343">
      <c r="A343" s="16">
        <f>IF(340&lt;=$F$1,340,"")</f>
        <v/>
      </c>
      <c r="B343" s="16">
        <f>IF($A343="","",INDEX('부의금 입력'!$B$2:$B$1001,MATCH($A343,'부의금 입력'!$H$2:$H$1001,0))&amp;"")</f>
        <v/>
      </c>
      <c r="C343" s="18">
        <f>IF($A343="","",INDEX('부의금 입력'!$C$2:$C$1001,MATCH($A343,'부의금 입력'!$H$2:$H$1001,0)))</f>
        <v/>
      </c>
      <c r="D343" s="16">
        <f>IF($A343="","",INDEX('부의금 입력'!$D$2:$D$1001,MATCH($A343,'부의금 입력'!$H$2:$H$1001,0))&amp;"")</f>
        <v/>
      </c>
      <c r="E343" s="16">
        <f>IF($A343="","",INDEX('부의금 입력'!$E$2:$E$1001,MATCH($A343,'부의금 입력'!$H$2:$H$1001,0))&amp;"")</f>
        <v/>
      </c>
      <c r="H343" s="16">
        <f>IF(340&gt;$I$1,"",INDEX('근조 화환'!$B$2:$B$501,MATCH(340,'근조 화환'!$G$2:$G$501,0))&amp;"")</f>
        <v/>
      </c>
      <c r="I343" s="16">
        <f>IF(340&gt;$I$1,"",INDEX('근조 화환'!$C$2:$C$501,MATCH(340,'근조 화환'!$G$2:$G$501,0))&amp;"")</f>
        <v/>
      </c>
      <c r="J343" s="16">
        <f>IF(340&gt;$I$1,"",INDEX('근조 화환'!$D$2:$D$501,MATCH(340,'근조 화환'!$G$2:$G$501,0))&amp;"")</f>
        <v/>
      </c>
      <c r="K343" s="16">
        <f>IF(340&gt;$I$1,"",INDEX('근조 화환'!$E$2:$E$501,MATCH(340,'근조 화환'!$G$2:$G$501,0))&amp;"")</f>
        <v/>
      </c>
    </row>
    <row r="344">
      <c r="A344" s="16">
        <f>IF(341&lt;=$F$1,341,"")</f>
        <v/>
      </c>
      <c r="B344" s="16">
        <f>IF($A344="","",INDEX('부의금 입력'!$B$2:$B$1001,MATCH($A344,'부의금 입력'!$H$2:$H$1001,0))&amp;"")</f>
        <v/>
      </c>
      <c r="C344" s="18">
        <f>IF($A344="","",INDEX('부의금 입력'!$C$2:$C$1001,MATCH($A344,'부의금 입력'!$H$2:$H$1001,0)))</f>
        <v/>
      </c>
      <c r="D344" s="16">
        <f>IF($A344="","",INDEX('부의금 입력'!$D$2:$D$1001,MATCH($A344,'부의금 입력'!$H$2:$H$1001,0))&amp;"")</f>
        <v/>
      </c>
      <c r="E344" s="16">
        <f>IF($A344="","",INDEX('부의금 입력'!$E$2:$E$1001,MATCH($A344,'부의금 입력'!$H$2:$H$1001,0))&amp;"")</f>
        <v/>
      </c>
      <c r="H344" s="16">
        <f>IF(341&gt;$I$1,"",INDEX('근조 화환'!$B$2:$B$501,MATCH(341,'근조 화환'!$G$2:$G$501,0))&amp;"")</f>
        <v/>
      </c>
      <c r="I344" s="16">
        <f>IF(341&gt;$I$1,"",INDEX('근조 화환'!$C$2:$C$501,MATCH(341,'근조 화환'!$G$2:$G$501,0))&amp;"")</f>
        <v/>
      </c>
      <c r="J344" s="16">
        <f>IF(341&gt;$I$1,"",INDEX('근조 화환'!$D$2:$D$501,MATCH(341,'근조 화환'!$G$2:$G$501,0))&amp;"")</f>
        <v/>
      </c>
      <c r="K344" s="16">
        <f>IF(341&gt;$I$1,"",INDEX('근조 화환'!$E$2:$E$501,MATCH(341,'근조 화환'!$G$2:$G$501,0))&amp;"")</f>
        <v/>
      </c>
    </row>
    <row r="345">
      <c r="A345" s="16">
        <f>IF(342&lt;=$F$1,342,"")</f>
        <v/>
      </c>
      <c r="B345" s="16">
        <f>IF($A345="","",INDEX('부의금 입력'!$B$2:$B$1001,MATCH($A345,'부의금 입력'!$H$2:$H$1001,0))&amp;"")</f>
        <v/>
      </c>
      <c r="C345" s="18">
        <f>IF($A345="","",INDEX('부의금 입력'!$C$2:$C$1001,MATCH($A345,'부의금 입력'!$H$2:$H$1001,0)))</f>
        <v/>
      </c>
      <c r="D345" s="16">
        <f>IF($A345="","",INDEX('부의금 입력'!$D$2:$D$1001,MATCH($A345,'부의금 입력'!$H$2:$H$1001,0))&amp;"")</f>
        <v/>
      </c>
      <c r="E345" s="16">
        <f>IF($A345="","",INDEX('부의금 입력'!$E$2:$E$1001,MATCH($A345,'부의금 입력'!$H$2:$H$1001,0))&amp;"")</f>
        <v/>
      </c>
      <c r="H345" s="16">
        <f>IF(342&gt;$I$1,"",INDEX('근조 화환'!$B$2:$B$501,MATCH(342,'근조 화환'!$G$2:$G$501,0))&amp;"")</f>
        <v/>
      </c>
      <c r="I345" s="16">
        <f>IF(342&gt;$I$1,"",INDEX('근조 화환'!$C$2:$C$501,MATCH(342,'근조 화환'!$G$2:$G$501,0))&amp;"")</f>
        <v/>
      </c>
      <c r="J345" s="16">
        <f>IF(342&gt;$I$1,"",INDEX('근조 화환'!$D$2:$D$501,MATCH(342,'근조 화환'!$G$2:$G$501,0))&amp;"")</f>
        <v/>
      </c>
      <c r="K345" s="16">
        <f>IF(342&gt;$I$1,"",INDEX('근조 화환'!$E$2:$E$501,MATCH(342,'근조 화환'!$G$2:$G$501,0))&amp;"")</f>
        <v/>
      </c>
    </row>
    <row r="346">
      <c r="A346" s="16">
        <f>IF(343&lt;=$F$1,343,"")</f>
        <v/>
      </c>
      <c r="B346" s="16">
        <f>IF($A346="","",INDEX('부의금 입력'!$B$2:$B$1001,MATCH($A346,'부의금 입력'!$H$2:$H$1001,0))&amp;"")</f>
        <v/>
      </c>
      <c r="C346" s="18">
        <f>IF($A346="","",INDEX('부의금 입력'!$C$2:$C$1001,MATCH($A346,'부의금 입력'!$H$2:$H$1001,0)))</f>
        <v/>
      </c>
      <c r="D346" s="16">
        <f>IF($A346="","",INDEX('부의금 입력'!$D$2:$D$1001,MATCH($A346,'부의금 입력'!$H$2:$H$1001,0))&amp;"")</f>
        <v/>
      </c>
      <c r="E346" s="16">
        <f>IF($A346="","",INDEX('부의금 입력'!$E$2:$E$1001,MATCH($A346,'부의금 입력'!$H$2:$H$1001,0))&amp;"")</f>
        <v/>
      </c>
      <c r="H346" s="16">
        <f>IF(343&gt;$I$1,"",INDEX('근조 화환'!$B$2:$B$501,MATCH(343,'근조 화환'!$G$2:$G$501,0))&amp;"")</f>
        <v/>
      </c>
      <c r="I346" s="16">
        <f>IF(343&gt;$I$1,"",INDEX('근조 화환'!$C$2:$C$501,MATCH(343,'근조 화환'!$G$2:$G$501,0))&amp;"")</f>
        <v/>
      </c>
      <c r="J346" s="16">
        <f>IF(343&gt;$I$1,"",INDEX('근조 화환'!$D$2:$D$501,MATCH(343,'근조 화환'!$G$2:$G$501,0))&amp;"")</f>
        <v/>
      </c>
      <c r="K346" s="16">
        <f>IF(343&gt;$I$1,"",INDEX('근조 화환'!$E$2:$E$501,MATCH(343,'근조 화환'!$G$2:$G$501,0))&amp;"")</f>
        <v/>
      </c>
    </row>
    <row r="347">
      <c r="A347" s="16">
        <f>IF(344&lt;=$F$1,344,"")</f>
        <v/>
      </c>
      <c r="B347" s="16">
        <f>IF($A347="","",INDEX('부의금 입력'!$B$2:$B$1001,MATCH($A347,'부의금 입력'!$H$2:$H$1001,0))&amp;"")</f>
        <v/>
      </c>
      <c r="C347" s="18">
        <f>IF($A347="","",INDEX('부의금 입력'!$C$2:$C$1001,MATCH($A347,'부의금 입력'!$H$2:$H$1001,0)))</f>
        <v/>
      </c>
      <c r="D347" s="16">
        <f>IF($A347="","",INDEX('부의금 입력'!$D$2:$D$1001,MATCH($A347,'부의금 입력'!$H$2:$H$1001,0))&amp;"")</f>
        <v/>
      </c>
      <c r="E347" s="16">
        <f>IF($A347="","",INDEX('부의금 입력'!$E$2:$E$1001,MATCH($A347,'부의금 입력'!$H$2:$H$1001,0))&amp;"")</f>
        <v/>
      </c>
      <c r="H347" s="16">
        <f>IF(344&gt;$I$1,"",INDEX('근조 화환'!$B$2:$B$501,MATCH(344,'근조 화환'!$G$2:$G$501,0))&amp;"")</f>
        <v/>
      </c>
      <c r="I347" s="16">
        <f>IF(344&gt;$I$1,"",INDEX('근조 화환'!$C$2:$C$501,MATCH(344,'근조 화환'!$G$2:$G$501,0))&amp;"")</f>
        <v/>
      </c>
      <c r="J347" s="16">
        <f>IF(344&gt;$I$1,"",INDEX('근조 화환'!$D$2:$D$501,MATCH(344,'근조 화환'!$G$2:$G$501,0))&amp;"")</f>
        <v/>
      </c>
      <c r="K347" s="16">
        <f>IF(344&gt;$I$1,"",INDEX('근조 화환'!$E$2:$E$501,MATCH(344,'근조 화환'!$G$2:$G$501,0))&amp;"")</f>
        <v/>
      </c>
    </row>
    <row r="348">
      <c r="A348" s="16">
        <f>IF(345&lt;=$F$1,345,"")</f>
        <v/>
      </c>
      <c r="B348" s="16">
        <f>IF($A348="","",INDEX('부의금 입력'!$B$2:$B$1001,MATCH($A348,'부의금 입력'!$H$2:$H$1001,0))&amp;"")</f>
        <v/>
      </c>
      <c r="C348" s="18">
        <f>IF($A348="","",INDEX('부의금 입력'!$C$2:$C$1001,MATCH($A348,'부의금 입력'!$H$2:$H$1001,0)))</f>
        <v/>
      </c>
      <c r="D348" s="16">
        <f>IF($A348="","",INDEX('부의금 입력'!$D$2:$D$1001,MATCH($A348,'부의금 입력'!$H$2:$H$1001,0))&amp;"")</f>
        <v/>
      </c>
      <c r="E348" s="16">
        <f>IF($A348="","",INDEX('부의금 입력'!$E$2:$E$1001,MATCH($A348,'부의금 입력'!$H$2:$H$1001,0))&amp;"")</f>
        <v/>
      </c>
      <c r="H348" s="16">
        <f>IF(345&gt;$I$1,"",INDEX('근조 화환'!$B$2:$B$501,MATCH(345,'근조 화환'!$G$2:$G$501,0))&amp;"")</f>
        <v/>
      </c>
      <c r="I348" s="16">
        <f>IF(345&gt;$I$1,"",INDEX('근조 화환'!$C$2:$C$501,MATCH(345,'근조 화환'!$G$2:$G$501,0))&amp;"")</f>
        <v/>
      </c>
      <c r="J348" s="16">
        <f>IF(345&gt;$I$1,"",INDEX('근조 화환'!$D$2:$D$501,MATCH(345,'근조 화환'!$G$2:$G$501,0))&amp;"")</f>
        <v/>
      </c>
      <c r="K348" s="16">
        <f>IF(345&gt;$I$1,"",INDEX('근조 화환'!$E$2:$E$501,MATCH(345,'근조 화환'!$G$2:$G$501,0))&amp;"")</f>
        <v/>
      </c>
    </row>
    <row r="349">
      <c r="A349" s="16">
        <f>IF(346&lt;=$F$1,346,"")</f>
        <v/>
      </c>
      <c r="B349" s="16">
        <f>IF($A349="","",INDEX('부의금 입력'!$B$2:$B$1001,MATCH($A349,'부의금 입력'!$H$2:$H$1001,0))&amp;"")</f>
        <v/>
      </c>
      <c r="C349" s="18">
        <f>IF($A349="","",INDEX('부의금 입력'!$C$2:$C$1001,MATCH($A349,'부의금 입력'!$H$2:$H$1001,0)))</f>
        <v/>
      </c>
      <c r="D349" s="16">
        <f>IF($A349="","",INDEX('부의금 입력'!$D$2:$D$1001,MATCH($A349,'부의금 입력'!$H$2:$H$1001,0))&amp;"")</f>
        <v/>
      </c>
      <c r="E349" s="16">
        <f>IF($A349="","",INDEX('부의금 입력'!$E$2:$E$1001,MATCH($A349,'부의금 입력'!$H$2:$H$1001,0))&amp;"")</f>
        <v/>
      </c>
      <c r="H349" s="16">
        <f>IF(346&gt;$I$1,"",INDEX('근조 화환'!$B$2:$B$501,MATCH(346,'근조 화환'!$G$2:$G$501,0))&amp;"")</f>
        <v/>
      </c>
      <c r="I349" s="16">
        <f>IF(346&gt;$I$1,"",INDEX('근조 화환'!$C$2:$C$501,MATCH(346,'근조 화환'!$G$2:$G$501,0))&amp;"")</f>
        <v/>
      </c>
      <c r="J349" s="16">
        <f>IF(346&gt;$I$1,"",INDEX('근조 화환'!$D$2:$D$501,MATCH(346,'근조 화환'!$G$2:$G$501,0))&amp;"")</f>
        <v/>
      </c>
      <c r="K349" s="16">
        <f>IF(346&gt;$I$1,"",INDEX('근조 화환'!$E$2:$E$501,MATCH(346,'근조 화환'!$G$2:$G$501,0))&amp;"")</f>
        <v/>
      </c>
    </row>
    <row r="350">
      <c r="A350" s="16">
        <f>IF(347&lt;=$F$1,347,"")</f>
        <v/>
      </c>
      <c r="B350" s="16">
        <f>IF($A350="","",INDEX('부의금 입력'!$B$2:$B$1001,MATCH($A350,'부의금 입력'!$H$2:$H$1001,0))&amp;"")</f>
        <v/>
      </c>
      <c r="C350" s="18">
        <f>IF($A350="","",INDEX('부의금 입력'!$C$2:$C$1001,MATCH($A350,'부의금 입력'!$H$2:$H$1001,0)))</f>
        <v/>
      </c>
      <c r="D350" s="16">
        <f>IF($A350="","",INDEX('부의금 입력'!$D$2:$D$1001,MATCH($A350,'부의금 입력'!$H$2:$H$1001,0))&amp;"")</f>
        <v/>
      </c>
      <c r="E350" s="16">
        <f>IF($A350="","",INDEX('부의금 입력'!$E$2:$E$1001,MATCH($A350,'부의금 입력'!$H$2:$H$1001,0))&amp;"")</f>
        <v/>
      </c>
      <c r="H350" s="16">
        <f>IF(347&gt;$I$1,"",INDEX('근조 화환'!$B$2:$B$501,MATCH(347,'근조 화환'!$G$2:$G$501,0))&amp;"")</f>
        <v/>
      </c>
      <c r="I350" s="16">
        <f>IF(347&gt;$I$1,"",INDEX('근조 화환'!$C$2:$C$501,MATCH(347,'근조 화환'!$G$2:$G$501,0))&amp;"")</f>
        <v/>
      </c>
      <c r="J350" s="16">
        <f>IF(347&gt;$I$1,"",INDEX('근조 화환'!$D$2:$D$501,MATCH(347,'근조 화환'!$G$2:$G$501,0))&amp;"")</f>
        <v/>
      </c>
      <c r="K350" s="16">
        <f>IF(347&gt;$I$1,"",INDEX('근조 화환'!$E$2:$E$501,MATCH(347,'근조 화환'!$G$2:$G$501,0))&amp;"")</f>
        <v/>
      </c>
    </row>
    <row r="351">
      <c r="A351" s="16">
        <f>IF(348&lt;=$F$1,348,"")</f>
        <v/>
      </c>
      <c r="B351" s="16">
        <f>IF($A351="","",INDEX('부의금 입력'!$B$2:$B$1001,MATCH($A351,'부의금 입력'!$H$2:$H$1001,0))&amp;"")</f>
        <v/>
      </c>
      <c r="C351" s="18">
        <f>IF($A351="","",INDEX('부의금 입력'!$C$2:$C$1001,MATCH($A351,'부의금 입력'!$H$2:$H$1001,0)))</f>
        <v/>
      </c>
      <c r="D351" s="16">
        <f>IF($A351="","",INDEX('부의금 입력'!$D$2:$D$1001,MATCH($A351,'부의금 입력'!$H$2:$H$1001,0))&amp;"")</f>
        <v/>
      </c>
      <c r="E351" s="16">
        <f>IF($A351="","",INDEX('부의금 입력'!$E$2:$E$1001,MATCH($A351,'부의금 입력'!$H$2:$H$1001,0))&amp;"")</f>
        <v/>
      </c>
      <c r="H351" s="16">
        <f>IF(348&gt;$I$1,"",INDEX('근조 화환'!$B$2:$B$501,MATCH(348,'근조 화환'!$G$2:$G$501,0))&amp;"")</f>
        <v/>
      </c>
      <c r="I351" s="16">
        <f>IF(348&gt;$I$1,"",INDEX('근조 화환'!$C$2:$C$501,MATCH(348,'근조 화환'!$G$2:$G$501,0))&amp;"")</f>
        <v/>
      </c>
      <c r="J351" s="16">
        <f>IF(348&gt;$I$1,"",INDEX('근조 화환'!$D$2:$D$501,MATCH(348,'근조 화환'!$G$2:$G$501,0))&amp;"")</f>
        <v/>
      </c>
      <c r="K351" s="16">
        <f>IF(348&gt;$I$1,"",INDEX('근조 화환'!$E$2:$E$501,MATCH(348,'근조 화환'!$G$2:$G$501,0))&amp;"")</f>
        <v/>
      </c>
    </row>
    <row r="352">
      <c r="A352" s="16">
        <f>IF(349&lt;=$F$1,349,"")</f>
        <v/>
      </c>
      <c r="B352" s="16">
        <f>IF($A352="","",INDEX('부의금 입력'!$B$2:$B$1001,MATCH($A352,'부의금 입력'!$H$2:$H$1001,0))&amp;"")</f>
        <v/>
      </c>
      <c r="C352" s="18">
        <f>IF($A352="","",INDEX('부의금 입력'!$C$2:$C$1001,MATCH($A352,'부의금 입력'!$H$2:$H$1001,0)))</f>
        <v/>
      </c>
      <c r="D352" s="16">
        <f>IF($A352="","",INDEX('부의금 입력'!$D$2:$D$1001,MATCH($A352,'부의금 입력'!$H$2:$H$1001,0))&amp;"")</f>
        <v/>
      </c>
      <c r="E352" s="16">
        <f>IF($A352="","",INDEX('부의금 입력'!$E$2:$E$1001,MATCH($A352,'부의금 입력'!$H$2:$H$1001,0))&amp;"")</f>
        <v/>
      </c>
      <c r="H352" s="16">
        <f>IF(349&gt;$I$1,"",INDEX('근조 화환'!$B$2:$B$501,MATCH(349,'근조 화환'!$G$2:$G$501,0))&amp;"")</f>
        <v/>
      </c>
      <c r="I352" s="16">
        <f>IF(349&gt;$I$1,"",INDEX('근조 화환'!$C$2:$C$501,MATCH(349,'근조 화환'!$G$2:$G$501,0))&amp;"")</f>
        <v/>
      </c>
      <c r="J352" s="16">
        <f>IF(349&gt;$I$1,"",INDEX('근조 화환'!$D$2:$D$501,MATCH(349,'근조 화환'!$G$2:$G$501,0))&amp;"")</f>
        <v/>
      </c>
      <c r="K352" s="16">
        <f>IF(349&gt;$I$1,"",INDEX('근조 화환'!$E$2:$E$501,MATCH(349,'근조 화환'!$G$2:$G$501,0))&amp;"")</f>
        <v/>
      </c>
    </row>
    <row r="353">
      <c r="A353" s="16">
        <f>IF(350&lt;=$F$1,350,"")</f>
        <v/>
      </c>
      <c r="B353" s="16">
        <f>IF($A353="","",INDEX('부의금 입력'!$B$2:$B$1001,MATCH($A353,'부의금 입력'!$H$2:$H$1001,0))&amp;"")</f>
        <v/>
      </c>
      <c r="C353" s="18">
        <f>IF($A353="","",INDEX('부의금 입력'!$C$2:$C$1001,MATCH($A353,'부의금 입력'!$H$2:$H$1001,0)))</f>
        <v/>
      </c>
      <c r="D353" s="16">
        <f>IF($A353="","",INDEX('부의금 입력'!$D$2:$D$1001,MATCH($A353,'부의금 입력'!$H$2:$H$1001,0))&amp;"")</f>
        <v/>
      </c>
      <c r="E353" s="16">
        <f>IF($A353="","",INDEX('부의금 입력'!$E$2:$E$1001,MATCH($A353,'부의금 입력'!$H$2:$H$1001,0))&amp;"")</f>
        <v/>
      </c>
      <c r="H353" s="16">
        <f>IF(350&gt;$I$1,"",INDEX('근조 화환'!$B$2:$B$501,MATCH(350,'근조 화환'!$G$2:$G$501,0))&amp;"")</f>
        <v/>
      </c>
      <c r="I353" s="16">
        <f>IF(350&gt;$I$1,"",INDEX('근조 화환'!$C$2:$C$501,MATCH(350,'근조 화환'!$G$2:$G$501,0))&amp;"")</f>
        <v/>
      </c>
      <c r="J353" s="16">
        <f>IF(350&gt;$I$1,"",INDEX('근조 화환'!$D$2:$D$501,MATCH(350,'근조 화환'!$G$2:$G$501,0))&amp;"")</f>
        <v/>
      </c>
      <c r="K353" s="16">
        <f>IF(350&gt;$I$1,"",INDEX('근조 화환'!$E$2:$E$501,MATCH(350,'근조 화환'!$G$2:$G$501,0))&amp;"")</f>
        <v/>
      </c>
    </row>
    <row r="354">
      <c r="A354" s="16">
        <f>IF(351&lt;=$F$1,351,"")</f>
        <v/>
      </c>
      <c r="B354" s="16">
        <f>IF($A354="","",INDEX('부의금 입력'!$B$2:$B$1001,MATCH($A354,'부의금 입력'!$H$2:$H$1001,0))&amp;"")</f>
        <v/>
      </c>
      <c r="C354" s="18">
        <f>IF($A354="","",INDEX('부의금 입력'!$C$2:$C$1001,MATCH($A354,'부의금 입력'!$H$2:$H$1001,0)))</f>
        <v/>
      </c>
      <c r="D354" s="16">
        <f>IF($A354="","",INDEX('부의금 입력'!$D$2:$D$1001,MATCH($A354,'부의금 입력'!$H$2:$H$1001,0))&amp;"")</f>
        <v/>
      </c>
      <c r="E354" s="16">
        <f>IF($A354="","",INDEX('부의금 입력'!$E$2:$E$1001,MATCH($A354,'부의금 입력'!$H$2:$H$1001,0))&amp;"")</f>
        <v/>
      </c>
      <c r="H354" s="16">
        <f>IF(351&gt;$I$1,"",INDEX('근조 화환'!$B$2:$B$501,MATCH(351,'근조 화환'!$G$2:$G$501,0))&amp;"")</f>
        <v/>
      </c>
      <c r="I354" s="16">
        <f>IF(351&gt;$I$1,"",INDEX('근조 화환'!$C$2:$C$501,MATCH(351,'근조 화환'!$G$2:$G$501,0))&amp;"")</f>
        <v/>
      </c>
      <c r="J354" s="16">
        <f>IF(351&gt;$I$1,"",INDEX('근조 화환'!$D$2:$D$501,MATCH(351,'근조 화환'!$G$2:$G$501,0))&amp;"")</f>
        <v/>
      </c>
      <c r="K354" s="16">
        <f>IF(351&gt;$I$1,"",INDEX('근조 화환'!$E$2:$E$501,MATCH(351,'근조 화환'!$G$2:$G$501,0))&amp;"")</f>
        <v/>
      </c>
    </row>
    <row r="355">
      <c r="A355" s="16">
        <f>IF(352&lt;=$F$1,352,"")</f>
        <v/>
      </c>
      <c r="B355" s="16">
        <f>IF($A355="","",INDEX('부의금 입력'!$B$2:$B$1001,MATCH($A355,'부의금 입력'!$H$2:$H$1001,0))&amp;"")</f>
        <v/>
      </c>
      <c r="C355" s="18">
        <f>IF($A355="","",INDEX('부의금 입력'!$C$2:$C$1001,MATCH($A355,'부의금 입력'!$H$2:$H$1001,0)))</f>
        <v/>
      </c>
      <c r="D355" s="16">
        <f>IF($A355="","",INDEX('부의금 입력'!$D$2:$D$1001,MATCH($A355,'부의금 입력'!$H$2:$H$1001,0))&amp;"")</f>
        <v/>
      </c>
      <c r="E355" s="16">
        <f>IF($A355="","",INDEX('부의금 입력'!$E$2:$E$1001,MATCH($A355,'부의금 입력'!$H$2:$H$1001,0))&amp;"")</f>
        <v/>
      </c>
      <c r="H355" s="16">
        <f>IF(352&gt;$I$1,"",INDEX('근조 화환'!$B$2:$B$501,MATCH(352,'근조 화환'!$G$2:$G$501,0))&amp;"")</f>
        <v/>
      </c>
      <c r="I355" s="16">
        <f>IF(352&gt;$I$1,"",INDEX('근조 화환'!$C$2:$C$501,MATCH(352,'근조 화환'!$G$2:$G$501,0))&amp;"")</f>
        <v/>
      </c>
      <c r="J355" s="16">
        <f>IF(352&gt;$I$1,"",INDEX('근조 화환'!$D$2:$D$501,MATCH(352,'근조 화환'!$G$2:$G$501,0))&amp;"")</f>
        <v/>
      </c>
      <c r="K355" s="16">
        <f>IF(352&gt;$I$1,"",INDEX('근조 화환'!$E$2:$E$501,MATCH(352,'근조 화환'!$G$2:$G$501,0))&amp;"")</f>
        <v/>
      </c>
    </row>
    <row r="356">
      <c r="A356" s="16">
        <f>IF(353&lt;=$F$1,353,"")</f>
        <v/>
      </c>
      <c r="B356" s="16">
        <f>IF($A356="","",INDEX('부의금 입력'!$B$2:$B$1001,MATCH($A356,'부의금 입력'!$H$2:$H$1001,0))&amp;"")</f>
        <v/>
      </c>
      <c r="C356" s="18">
        <f>IF($A356="","",INDEX('부의금 입력'!$C$2:$C$1001,MATCH($A356,'부의금 입력'!$H$2:$H$1001,0)))</f>
        <v/>
      </c>
      <c r="D356" s="16">
        <f>IF($A356="","",INDEX('부의금 입력'!$D$2:$D$1001,MATCH($A356,'부의금 입력'!$H$2:$H$1001,0))&amp;"")</f>
        <v/>
      </c>
      <c r="E356" s="16">
        <f>IF($A356="","",INDEX('부의금 입력'!$E$2:$E$1001,MATCH($A356,'부의금 입력'!$H$2:$H$1001,0))&amp;"")</f>
        <v/>
      </c>
      <c r="H356" s="16">
        <f>IF(353&gt;$I$1,"",INDEX('근조 화환'!$B$2:$B$501,MATCH(353,'근조 화환'!$G$2:$G$501,0))&amp;"")</f>
        <v/>
      </c>
      <c r="I356" s="16">
        <f>IF(353&gt;$I$1,"",INDEX('근조 화환'!$C$2:$C$501,MATCH(353,'근조 화환'!$G$2:$G$501,0))&amp;"")</f>
        <v/>
      </c>
      <c r="J356" s="16">
        <f>IF(353&gt;$I$1,"",INDEX('근조 화환'!$D$2:$D$501,MATCH(353,'근조 화환'!$G$2:$G$501,0))&amp;"")</f>
        <v/>
      </c>
      <c r="K356" s="16">
        <f>IF(353&gt;$I$1,"",INDEX('근조 화환'!$E$2:$E$501,MATCH(353,'근조 화환'!$G$2:$G$501,0))&amp;"")</f>
        <v/>
      </c>
    </row>
    <row r="357">
      <c r="A357" s="16">
        <f>IF(354&lt;=$F$1,354,"")</f>
        <v/>
      </c>
      <c r="B357" s="16">
        <f>IF($A357="","",INDEX('부의금 입력'!$B$2:$B$1001,MATCH($A357,'부의금 입력'!$H$2:$H$1001,0))&amp;"")</f>
        <v/>
      </c>
      <c r="C357" s="18">
        <f>IF($A357="","",INDEX('부의금 입력'!$C$2:$C$1001,MATCH($A357,'부의금 입력'!$H$2:$H$1001,0)))</f>
        <v/>
      </c>
      <c r="D357" s="16">
        <f>IF($A357="","",INDEX('부의금 입력'!$D$2:$D$1001,MATCH($A357,'부의금 입력'!$H$2:$H$1001,0))&amp;"")</f>
        <v/>
      </c>
      <c r="E357" s="16">
        <f>IF($A357="","",INDEX('부의금 입력'!$E$2:$E$1001,MATCH($A357,'부의금 입력'!$H$2:$H$1001,0))&amp;"")</f>
        <v/>
      </c>
      <c r="H357" s="16">
        <f>IF(354&gt;$I$1,"",INDEX('근조 화환'!$B$2:$B$501,MATCH(354,'근조 화환'!$G$2:$G$501,0))&amp;"")</f>
        <v/>
      </c>
      <c r="I357" s="16">
        <f>IF(354&gt;$I$1,"",INDEX('근조 화환'!$C$2:$C$501,MATCH(354,'근조 화환'!$G$2:$G$501,0))&amp;"")</f>
        <v/>
      </c>
      <c r="J357" s="16">
        <f>IF(354&gt;$I$1,"",INDEX('근조 화환'!$D$2:$D$501,MATCH(354,'근조 화환'!$G$2:$G$501,0))&amp;"")</f>
        <v/>
      </c>
      <c r="K357" s="16">
        <f>IF(354&gt;$I$1,"",INDEX('근조 화환'!$E$2:$E$501,MATCH(354,'근조 화환'!$G$2:$G$501,0))&amp;"")</f>
        <v/>
      </c>
    </row>
    <row r="358">
      <c r="A358" s="16">
        <f>IF(355&lt;=$F$1,355,"")</f>
        <v/>
      </c>
      <c r="B358" s="16">
        <f>IF($A358="","",INDEX('부의금 입력'!$B$2:$B$1001,MATCH($A358,'부의금 입력'!$H$2:$H$1001,0))&amp;"")</f>
        <v/>
      </c>
      <c r="C358" s="18">
        <f>IF($A358="","",INDEX('부의금 입력'!$C$2:$C$1001,MATCH($A358,'부의금 입력'!$H$2:$H$1001,0)))</f>
        <v/>
      </c>
      <c r="D358" s="16">
        <f>IF($A358="","",INDEX('부의금 입력'!$D$2:$D$1001,MATCH($A358,'부의금 입력'!$H$2:$H$1001,0))&amp;"")</f>
        <v/>
      </c>
      <c r="E358" s="16">
        <f>IF($A358="","",INDEX('부의금 입력'!$E$2:$E$1001,MATCH($A358,'부의금 입력'!$H$2:$H$1001,0))&amp;"")</f>
        <v/>
      </c>
      <c r="H358" s="16">
        <f>IF(355&gt;$I$1,"",INDEX('근조 화환'!$B$2:$B$501,MATCH(355,'근조 화환'!$G$2:$G$501,0))&amp;"")</f>
        <v/>
      </c>
      <c r="I358" s="16">
        <f>IF(355&gt;$I$1,"",INDEX('근조 화환'!$C$2:$C$501,MATCH(355,'근조 화환'!$G$2:$G$501,0))&amp;"")</f>
        <v/>
      </c>
      <c r="J358" s="16">
        <f>IF(355&gt;$I$1,"",INDEX('근조 화환'!$D$2:$D$501,MATCH(355,'근조 화환'!$G$2:$G$501,0))&amp;"")</f>
        <v/>
      </c>
      <c r="K358" s="16">
        <f>IF(355&gt;$I$1,"",INDEX('근조 화환'!$E$2:$E$501,MATCH(355,'근조 화환'!$G$2:$G$501,0))&amp;"")</f>
        <v/>
      </c>
    </row>
    <row r="359">
      <c r="A359" s="16">
        <f>IF(356&lt;=$F$1,356,"")</f>
        <v/>
      </c>
      <c r="B359" s="16">
        <f>IF($A359="","",INDEX('부의금 입력'!$B$2:$B$1001,MATCH($A359,'부의금 입력'!$H$2:$H$1001,0))&amp;"")</f>
        <v/>
      </c>
      <c r="C359" s="18">
        <f>IF($A359="","",INDEX('부의금 입력'!$C$2:$C$1001,MATCH($A359,'부의금 입력'!$H$2:$H$1001,0)))</f>
        <v/>
      </c>
      <c r="D359" s="16">
        <f>IF($A359="","",INDEX('부의금 입력'!$D$2:$D$1001,MATCH($A359,'부의금 입력'!$H$2:$H$1001,0))&amp;"")</f>
        <v/>
      </c>
      <c r="E359" s="16">
        <f>IF($A359="","",INDEX('부의금 입력'!$E$2:$E$1001,MATCH($A359,'부의금 입력'!$H$2:$H$1001,0))&amp;"")</f>
        <v/>
      </c>
      <c r="H359" s="16">
        <f>IF(356&gt;$I$1,"",INDEX('근조 화환'!$B$2:$B$501,MATCH(356,'근조 화환'!$G$2:$G$501,0))&amp;"")</f>
        <v/>
      </c>
      <c r="I359" s="16">
        <f>IF(356&gt;$I$1,"",INDEX('근조 화환'!$C$2:$C$501,MATCH(356,'근조 화환'!$G$2:$G$501,0))&amp;"")</f>
        <v/>
      </c>
      <c r="J359" s="16">
        <f>IF(356&gt;$I$1,"",INDEX('근조 화환'!$D$2:$D$501,MATCH(356,'근조 화환'!$G$2:$G$501,0))&amp;"")</f>
        <v/>
      </c>
      <c r="K359" s="16">
        <f>IF(356&gt;$I$1,"",INDEX('근조 화환'!$E$2:$E$501,MATCH(356,'근조 화환'!$G$2:$G$501,0))&amp;"")</f>
        <v/>
      </c>
    </row>
    <row r="360">
      <c r="A360" s="16">
        <f>IF(357&lt;=$F$1,357,"")</f>
        <v/>
      </c>
      <c r="B360" s="16">
        <f>IF($A360="","",INDEX('부의금 입력'!$B$2:$B$1001,MATCH($A360,'부의금 입력'!$H$2:$H$1001,0))&amp;"")</f>
        <v/>
      </c>
      <c r="C360" s="18">
        <f>IF($A360="","",INDEX('부의금 입력'!$C$2:$C$1001,MATCH($A360,'부의금 입력'!$H$2:$H$1001,0)))</f>
        <v/>
      </c>
      <c r="D360" s="16">
        <f>IF($A360="","",INDEX('부의금 입력'!$D$2:$D$1001,MATCH($A360,'부의금 입력'!$H$2:$H$1001,0))&amp;"")</f>
        <v/>
      </c>
      <c r="E360" s="16">
        <f>IF($A360="","",INDEX('부의금 입력'!$E$2:$E$1001,MATCH($A360,'부의금 입력'!$H$2:$H$1001,0))&amp;"")</f>
        <v/>
      </c>
      <c r="H360" s="16">
        <f>IF(357&gt;$I$1,"",INDEX('근조 화환'!$B$2:$B$501,MATCH(357,'근조 화환'!$G$2:$G$501,0))&amp;"")</f>
        <v/>
      </c>
      <c r="I360" s="16">
        <f>IF(357&gt;$I$1,"",INDEX('근조 화환'!$C$2:$C$501,MATCH(357,'근조 화환'!$G$2:$G$501,0))&amp;"")</f>
        <v/>
      </c>
      <c r="J360" s="16">
        <f>IF(357&gt;$I$1,"",INDEX('근조 화환'!$D$2:$D$501,MATCH(357,'근조 화환'!$G$2:$G$501,0))&amp;"")</f>
        <v/>
      </c>
      <c r="K360" s="16">
        <f>IF(357&gt;$I$1,"",INDEX('근조 화환'!$E$2:$E$501,MATCH(357,'근조 화환'!$G$2:$G$501,0))&amp;"")</f>
        <v/>
      </c>
    </row>
    <row r="361">
      <c r="A361" s="16">
        <f>IF(358&lt;=$F$1,358,"")</f>
        <v/>
      </c>
      <c r="B361" s="16">
        <f>IF($A361="","",INDEX('부의금 입력'!$B$2:$B$1001,MATCH($A361,'부의금 입력'!$H$2:$H$1001,0))&amp;"")</f>
        <v/>
      </c>
      <c r="C361" s="18">
        <f>IF($A361="","",INDEX('부의금 입력'!$C$2:$C$1001,MATCH($A361,'부의금 입력'!$H$2:$H$1001,0)))</f>
        <v/>
      </c>
      <c r="D361" s="16">
        <f>IF($A361="","",INDEX('부의금 입력'!$D$2:$D$1001,MATCH($A361,'부의금 입력'!$H$2:$H$1001,0))&amp;"")</f>
        <v/>
      </c>
      <c r="E361" s="16">
        <f>IF($A361="","",INDEX('부의금 입력'!$E$2:$E$1001,MATCH($A361,'부의금 입력'!$H$2:$H$1001,0))&amp;"")</f>
        <v/>
      </c>
      <c r="H361" s="16">
        <f>IF(358&gt;$I$1,"",INDEX('근조 화환'!$B$2:$B$501,MATCH(358,'근조 화환'!$G$2:$G$501,0))&amp;"")</f>
        <v/>
      </c>
      <c r="I361" s="16">
        <f>IF(358&gt;$I$1,"",INDEX('근조 화환'!$C$2:$C$501,MATCH(358,'근조 화환'!$G$2:$G$501,0))&amp;"")</f>
        <v/>
      </c>
      <c r="J361" s="16">
        <f>IF(358&gt;$I$1,"",INDEX('근조 화환'!$D$2:$D$501,MATCH(358,'근조 화환'!$G$2:$G$501,0))&amp;"")</f>
        <v/>
      </c>
      <c r="K361" s="16">
        <f>IF(358&gt;$I$1,"",INDEX('근조 화환'!$E$2:$E$501,MATCH(358,'근조 화환'!$G$2:$G$501,0))&amp;"")</f>
        <v/>
      </c>
    </row>
    <row r="362">
      <c r="A362" s="16">
        <f>IF(359&lt;=$F$1,359,"")</f>
        <v/>
      </c>
      <c r="B362" s="16">
        <f>IF($A362="","",INDEX('부의금 입력'!$B$2:$B$1001,MATCH($A362,'부의금 입력'!$H$2:$H$1001,0))&amp;"")</f>
        <v/>
      </c>
      <c r="C362" s="18">
        <f>IF($A362="","",INDEX('부의금 입력'!$C$2:$C$1001,MATCH($A362,'부의금 입력'!$H$2:$H$1001,0)))</f>
        <v/>
      </c>
      <c r="D362" s="16">
        <f>IF($A362="","",INDEX('부의금 입력'!$D$2:$D$1001,MATCH($A362,'부의금 입력'!$H$2:$H$1001,0))&amp;"")</f>
        <v/>
      </c>
      <c r="E362" s="16">
        <f>IF($A362="","",INDEX('부의금 입력'!$E$2:$E$1001,MATCH($A362,'부의금 입력'!$H$2:$H$1001,0))&amp;"")</f>
        <v/>
      </c>
      <c r="H362" s="16">
        <f>IF(359&gt;$I$1,"",INDEX('근조 화환'!$B$2:$B$501,MATCH(359,'근조 화환'!$G$2:$G$501,0))&amp;"")</f>
        <v/>
      </c>
      <c r="I362" s="16">
        <f>IF(359&gt;$I$1,"",INDEX('근조 화환'!$C$2:$C$501,MATCH(359,'근조 화환'!$G$2:$G$501,0))&amp;"")</f>
        <v/>
      </c>
      <c r="J362" s="16">
        <f>IF(359&gt;$I$1,"",INDEX('근조 화환'!$D$2:$D$501,MATCH(359,'근조 화환'!$G$2:$G$501,0))&amp;"")</f>
        <v/>
      </c>
      <c r="K362" s="16">
        <f>IF(359&gt;$I$1,"",INDEX('근조 화환'!$E$2:$E$501,MATCH(359,'근조 화환'!$G$2:$G$501,0))&amp;"")</f>
        <v/>
      </c>
    </row>
    <row r="363">
      <c r="A363" s="16">
        <f>IF(360&lt;=$F$1,360,"")</f>
        <v/>
      </c>
      <c r="B363" s="16">
        <f>IF($A363="","",INDEX('부의금 입력'!$B$2:$B$1001,MATCH($A363,'부의금 입력'!$H$2:$H$1001,0))&amp;"")</f>
        <v/>
      </c>
      <c r="C363" s="18">
        <f>IF($A363="","",INDEX('부의금 입력'!$C$2:$C$1001,MATCH($A363,'부의금 입력'!$H$2:$H$1001,0)))</f>
        <v/>
      </c>
      <c r="D363" s="16">
        <f>IF($A363="","",INDEX('부의금 입력'!$D$2:$D$1001,MATCH($A363,'부의금 입력'!$H$2:$H$1001,0))&amp;"")</f>
        <v/>
      </c>
      <c r="E363" s="16">
        <f>IF($A363="","",INDEX('부의금 입력'!$E$2:$E$1001,MATCH($A363,'부의금 입력'!$H$2:$H$1001,0))&amp;"")</f>
        <v/>
      </c>
      <c r="H363" s="16">
        <f>IF(360&gt;$I$1,"",INDEX('근조 화환'!$B$2:$B$501,MATCH(360,'근조 화환'!$G$2:$G$501,0))&amp;"")</f>
        <v/>
      </c>
      <c r="I363" s="16">
        <f>IF(360&gt;$I$1,"",INDEX('근조 화환'!$C$2:$C$501,MATCH(360,'근조 화환'!$G$2:$G$501,0))&amp;"")</f>
        <v/>
      </c>
      <c r="J363" s="16">
        <f>IF(360&gt;$I$1,"",INDEX('근조 화환'!$D$2:$D$501,MATCH(360,'근조 화환'!$G$2:$G$501,0))&amp;"")</f>
        <v/>
      </c>
      <c r="K363" s="16">
        <f>IF(360&gt;$I$1,"",INDEX('근조 화환'!$E$2:$E$501,MATCH(360,'근조 화환'!$G$2:$G$501,0))&amp;"")</f>
        <v/>
      </c>
    </row>
    <row r="364">
      <c r="A364" s="16">
        <f>IF(361&lt;=$F$1,361,"")</f>
        <v/>
      </c>
      <c r="B364" s="16">
        <f>IF($A364="","",INDEX('부의금 입력'!$B$2:$B$1001,MATCH($A364,'부의금 입력'!$H$2:$H$1001,0))&amp;"")</f>
        <v/>
      </c>
      <c r="C364" s="18">
        <f>IF($A364="","",INDEX('부의금 입력'!$C$2:$C$1001,MATCH($A364,'부의금 입력'!$H$2:$H$1001,0)))</f>
        <v/>
      </c>
      <c r="D364" s="16">
        <f>IF($A364="","",INDEX('부의금 입력'!$D$2:$D$1001,MATCH($A364,'부의금 입력'!$H$2:$H$1001,0))&amp;"")</f>
        <v/>
      </c>
      <c r="E364" s="16">
        <f>IF($A364="","",INDEX('부의금 입력'!$E$2:$E$1001,MATCH($A364,'부의금 입력'!$H$2:$H$1001,0))&amp;"")</f>
        <v/>
      </c>
      <c r="H364" s="16">
        <f>IF(361&gt;$I$1,"",INDEX('근조 화환'!$B$2:$B$501,MATCH(361,'근조 화환'!$G$2:$G$501,0))&amp;"")</f>
        <v/>
      </c>
      <c r="I364" s="16">
        <f>IF(361&gt;$I$1,"",INDEX('근조 화환'!$C$2:$C$501,MATCH(361,'근조 화환'!$G$2:$G$501,0))&amp;"")</f>
        <v/>
      </c>
      <c r="J364" s="16">
        <f>IF(361&gt;$I$1,"",INDEX('근조 화환'!$D$2:$D$501,MATCH(361,'근조 화환'!$G$2:$G$501,0))&amp;"")</f>
        <v/>
      </c>
      <c r="K364" s="16">
        <f>IF(361&gt;$I$1,"",INDEX('근조 화환'!$E$2:$E$501,MATCH(361,'근조 화환'!$G$2:$G$501,0))&amp;"")</f>
        <v/>
      </c>
    </row>
    <row r="365">
      <c r="A365" s="16">
        <f>IF(362&lt;=$F$1,362,"")</f>
        <v/>
      </c>
      <c r="B365" s="16">
        <f>IF($A365="","",INDEX('부의금 입력'!$B$2:$B$1001,MATCH($A365,'부의금 입력'!$H$2:$H$1001,0))&amp;"")</f>
        <v/>
      </c>
      <c r="C365" s="18">
        <f>IF($A365="","",INDEX('부의금 입력'!$C$2:$C$1001,MATCH($A365,'부의금 입력'!$H$2:$H$1001,0)))</f>
        <v/>
      </c>
      <c r="D365" s="16">
        <f>IF($A365="","",INDEX('부의금 입력'!$D$2:$D$1001,MATCH($A365,'부의금 입력'!$H$2:$H$1001,0))&amp;"")</f>
        <v/>
      </c>
      <c r="E365" s="16">
        <f>IF($A365="","",INDEX('부의금 입력'!$E$2:$E$1001,MATCH($A365,'부의금 입력'!$H$2:$H$1001,0))&amp;"")</f>
        <v/>
      </c>
      <c r="H365" s="16">
        <f>IF(362&gt;$I$1,"",INDEX('근조 화환'!$B$2:$B$501,MATCH(362,'근조 화환'!$G$2:$G$501,0))&amp;"")</f>
        <v/>
      </c>
      <c r="I365" s="16">
        <f>IF(362&gt;$I$1,"",INDEX('근조 화환'!$C$2:$C$501,MATCH(362,'근조 화환'!$G$2:$G$501,0))&amp;"")</f>
        <v/>
      </c>
      <c r="J365" s="16">
        <f>IF(362&gt;$I$1,"",INDEX('근조 화환'!$D$2:$D$501,MATCH(362,'근조 화환'!$G$2:$G$501,0))&amp;"")</f>
        <v/>
      </c>
      <c r="K365" s="16">
        <f>IF(362&gt;$I$1,"",INDEX('근조 화환'!$E$2:$E$501,MATCH(362,'근조 화환'!$G$2:$G$501,0))&amp;"")</f>
        <v/>
      </c>
    </row>
    <row r="366">
      <c r="A366" s="16">
        <f>IF(363&lt;=$F$1,363,"")</f>
        <v/>
      </c>
      <c r="B366" s="16">
        <f>IF($A366="","",INDEX('부의금 입력'!$B$2:$B$1001,MATCH($A366,'부의금 입력'!$H$2:$H$1001,0))&amp;"")</f>
        <v/>
      </c>
      <c r="C366" s="18">
        <f>IF($A366="","",INDEX('부의금 입력'!$C$2:$C$1001,MATCH($A366,'부의금 입력'!$H$2:$H$1001,0)))</f>
        <v/>
      </c>
      <c r="D366" s="16">
        <f>IF($A366="","",INDEX('부의금 입력'!$D$2:$D$1001,MATCH($A366,'부의금 입력'!$H$2:$H$1001,0))&amp;"")</f>
        <v/>
      </c>
      <c r="E366" s="16">
        <f>IF($A366="","",INDEX('부의금 입력'!$E$2:$E$1001,MATCH($A366,'부의금 입력'!$H$2:$H$1001,0))&amp;"")</f>
        <v/>
      </c>
      <c r="H366" s="16">
        <f>IF(363&gt;$I$1,"",INDEX('근조 화환'!$B$2:$B$501,MATCH(363,'근조 화환'!$G$2:$G$501,0))&amp;"")</f>
        <v/>
      </c>
      <c r="I366" s="16">
        <f>IF(363&gt;$I$1,"",INDEX('근조 화환'!$C$2:$C$501,MATCH(363,'근조 화환'!$G$2:$G$501,0))&amp;"")</f>
        <v/>
      </c>
      <c r="J366" s="16">
        <f>IF(363&gt;$I$1,"",INDEX('근조 화환'!$D$2:$D$501,MATCH(363,'근조 화환'!$G$2:$G$501,0))&amp;"")</f>
        <v/>
      </c>
      <c r="K366" s="16">
        <f>IF(363&gt;$I$1,"",INDEX('근조 화환'!$E$2:$E$501,MATCH(363,'근조 화환'!$G$2:$G$501,0))&amp;"")</f>
        <v/>
      </c>
    </row>
    <row r="367">
      <c r="A367" s="16">
        <f>IF(364&lt;=$F$1,364,"")</f>
        <v/>
      </c>
      <c r="B367" s="16">
        <f>IF($A367="","",INDEX('부의금 입력'!$B$2:$B$1001,MATCH($A367,'부의금 입력'!$H$2:$H$1001,0))&amp;"")</f>
        <v/>
      </c>
      <c r="C367" s="18">
        <f>IF($A367="","",INDEX('부의금 입력'!$C$2:$C$1001,MATCH($A367,'부의금 입력'!$H$2:$H$1001,0)))</f>
        <v/>
      </c>
      <c r="D367" s="16">
        <f>IF($A367="","",INDEX('부의금 입력'!$D$2:$D$1001,MATCH($A367,'부의금 입력'!$H$2:$H$1001,0))&amp;"")</f>
        <v/>
      </c>
      <c r="E367" s="16">
        <f>IF($A367="","",INDEX('부의금 입력'!$E$2:$E$1001,MATCH($A367,'부의금 입력'!$H$2:$H$1001,0))&amp;"")</f>
        <v/>
      </c>
      <c r="H367" s="16">
        <f>IF(364&gt;$I$1,"",INDEX('근조 화환'!$B$2:$B$501,MATCH(364,'근조 화환'!$G$2:$G$501,0))&amp;"")</f>
        <v/>
      </c>
      <c r="I367" s="16">
        <f>IF(364&gt;$I$1,"",INDEX('근조 화환'!$C$2:$C$501,MATCH(364,'근조 화환'!$G$2:$G$501,0))&amp;"")</f>
        <v/>
      </c>
      <c r="J367" s="16">
        <f>IF(364&gt;$I$1,"",INDEX('근조 화환'!$D$2:$D$501,MATCH(364,'근조 화환'!$G$2:$G$501,0))&amp;"")</f>
        <v/>
      </c>
      <c r="K367" s="16">
        <f>IF(364&gt;$I$1,"",INDEX('근조 화환'!$E$2:$E$501,MATCH(364,'근조 화환'!$G$2:$G$501,0))&amp;"")</f>
        <v/>
      </c>
    </row>
    <row r="368">
      <c r="A368" s="16">
        <f>IF(365&lt;=$F$1,365,"")</f>
        <v/>
      </c>
      <c r="B368" s="16">
        <f>IF($A368="","",INDEX('부의금 입력'!$B$2:$B$1001,MATCH($A368,'부의금 입력'!$H$2:$H$1001,0))&amp;"")</f>
        <v/>
      </c>
      <c r="C368" s="18">
        <f>IF($A368="","",INDEX('부의금 입력'!$C$2:$C$1001,MATCH($A368,'부의금 입력'!$H$2:$H$1001,0)))</f>
        <v/>
      </c>
      <c r="D368" s="16">
        <f>IF($A368="","",INDEX('부의금 입력'!$D$2:$D$1001,MATCH($A368,'부의금 입력'!$H$2:$H$1001,0))&amp;"")</f>
        <v/>
      </c>
      <c r="E368" s="16">
        <f>IF($A368="","",INDEX('부의금 입력'!$E$2:$E$1001,MATCH($A368,'부의금 입력'!$H$2:$H$1001,0))&amp;"")</f>
        <v/>
      </c>
      <c r="H368" s="16">
        <f>IF(365&gt;$I$1,"",INDEX('근조 화환'!$B$2:$B$501,MATCH(365,'근조 화환'!$G$2:$G$501,0))&amp;"")</f>
        <v/>
      </c>
      <c r="I368" s="16">
        <f>IF(365&gt;$I$1,"",INDEX('근조 화환'!$C$2:$C$501,MATCH(365,'근조 화환'!$G$2:$G$501,0))&amp;"")</f>
        <v/>
      </c>
      <c r="J368" s="16">
        <f>IF(365&gt;$I$1,"",INDEX('근조 화환'!$D$2:$D$501,MATCH(365,'근조 화환'!$G$2:$G$501,0))&amp;"")</f>
        <v/>
      </c>
      <c r="K368" s="16">
        <f>IF(365&gt;$I$1,"",INDEX('근조 화환'!$E$2:$E$501,MATCH(365,'근조 화환'!$G$2:$G$501,0))&amp;"")</f>
        <v/>
      </c>
    </row>
    <row r="369">
      <c r="A369" s="16">
        <f>IF(366&lt;=$F$1,366,"")</f>
        <v/>
      </c>
      <c r="B369" s="16">
        <f>IF($A369="","",INDEX('부의금 입력'!$B$2:$B$1001,MATCH($A369,'부의금 입력'!$H$2:$H$1001,0))&amp;"")</f>
        <v/>
      </c>
      <c r="C369" s="18">
        <f>IF($A369="","",INDEX('부의금 입력'!$C$2:$C$1001,MATCH($A369,'부의금 입력'!$H$2:$H$1001,0)))</f>
        <v/>
      </c>
      <c r="D369" s="16">
        <f>IF($A369="","",INDEX('부의금 입력'!$D$2:$D$1001,MATCH($A369,'부의금 입력'!$H$2:$H$1001,0))&amp;"")</f>
        <v/>
      </c>
      <c r="E369" s="16">
        <f>IF($A369="","",INDEX('부의금 입력'!$E$2:$E$1001,MATCH($A369,'부의금 입력'!$H$2:$H$1001,0))&amp;"")</f>
        <v/>
      </c>
      <c r="H369" s="16">
        <f>IF(366&gt;$I$1,"",INDEX('근조 화환'!$B$2:$B$501,MATCH(366,'근조 화환'!$G$2:$G$501,0))&amp;"")</f>
        <v/>
      </c>
      <c r="I369" s="16">
        <f>IF(366&gt;$I$1,"",INDEX('근조 화환'!$C$2:$C$501,MATCH(366,'근조 화환'!$G$2:$G$501,0))&amp;"")</f>
        <v/>
      </c>
      <c r="J369" s="16">
        <f>IF(366&gt;$I$1,"",INDEX('근조 화환'!$D$2:$D$501,MATCH(366,'근조 화환'!$G$2:$G$501,0))&amp;"")</f>
        <v/>
      </c>
      <c r="K369" s="16">
        <f>IF(366&gt;$I$1,"",INDEX('근조 화환'!$E$2:$E$501,MATCH(366,'근조 화환'!$G$2:$G$501,0))&amp;"")</f>
        <v/>
      </c>
    </row>
    <row r="370">
      <c r="A370" s="16">
        <f>IF(367&lt;=$F$1,367,"")</f>
        <v/>
      </c>
      <c r="B370" s="16">
        <f>IF($A370="","",INDEX('부의금 입력'!$B$2:$B$1001,MATCH($A370,'부의금 입력'!$H$2:$H$1001,0))&amp;"")</f>
        <v/>
      </c>
      <c r="C370" s="18">
        <f>IF($A370="","",INDEX('부의금 입력'!$C$2:$C$1001,MATCH($A370,'부의금 입력'!$H$2:$H$1001,0)))</f>
        <v/>
      </c>
      <c r="D370" s="16">
        <f>IF($A370="","",INDEX('부의금 입력'!$D$2:$D$1001,MATCH($A370,'부의금 입력'!$H$2:$H$1001,0))&amp;"")</f>
        <v/>
      </c>
      <c r="E370" s="16">
        <f>IF($A370="","",INDEX('부의금 입력'!$E$2:$E$1001,MATCH($A370,'부의금 입력'!$H$2:$H$1001,0))&amp;"")</f>
        <v/>
      </c>
      <c r="H370" s="16">
        <f>IF(367&gt;$I$1,"",INDEX('근조 화환'!$B$2:$B$501,MATCH(367,'근조 화환'!$G$2:$G$501,0))&amp;"")</f>
        <v/>
      </c>
      <c r="I370" s="16">
        <f>IF(367&gt;$I$1,"",INDEX('근조 화환'!$C$2:$C$501,MATCH(367,'근조 화환'!$G$2:$G$501,0))&amp;"")</f>
        <v/>
      </c>
      <c r="J370" s="16">
        <f>IF(367&gt;$I$1,"",INDEX('근조 화환'!$D$2:$D$501,MATCH(367,'근조 화환'!$G$2:$G$501,0))&amp;"")</f>
        <v/>
      </c>
      <c r="K370" s="16">
        <f>IF(367&gt;$I$1,"",INDEX('근조 화환'!$E$2:$E$501,MATCH(367,'근조 화환'!$G$2:$G$501,0))&amp;"")</f>
        <v/>
      </c>
    </row>
    <row r="371">
      <c r="A371" s="16">
        <f>IF(368&lt;=$F$1,368,"")</f>
        <v/>
      </c>
      <c r="B371" s="16">
        <f>IF($A371="","",INDEX('부의금 입력'!$B$2:$B$1001,MATCH($A371,'부의금 입력'!$H$2:$H$1001,0))&amp;"")</f>
        <v/>
      </c>
      <c r="C371" s="18">
        <f>IF($A371="","",INDEX('부의금 입력'!$C$2:$C$1001,MATCH($A371,'부의금 입력'!$H$2:$H$1001,0)))</f>
        <v/>
      </c>
      <c r="D371" s="16">
        <f>IF($A371="","",INDEX('부의금 입력'!$D$2:$D$1001,MATCH($A371,'부의금 입력'!$H$2:$H$1001,0))&amp;"")</f>
        <v/>
      </c>
      <c r="E371" s="16">
        <f>IF($A371="","",INDEX('부의금 입력'!$E$2:$E$1001,MATCH($A371,'부의금 입력'!$H$2:$H$1001,0))&amp;"")</f>
        <v/>
      </c>
      <c r="H371" s="16">
        <f>IF(368&gt;$I$1,"",INDEX('근조 화환'!$B$2:$B$501,MATCH(368,'근조 화환'!$G$2:$G$501,0))&amp;"")</f>
        <v/>
      </c>
      <c r="I371" s="16">
        <f>IF(368&gt;$I$1,"",INDEX('근조 화환'!$C$2:$C$501,MATCH(368,'근조 화환'!$G$2:$G$501,0))&amp;"")</f>
        <v/>
      </c>
      <c r="J371" s="16">
        <f>IF(368&gt;$I$1,"",INDEX('근조 화환'!$D$2:$D$501,MATCH(368,'근조 화환'!$G$2:$G$501,0))&amp;"")</f>
        <v/>
      </c>
      <c r="K371" s="16">
        <f>IF(368&gt;$I$1,"",INDEX('근조 화환'!$E$2:$E$501,MATCH(368,'근조 화환'!$G$2:$G$501,0))&amp;"")</f>
        <v/>
      </c>
    </row>
    <row r="372">
      <c r="A372" s="16">
        <f>IF(369&lt;=$F$1,369,"")</f>
        <v/>
      </c>
      <c r="B372" s="16">
        <f>IF($A372="","",INDEX('부의금 입력'!$B$2:$B$1001,MATCH($A372,'부의금 입력'!$H$2:$H$1001,0))&amp;"")</f>
        <v/>
      </c>
      <c r="C372" s="18">
        <f>IF($A372="","",INDEX('부의금 입력'!$C$2:$C$1001,MATCH($A372,'부의금 입력'!$H$2:$H$1001,0)))</f>
        <v/>
      </c>
      <c r="D372" s="16">
        <f>IF($A372="","",INDEX('부의금 입력'!$D$2:$D$1001,MATCH($A372,'부의금 입력'!$H$2:$H$1001,0))&amp;"")</f>
        <v/>
      </c>
      <c r="E372" s="16">
        <f>IF($A372="","",INDEX('부의금 입력'!$E$2:$E$1001,MATCH($A372,'부의금 입력'!$H$2:$H$1001,0))&amp;"")</f>
        <v/>
      </c>
      <c r="H372" s="16">
        <f>IF(369&gt;$I$1,"",INDEX('근조 화환'!$B$2:$B$501,MATCH(369,'근조 화환'!$G$2:$G$501,0))&amp;"")</f>
        <v/>
      </c>
      <c r="I372" s="16">
        <f>IF(369&gt;$I$1,"",INDEX('근조 화환'!$C$2:$C$501,MATCH(369,'근조 화환'!$G$2:$G$501,0))&amp;"")</f>
        <v/>
      </c>
      <c r="J372" s="16">
        <f>IF(369&gt;$I$1,"",INDEX('근조 화환'!$D$2:$D$501,MATCH(369,'근조 화환'!$G$2:$G$501,0))&amp;"")</f>
        <v/>
      </c>
      <c r="K372" s="16">
        <f>IF(369&gt;$I$1,"",INDEX('근조 화환'!$E$2:$E$501,MATCH(369,'근조 화환'!$G$2:$G$501,0))&amp;"")</f>
        <v/>
      </c>
    </row>
    <row r="373">
      <c r="A373" s="16">
        <f>IF(370&lt;=$F$1,370,"")</f>
        <v/>
      </c>
      <c r="B373" s="16">
        <f>IF($A373="","",INDEX('부의금 입력'!$B$2:$B$1001,MATCH($A373,'부의금 입력'!$H$2:$H$1001,0))&amp;"")</f>
        <v/>
      </c>
      <c r="C373" s="18">
        <f>IF($A373="","",INDEX('부의금 입력'!$C$2:$C$1001,MATCH($A373,'부의금 입력'!$H$2:$H$1001,0)))</f>
        <v/>
      </c>
      <c r="D373" s="16">
        <f>IF($A373="","",INDEX('부의금 입력'!$D$2:$D$1001,MATCH($A373,'부의금 입력'!$H$2:$H$1001,0))&amp;"")</f>
        <v/>
      </c>
      <c r="E373" s="16">
        <f>IF($A373="","",INDEX('부의금 입력'!$E$2:$E$1001,MATCH($A373,'부의금 입력'!$H$2:$H$1001,0))&amp;"")</f>
        <v/>
      </c>
      <c r="H373" s="16">
        <f>IF(370&gt;$I$1,"",INDEX('근조 화환'!$B$2:$B$501,MATCH(370,'근조 화환'!$G$2:$G$501,0))&amp;"")</f>
        <v/>
      </c>
      <c r="I373" s="16">
        <f>IF(370&gt;$I$1,"",INDEX('근조 화환'!$C$2:$C$501,MATCH(370,'근조 화환'!$G$2:$G$501,0))&amp;"")</f>
        <v/>
      </c>
      <c r="J373" s="16">
        <f>IF(370&gt;$I$1,"",INDEX('근조 화환'!$D$2:$D$501,MATCH(370,'근조 화환'!$G$2:$G$501,0))&amp;"")</f>
        <v/>
      </c>
      <c r="K373" s="16">
        <f>IF(370&gt;$I$1,"",INDEX('근조 화환'!$E$2:$E$501,MATCH(370,'근조 화환'!$G$2:$G$501,0))&amp;"")</f>
        <v/>
      </c>
    </row>
    <row r="374">
      <c r="A374" s="16">
        <f>IF(371&lt;=$F$1,371,"")</f>
        <v/>
      </c>
      <c r="B374" s="16">
        <f>IF($A374="","",INDEX('부의금 입력'!$B$2:$B$1001,MATCH($A374,'부의금 입력'!$H$2:$H$1001,0))&amp;"")</f>
        <v/>
      </c>
      <c r="C374" s="18">
        <f>IF($A374="","",INDEX('부의금 입력'!$C$2:$C$1001,MATCH($A374,'부의금 입력'!$H$2:$H$1001,0)))</f>
        <v/>
      </c>
      <c r="D374" s="16">
        <f>IF($A374="","",INDEX('부의금 입력'!$D$2:$D$1001,MATCH($A374,'부의금 입력'!$H$2:$H$1001,0))&amp;"")</f>
        <v/>
      </c>
      <c r="E374" s="16">
        <f>IF($A374="","",INDEX('부의금 입력'!$E$2:$E$1001,MATCH($A374,'부의금 입력'!$H$2:$H$1001,0))&amp;"")</f>
        <v/>
      </c>
      <c r="H374" s="16">
        <f>IF(371&gt;$I$1,"",INDEX('근조 화환'!$B$2:$B$501,MATCH(371,'근조 화환'!$G$2:$G$501,0))&amp;"")</f>
        <v/>
      </c>
      <c r="I374" s="16">
        <f>IF(371&gt;$I$1,"",INDEX('근조 화환'!$C$2:$C$501,MATCH(371,'근조 화환'!$G$2:$G$501,0))&amp;"")</f>
        <v/>
      </c>
      <c r="J374" s="16">
        <f>IF(371&gt;$I$1,"",INDEX('근조 화환'!$D$2:$D$501,MATCH(371,'근조 화환'!$G$2:$G$501,0))&amp;"")</f>
        <v/>
      </c>
      <c r="K374" s="16">
        <f>IF(371&gt;$I$1,"",INDEX('근조 화환'!$E$2:$E$501,MATCH(371,'근조 화환'!$G$2:$G$501,0))&amp;"")</f>
        <v/>
      </c>
    </row>
    <row r="375">
      <c r="A375" s="16">
        <f>IF(372&lt;=$F$1,372,"")</f>
        <v/>
      </c>
      <c r="B375" s="16">
        <f>IF($A375="","",INDEX('부의금 입력'!$B$2:$B$1001,MATCH($A375,'부의금 입력'!$H$2:$H$1001,0))&amp;"")</f>
        <v/>
      </c>
      <c r="C375" s="18">
        <f>IF($A375="","",INDEX('부의금 입력'!$C$2:$C$1001,MATCH($A375,'부의금 입력'!$H$2:$H$1001,0)))</f>
        <v/>
      </c>
      <c r="D375" s="16">
        <f>IF($A375="","",INDEX('부의금 입력'!$D$2:$D$1001,MATCH($A375,'부의금 입력'!$H$2:$H$1001,0))&amp;"")</f>
        <v/>
      </c>
      <c r="E375" s="16">
        <f>IF($A375="","",INDEX('부의금 입력'!$E$2:$E$1001,MATCH($A375,'부의금 입력'!$H$2:$H$1001,0))&amp;"")</f>
        <v/>
      </c>
      <c r="H375" s="16">
        <f>IF(372&gt;$I$1,"",INDEX('근조 화환'!$B$2:$B$501,MATCH(372,'근조 화환'!$G$2:$G$501,0))&amp;"")</f>
        <v/>
      </c>
      <c r="I375" s="16">
        <f>IF(372&gt;$I$1,"",INDEX('근조 화환'!$C$2:$C$501,MATCH(372,'근조 화환'!$G$2:$G$501,0))&amp;"")</f>
        <v/>
      </c>
      <c r="J375" s="16">
        <f>IF(372&gt;$I$1,"",INDEX('근조 화환'!$D$2:$D$501,MATCH(372,'근조 화환'!$G$2:$G$501,0))&amp;"")</f>
        <v/>
      </c>
      <c r="K375" s="16">
        <f>IF(372&gt;$I$1,"",INDEX('근조 화환'!$E$2:$E$501,MATCH(372,'근조 화환'!$G$2:$G$501,0))&amp;"")</f>
        <v/>
      </c>
    </row>
    <row r="376">
      <c r="A376" s="16">
        <f>IF(373&lt;=$F$1,373,"")</f>
        <v/>
      </c>
      <c r="B376" s="16">
        <f>IF($A376="","",INDEX('부의금 입력'!$B$2:$B$1001,MATCH($A376,'부의금 입력'!$H$2:$H$1001,0))&amp;"")</f>
        <v/>
      </c>
      <c r="C376" s="18">
        <f>IF($A376="","",INDEX('부의금 입력'!$C$2:$C$1001,MATCH($A376,'부의금 입력'!$H$2:$H$1001,0)))</f>
        <v/>
      </c>
      <c r="D376" s="16">
        <f>IF($A376="","",INDEX('부의금 입력'!$D$2:$D$1001,MATCH($A376,'부의금 입력'!$H$2:$H$1001,0))&amp;"")</f>
        <v/>
      </c>
      <c r="E376" s="16">
        <f>IF($A376="","",INDEX('부의금 입력'!$E$2:$E$1001,MATCH($A376,'부의금 입력'!$H$2:$H$1001,0))&amp;"")</f>
        <v/>
      </c>
      <c r="H376" s="16">
        <f>IF(373&gt;$I$1,"",INDEX('근조 화환'!$B$2:$B$501,MATCH(373,'근조 화환'!$G$2:$G$501,0))&amp;"")</f>
        <v/>
      </c>
      <c r="I376" s="16">
        <f>IF(373&gt;$I$1,"",INDEX('근조 화환'!$C$2:$C$501,MATCH(373,'근조 화환'!$G$2:$G$501,0))&amp;"")</f>
        <v/>
      </c>
      <c r="J376" s="16">
        <f>IF(373&gt;$I$1,"",INDEX('근조 화환'!$D$2:$D$501,MATCH(373,'근조 화환'!$G$2:$G$501,0))&amp;"")</f>
        <v/>
      </c>
      <c r="K376" s="16">
        <f>IF(373&gt;$I$1,"",INDEX('근조 화환'!$E$2:$E$501,MATCH(373,'근조 화환'!$G$2:$G$501,0))&amp;"")</f>
        <v/>
      </c>
    </row>
    <row r="377">
      <c r="A377" s="16">
        <f>IF(374&lt;=$F$1,374,"")</f>
        <v/>
      </c>
      <c r="B377" s="16">
        <f>IF($A377="","",INDEX('부의금 입력'!$B$2:$B$1001,MATCH($A377,'부의금 입력'!$H$2:$H$1001,0))&amp;"")</f>
        <v/>
      </c>
      <c r="C377" s="18">
        <f>IF($A377="","",INDEX('부의금 입력'!$C$2:$C$1001,MATCH($A377,'부의금 입력'!$H$2:$H$1001,0)))</f>
        <v/>
      </c>
      <c r="D377" s="16">
        <f>IF($A377="","",INDEX('부의금 입력'!$D$2:$D$1001,MATCH($A377,'부의금 입력'!$H$2:$H$1001,0))&amp;"")</f>
        <v/>
      </c>
      <c r="E377" s="16">
        <f>IF($A377="","",INDEX('부의금 입력'!$E$2:$E$1001,MATCH($A377,'부의금 입력'!$H$2:$H$1001,0))&amp;"")</f>
        <v/>
      </c>
      <c r="H377" s="16">
        <f>IF(374&gt;$I$1,"",INDEX('근조 화환'!$B$2:$B$501,MATCH(374,'근조 화환'!$G$2:$G$501,0))&amp;"")</f>
        <v/>
      </c>
      <c r="I377" s="16">
        <f>IF(374&gt;$I$1,"",INDEX('근조 화환'!$C$2:$C$501,MATCH(374,'근조 화환'!$G$2:$G$501,0))&amp;"")</f>
        <v/>
      </c>
      <c r="J377" s="16">
        <f>IF(374&gt;$I$1,"",INDEX('근조 화환'!$D$2:$D$501,MATCH(374,'근조 화환'!$G$2:$G$501,0))&amp;"")</f>
        <v/>
      </c>
      <c r="K377" s="16">
        <f>IF(374&gt;$I$1,"",INDEX('근조 화환'!$E$2:$E$501,MATCH(374,'근조 화환'!$G$2:$G$501,0))&amp;"")</f>
        <v/>
      </c>
    </row>
    <row r="378">
      <c r="A378" s="16">
        <f>IF(375&lt;=$F$1,375,"")</f>
        <v/>
      </c>
      <c r="B378" s="16">
        <f>IF($A378="","",INDEX('부의금 입력'!$B$2:$B$1001,MATCH($A378,'부의금 입력'!$H$2:$H$1001,0))&amp;"")</f>
        <v/>
      </c>
      <c r="C378" s="18">
        <f>IF($A378="","",INDEX('부의금 입력'!$C$2:$C$1001,MATCH($A378,'부의금 입력'!$H$2:$H$1001,0)))</f>
        <v/>
      </c>
      <c r="D378" s="16">
        <f>IF($A378="","",INDEX('부의금 입력'!$D$2:$D$1001,MATCH($A378,'부의금 입력'!$H$2:$H$1001,0))&amp;"")</f>
        <v/>
      </c>
      <c r="E378" s="16">
        <f>IF($A378="","",INDEX('부의금 입력'!$E$2:$E$1001,MATCH($A378,'부의금 입력'!$H$2:$H$1001,0))&amp;"")</f>
        <v/>
      </c>
      <c r="H378" s="16">
        <f>IF(375&gt;$I$1,"",INDEX('근조 화환'!$B$2:$B$501,MATCH(375,'근조 화환'!$G$2:$G$501,0))&amp;"")</f>
        <v/>
      </c>
      <c r="I378" s="16">
        <f>IF(375&gt;$I$1,"",INDEX('근조 화환'!$C$2:$C$501,MATCH(375,'근조 화환'!$G$2:$G$501,0))&amp;"")</f>
        <v/>
      </c>
      <c r="J378" s="16">
        <f>IF(375&gt;$I$1,"",INDEX('근조 화환'!$D$2:$D$501,MATCH(375,'근조 화환'!$G$2:$G$501,0))&amp;"")</f>
        <v/>
      </c>
      <c r="K378" s="16">
        <f>IF(375&gt;$I$1,"",INDEX('근조 화환'!$E$2:$E$501,MATCH(375,'근조 화환'!$G$2:$G$501,0))&amp;"")</f>
        <v/>
      </c>
    </row>
    <row r="379">
      <c r="A379" s="16">
        <f>IF(376&lt;=$F$1,376,"")</f>
        <v/>
      </c>
      <c r="B379" s="16">
        <f>IF($A379="","",INDEX('부의금 입력'!$B$2:$B$1001,MATCH($A379,'부의금 입력'!$H$2:$H$1001,0))&amp;"")</f>
        <v/>
      </c>
      <c r="C379" s="18">
        <f>IF($A379="","",INDEX('부의금 입력'!$C$2:$C$1001,MATCH($A379,'부의금 입력'!$H$2:$H$1001,0)))</f>
        <v/>
      </c>
      <c r="D379" s="16">
        <f>IF($A379="","",INDEX('부의금 입력'!$D$2:$D$1001,MATCH($A379,'부의금 입력'!$H$2:$H$1001,0))&amp;"")</f>
        <v/>
      </c>
      <c r="E379" s="16">
        <f>IF($A379="","",INDEX('부의금 입력'!$E$2:$E$1001,MATCH($A379,'부의금 입력'!$H$2:$H$1001,0))&amp;"")</f>
        <v/>
      </c>
      <c r="H379" s="16">
        <f>IF(376&gt;$I$1,"",INDEX('근조 화환'!$B$2:$B$501,MATCH(376,'근조 화환'!$G$2:$G$501,0))&amp;"")</f>
        <v/>
      </c>
      <c r="I379" s="16">
        <f>IF(376&gt;$I$1,"",INDEX('근조 화환'!$C$2:$C$501,MATCH(376,'근조 화환'!$G$2:$G$501,0))&amp;"")</f>
        <v/>
      </c>
      <c r="J379" s="16">
        <f>IF(376&gt;$I$1,"",INDEX('근조 화환'!$D$2:$D$501,MATCH(376,'근조 화환'!$G$2:$G$501,0))&amp;"")</f>
        <v/>
      </c>
      <c r="K379" s="16">
        <f>IF(376&gt;$I$1,"",INDEX('근조 화환'!$E$2:$E$501,MATCH(376,'근조 화환'!$G$2:$G$501,0))&amp;"")</f>
        <v/>
      </c>
    </row>
    <row r="380">
      <c r="A380" s="16">
        <f>IF(377&lt;=$F$1,377,"")</f>
        <v/>
      </c>
      <c r="B380" s="16">
        <f>IF($A380="","",INDEX('부의금 입력'!$B$2:$B$1001,MATCH($A380,'부의금 입력'!$H$2:$H$1001,0))&amp;"")</f>
        <v/>
      </c>
      <c r="C380" s="18">
        <f>IF($A380="","",INDEX('부의금 입력'!$C$2:$C$1001,MATCH($A380,'부의금 입력'!$H$2:$H$1001,0)))</f>
        <v/>
      </c>
      <c r="D380" s="16">
        <f>IF($A380="","",INDEX('부의금 입력'!$D$2:$D$1001,MATCH($A380,'부의금 입력'!$H$2:$H$1001,0))&amp;"")</f>
        <v/>
      </c>
      <c r="E380" s="16">
        <f>IF($A380="","",INDEX('부의금 입력'!$E$2:$E$1001,MATCH($A380,'부의금 입력'!$H$2:$H$1001,0))&amp;"")</f>
        <v/>
      </c>
      <c r="H380" s="16">
        <f>IF(377&gt;$I$1,"",INDEX('근조 화환'!$B$2:$B$501,MATCH(377,'근조 화환'!$G$2:$G$501,0))&amp;"")</f>
        <v/>
      </c>
      <c r="I380" s="16">
        <f>IF(377&gt;$I$1,"",INDEX('근조 화환'!$C$2:$C$501,MATCH(377,'근조 화환'!$G$2:$G$501,0))&amp;"")</f>
        <v/>
      </c>
      <c r="J380" s="16">
        <f>IF(377&gt;$I$1,"",INDEX('근조 화환'!$D$2:$D$501,MATCH(377,'근조 화환'!$G$2:$G$501,0))&amp;"")</f>
        <v/>
      </c>
      <c r="K380" s="16">
        <f>IF(377&gt;$I$1,"",INDEX('근조 화환'!$E$2:$E$501,MATCH(377,'근조 화환'!$G$2:$G$501,0))&amp;"")</f>
        <v/>
      </c>
    </row>
    <row r="381">
      <c r="A381" s="16">
        <f>IF(378&lt;=$F$1,378,"")</f>
        <v/>
      </c>
      <c r="B381" s="16">
        <f>IF($A381="","",INDEX('부의금 입력'!$B$2:$B$1001,MATCH($A381,'부의금 입력'!$H$2:$H$1001,0))&amp;"")</f>
        <v/>
      </c>
      <c r="C381" s="18">
        <f>IF($A381="","",INDEX('부의금 입력'!$C$2:$C$1001,MATCH($A381,'부의금 입력'!$H$2:$H$1001,0)))</f>
        <v/>
      </c>
      <c r="D381" s="16">
        <f>IF($A381="","",INDEX('부의금 입력'!$D$2:$D$1001,MATCH($A381,'부의금 입력'!$H$2:$H$1001,0))&amp;"")</f>
        <v/>
      </c>
      <c r="E381" s="16">
        <f>IF($A381="","",INDEX('부의금 입력'!$E$2:$E$1001,MATCH($A381,'부의금 입력'!$H$2:$H$1001,0))&amp;"")</f>
        <v/>
      </c>
      <c r="H381" s="16">
        <f>IF(378&gt;$I$1,"",INDEX('근조 화환'!$B$2:$B$501,MATCH(378,'근조 화환'!$G$2:$G$501,0))&amp;"")</f>
        <v/>
      </c>
      <c r="I381" s="16">
        <f>IF(378&gt;$I$1,"",INDEX('근조 화환'!$C$2:$C$501,MATCH(378,'근조 화환'!$G$2:$G$501,0))&amp;"")</f>
        <v/>
      </c>
      <c r="J381" s="16">
        <f>IF(378&gt;$I$1,"",INDEX('근조 화환'!$D$2:$D$501,MATCH(378,'근조 화환'!$G$2:$G$501,0))&amp;"")</f>
        <v/>
      </c>
      <c r="K381" s="16">
        <f>IF(378&gt;$I$1,"",INDEX('근조 화환'!$E$2:$E$501,MATCH(378,'근조 화환'!$G$2:$G$501,0))&amp;"")</f>
        <v/>
      </c>
    </row>
    <row r="382">
      <c r="A382" s="16">
        <f>IF(379&lt;=$F$1,379,"")</f>
        <v/>
      </c>
      <c r="B382" s="16">
        <f>IF($A382="","",INDEX('부의금 입력'!$B$2:$B$1001,MATCH($A382,'부의금 입력'!$H$2:$H$1001,0))&amp;"")</f>
        <v/>
      </c>
      <c r="C382" s="18">
        <f>IF($A382="","",INDEX('부의금 입력'!$C$2:$C$1001,MATCH($A382,'부의금 입력'!$H$2:$H$1001,0)))</f>
        <v/>
      </c>
      <c r="D382" s="16">
        <f>IF($A382="","",INDEX('부의금 입력'!$D$2:$D$1001,MATCH($A382,'부의금 입력'!$H$2:$H$1001,0))&amp;"")</f>
        <v/>
      </c>
      <c r="E382" s="16">
        <f>IF($A382="","",INDEX('부의금 입력'!$E$2:$E$1001,MATCH($A382,'부의금 입력'!$H$2:$H$1001,0))&amp;"")</f>
        <v/>
      </c>
      <c r="H382" s="16">
        <f>IF(379&gt;$I$1,"",INDEX('근조 화환'!$B$2:$B$501,MATCH(379,'근조 화환'!$G$2:$G$501,0))&amp;"")</f>
        <v/>
      </c>
      <c r="I382" s="16">
        <f>IF(379&gt;$I$1,"",INDEX('근조 화환'!$C$2:$C$501,MATCH(379,'근조 화환'!$G$2:$G$501,0))&amp;"")</f>
        <v/>
      </c>
      <c r="J382" s="16">
        <f>IF(379&gt;$I$1,"",INDEX('근조 화환'!$D$2:$D$501,MATCH(379,'근조 화환'!$G$2:$G$501,0))&amp;"")</f>
        <v/>
      </c>
      <c r="K382" s="16">
        <f>IF(379&gt;$I$1,"",INDEX('근조 화환'!$E$2:$E$501,MATCH(379,'근조 화환'!$G$2:$G$501,0))&amp;"")</f>
        <v/>
      </c>
    </row>
    <row r="383">
      <c r="A383" s="16">
        <f>IF(380&lt;=$F$1,380,"")</f>
        <v/>
      </c>
      <c r="B383" s="16">
        <f>IF($A383="","",INDEX('부의금 입력'!$B$2:$B$1001,MATCH($A383,'부의금 입력'!$H$2:$H$1001,0))&amp;"")</f>
        <v/>
      </c>
      <c r="C383" s="18">
        <f>IF($A383="","",INDEX('부의금 입력'!$C$2:$C$1001,MATCH($A383,'부의금 입력'!$H$2:$H$1001,0)))</f>
        <v/>
      </c>
      <c r="D383" s="16">
        <f>IF($A383="","",INDEX('부의금 입력'!$D$2:$D$1001,MATCH($A383,'부의금 입력'!$H$2:$H$1001,0))&amp;"")</f>
        <v/>
      </c>
      <c r="E383" s="16">
        <f>IF($A383="","",INDEX('부의금 입력'!$E$2:$E$1001,MATCH($A383,'부의금 입력'!$H$2:$H$1001,0))&amp;"")</f>
        <v/>
      </c>
      <c r="H383" s="16">
        <f>IF(380&gt;$I$1,"",INDEX('근조 화환'!$B$2:$B$501,MATCH(380,'근조 화환'!$G$2:$G$501,0))&amp;"")</f>
        <v/>
      </c>
      <c r="I383" s="16">
        <f>IF(380&gt;$I$1,"",INDEX('근조 화환'!$C$2:$C$501,MATCH(380,'근조 화환'!$G$2:$G$501,0))&amp;"")</f>
        <v/>
      </c>
      <c r="J383" s="16">
        <f>IF(380&gt;$I$1,"",INDEX('근조 화환'!$D$2:$D$501,MATCH(380,'근조 화환'!$G$2:$G$501,0))&amp;"")</f>
        <v/>
      </c>
      <c r="K383" s="16">
        <f>IF(380&gt;$I$1,"",INDEX('근조 화환'!$E$2:$E$501,MATCH(380,'근조 화환'!$G$2:$G$501,0))&amp;"")</f>
        <v/>
      </c>
    </row>
    <row r="384">
      <c r="A384" s="16">
        <f>IF(381&lt;=$F$1,381,"")</f>
        <v/>
      </c>
      <c r="B384" s="16">
        <f>IF($A384="","",INDEX('부의금 입력'!$B$2:$B$1001,MATCH($A384,'부의금 입력'!$H$2:$H$1001,0))&amp;"")</f>
        <v/>
      </c>
      <c r="C384" s="18">
        <f>IF($A384="","",INDEX('부의금 입력'!$C$2:$C$1001,MATCH($A384,'부의금 입력'!$H$2:$H$1001,0)))</f>
        <v/>
      </c>
      <c r="D384" s="16">
        <f>IF($A384="","",INDEX('부의금 입력'!$D$2:$D$1001,MATCH($A384,'부의금 입력'!$H$2:$H$1001,0))&amp;"")</f>
        <v/>
      </c>
      <c r="E384" s="16">
        <f>IF($A384="","",INDEX('부의금 입력'!$E$2:$E$1001,MATCH($A384,'부의금 입력'!$H$2:$H$1001,0))&amp;"")</f>
        <v/>
      </c>
      <c r="H384" s="16">
        <f>IF(381&gt;$I$1,"",INDEX('근조 화환'!$B$2:$B$501,MATCH(381,'근조 화환'!$G$2:$G$501,0))&amp;"")</f>
        <v/>
      </c>
      <c r="I384" s="16">
        <f>IF(381&gt;$I$1,"",INDEX('근조 화환'!$C$2:$C$501,MATCH(381,'근조 화환'!$G$2:$G$501,0))&amp;"")</f>
        <v/>
      </c>
      <c r="J384" s="16">
        <f>IF(381&gt;$I$1,"",INDEX('근조 화환'!$D$2:$D$501,MATCH(381,'근조 화환'!$G$2:$G$501,0))&amp;"")</f>
        <v/>
      </c>
      <c r="K384" s="16">
        <f>IF(381&gt;$I$1,"",INDEX('근조 화환'!$E$2:$E$501,MATCH(381,'근조 화환'!$G$2:$G$501,0))&amp;"")</f>
        <v/>
      </c>
    </row>
    <row r="385">
      <c r="A385" s="16">
        <f>IF(382&lt;=$F$1,382,"")</f>
        <v/>
      </c>
      <c r="B385" s="16">
        <f>IF($A385="","",INDEX('부의금 입력'!$B$2:$B$1001,MATCH($A385,'부의금 입력'!$H$2:$H$1001,0))&amp;"")</f>
        <v/>
      </c>
      <c r="C385" s="18">
        <f>IF($A385="","",INDEX('부의금 입력'!$C$2:$C$1001,MATCH($A385,'부의금 입력'!$H$2:$H$1001,0)))</f>
        <v/>
      </c>
      <c r="D385" s="16">
        <f>IF($A385="","",INDEX('부의금 입력'!$D$2:$D$1001,MATCH($A385,'부의금 입력'!$H$2:$H$1001,0))&amp;"")</f>
        <v/>
      </c>
      <c r="E385" s="16">
        <f>IF($A385="","",INDEX('부의금 입력'!$E$2:$E$1001,MATCH($A385,'부의금 입력'!$H$2:$H$1001,0))&amp;"")</f>
        <v/>
      </c>
      <c r="H385" s="16">
        <f>IF(382&gt;$I$1,"",INDEX('근조 화환'!$B$2:$B$501,MATCH(382,'근조 화환'!$G$2:$G$501,0))&amp;"")</f>
        <v/>
      </c>
      <c r="I385" s="16">
        <f>IF(382&gt;$I$1,"",INDEX('근조 화환'!$C$2:$C$501,MATCH(382,'근조 화환'!$G$2:$G$501,0))&amp;"")</f>
        <v/>
      </c>
      <c r="J385" s="16">
        <f>IF(382&gt;$I$1,"",INDEX('근조 화환'!$D$2:$D$501,MATCH(382,'근조 화환'!$G$2:$G$501,0))&amp;"")</f>
        <v/>
      </c>
      <c r="K385" s="16">
        <f>IF(382&gt;$I$1,"",INDEX('근조 화환'!$E$2:$E$501,MATCH(382,'근조 화환'!$G$2:$G$501,0))&amp;"")</f>
        <v/>
      </c>
    </row>
    <row r="386">
      <c r="A386" s="16">
        <f>IF(383&lt;=$F$1,383,"")</f>
        <v/>
      </c>
      <c r="B386" s="16">
        <f>IF($A386="","",INDEX('부의금 입력'!$B$2:$B$1001,MATCH($A386,'부의금 입력'!$H$2:$H$1001,0))&amp;"")</f>
        <v/>
      </c>
      <c r="C386" s="18">
        <f>IF($A386="","",INDEX('부의금 입력'!$C$2:$C$1001,MATCH($A386,'부의금 입력'!$H$2:$H$1001,0)))</f>
        <v/>
      </c>
      <c r="D386" s="16">
        <f>IF($A386="","",INDEX('부의금 입력'!$D$2:$D$1001,MATCH($A386,'부의금 입력'!$H$2:$H$1001,0))&amp;"")</f>
        <v/>
      </c>
      <c r="E386" s="16">
        <f>IF($A386="","",INDEX('부의금 입력'!$E$2:$E$1001,MATCH($A386,'부의금 입력'!$H$2:$H$1001,0))&amp;"")</f>
        <v/>
      </c>
      <c r="H386" s="16">
        <f>IF(383&gt;$I$1,"",INDEX('근조 화환'!$B$2:$B$501,MATCH(383,'근조 화환'!$G$2:$G$501,0))&amp;"")</f>
        <v/>
      </c>
      <c r="I386" s="16">
        <f>IF(383&gt;$I$1,"",INDEX('근조 화환'!$C$2:$C$501,MATCH(383,'근조 화환'!$G$2:$G$501,0))&amp;"")</f>
        <v/>
      </c>
      <c r="J386" s="16">
        <f>IF(383&gt;$I$1,"",INDEX('근조 화환'!$D$2:$D$501,MATCH(383,'근조 화환'!$G$2:$G$501,0))&amp;"")</f>
        <v/>
      </c>
      <c r="K386" s="16">
        <f>IF(383&gt;$I$1,"",INDEX('근조 화환'!$E$2:$E$501,MATCH(383,'근조 화환'!$G$2:$G$501,0))&amp;"")</f>
        <v/>
      </c>
    </row>
    <row r="387">
      <c r="A387" s="16">
        <f>IF(384&lt;=$F$1,384,"")</f>
        <v/>
      </c>
      <c r="B387" s="16">
        <f>IF($A387="","",INDEX('부의금 입력'!$B$2:$B$1001,MATCH($A387,'부의금 입력'!$H$2:$H$1001,0))&amp;"")</f>
        <v/>
      </c>
      <c r="C387" s="18">
        <f>IF($A387="","",INDEX('부의금 입력'!$C$2:$C$1001,MATCH($A387,'부의금 입력'!$H$2:$H$1001,0)))</f>
        <v/>
      </c>
      <c r="D387" s="16">
        <f>IF($A387="","",INDEX('부의금 입력'!$D$2:$D$1001,MATCH($A387,'부의금 입력'!$H$2:$H$1001,0))&amp;"")</f>
        <v/>
      </c>
      <c r="E387" s="16">
        <f>IF($A387="","",INDEX('부의금 입력'!$E$2:$E$1001,MATCH($A387,'부의금 입력'!$H$2:$H$1001,0))&amp;"")</f>
        <v/>
      </c>
      <c r="H387" s="16">
        <f>IF(384&gt;$I$1,"",INDEX('근조 화환'!$B$2:$B$501,MATCH(384,'근조 화환'!$G$2:$G$501,0))&amp;"")</f>
        <v/>
      </c>
      <c r="I387" s="16">
        <f>IF(384&gt;$I$1,"",INDEX('근조 화환'!$C$2:$C$501,MATCH(384,'근조 화환'!$G$2:$G$501,0))&amp;"")</f>
        <v/>
      </c>
      <c r="J387" s="16">
        <f>IF(384&gt;$I$1,"",INDEX('근조 화환'!$D$2:$D$501,MATCH(384,'근조 화환'!$G$2:$G$501,0))&amp;"")</f>
        <v/>
      </c>
      <c r="K387" s="16">
        <f>IF(384&gt;$I$1,"",INDEX('근조 화환'!$E$2:$E$501,MATCH(384,'근조 화환'!$G$2:$G$501,0))&amp;"")</f>
        <v/>
      </c>
    </row>
    <row r="388">
      <c r="A388" s="16">
        <f>IF(385&lt;=$F$1,385,"")</f>
        <v/>
      </c>
      <c r="B388" s="16">
        <f>IF($A388="","",INDEX('부의금 입력'!$B$2:$B$1001,MATCH($A388,'부의금 입력'!$H$2:$H$1001,0))&amp;"")</f>
        <v/>
      </c>
      <c r="C388" s="18">
        <f>IF($A388="","",INDEX('부의금 입력'!$C$2:$C$1001,MATCH($A388,'부의금 입력'!$H$2:$H$1001,0)))</f>
        <v/>
      </c>
      <c r="D388" s="16">
        <f>IF($A388="","",INDEX('부의금 입력'!$D$2:$D$1001,MATCH($A388,'부의금 입력'!$H$2:$H$1001,0))&amp;"")</f>
        <v/>
      </c>
      <c r="E388" s="16">
        <f>IF($A388="","",INDEX('부의금 입력'!$E$2:$E$1001,MATCH($A388,'부의금 입력'!$H$2:$H$1001,0))&amp;"")</f>
        <v/>
      </c>
      <c r="H388" s="16">
        <f>IF(385&gt;$I$1,"",INDEX('근조 화환'!$B$2:$B$501,MATCH(385,'근조 화환'!$G$2:$G$501,0))&amp;"")</f>
        <v/>
      </c>
      <c r="I388" s="16">
        <f>IF(385&gt;$I$1,"",INDEX('근조 화환'!$C$2:$C$501,MATCH(385,'근조 화환'!$G$2:$G$501,0))&amp;"")</f>
        <v/>
      </c>
      <c r="J388" s="16">
        <f>IF(385&gt;$I$1,"",INDEX('근조 화환'!$D$2:$D$501,MATCH(385,'근조 화환'!$G$2:$G$501,0))&amp;"")</f>
        <v/>
      </c>
      <c r="K388" s="16">
        <f>IF(385&gt;$I$1,"",INDEX('근조 화환'!$E$2:$E$501,MATCH(385,'근조 화환'!$G$2:$G$501,0))&amp;"")</f>
        <v/>
      </c>
    </row>
    <row r="389">
      <c r="A389" s="16">
        <f>IF(386&lt;=$F$1,386,"")</f>
        <v/>
      </c>
      <c r="B389" s="16">
        <f>IF($A389="","",INDEX('부의금 입력'!$B$2:$B$1001,MATCH($A389,'부의금 입력'!$H$2:$H$1001,0))&amp;"")</f>
        <v/>
      </c>
      <c r="C389" s="18">
        <f>IF($A389="","",INDEX('부의금 입력'!$C$2:$C$1001,MATCH($A389,'부의금 입력'!$H$2:$H$1001,0)))</f>
        <v/>
      </c>
      <c r="D389" s="16">
        <f>IF($A389="","",INDEX('부의금 입력'!$D$2:$D$1001,MATCH($A389,'부의금 입력'!$H$2:$H$1001,0))&amp;"")</f>
        <v/>
      </c>
      <c r="E389" s="16">
        <f>IF($A389="","",INDEX('부의금 입력'!$E$2:$E$1001,MATCH($A389,'부의금 입력'!$H$2:$H$1001,0))&amp;"")</f>
        <v/>
      </c>
      <c r="H389" s="16">
        <f>IF(386&gt;$I$1,"",INDEX('근조 화환'!$B$2:$B$501,MATCH(386,'근조 화환'!$G$2:$G$501,0))&amp;"")</f>
        <v/>
      </c>
      <c r="I389" s="16">
        <f>IF(386&gt;$I$1,"",INDEX('근조 화환'!$C$2:$C$501,MATCH(386,'근조 화환'!$G$2:$G$501,0))&amp;"")</f>
        <v/>
      </c>
      <c r="J389" s="16">
        <f>IF(386&gt;$I$1,"",INDEX('근조 화환'!$D$2:$D$501,MATCH(386,'근조 화환'!$G$2:$G$501,0))&amp;"")</f>
        <v/>
      </c>
      <c r="K389" s="16">
        <f>IF(386&gt;$I$1,"",INDEX('근조 화환'!$E$2:$E$501,MATCH(386,'근조 화환'!$G$2:$G$501,0))&amp;"")</f>
        <v/>
      </c>
    </row>
    <row r="390">
      <c r="A390" s="16">
        <f>IF(387&lt;=$F$1,387,"")</f>
        <v/>
      </c>
      <c r="B390" s="16">
        <f>IF($A390="","",INDEX('부의금 입력'!$B$2:$B$1001,MATCH($A390,'부의금 입력'!$H$2:$H$1001,0))&amp;"")</f>
        <v/>
      </c>
      <c r="C390" s="18">
        <f>IF($A390="","",INDEX('부의금 입력'!$C$2:$C$1001,MATCH($A390,'부의금 입력'!$H$2:$H$1001,0)))</f>
        <v/>
      </c>
      <c r="D390" s="16">
        <f>IF($A390="","",INDEX('부의금 입력'!$D$2:$D$1001,MATCH($A390,'부의금 입력'!$H$2:$H$1001,0))&amp;"")</f>
        <v/>
      </c>
      <c r="E390" s="16">
        <f>IF($A390="","",INDEX('부의금 입력'!$E$2:$E$1001,MATCH($A390,'부의금 입력'!$H$2:$H$1001,0))&amp;"")</f>
        <v/>
      </c>
      <c r="H390" s="16">
        <f>IF(387&gt;$I$1,"",INDEX('근조 화환'!$B$2:$B$501,MATCH(387,'근조 화환'!$G$2:$G$501,0))&amp;"")</f>
        <v/>
      </c>
      <c r="I390" s="16">
        <f>IF(387&gt;$I$1,"",INDEX('근조 화환'!$C$2:$C$501,MATCH(387,'근조 화환'!$G$2:$G$501,0))&amp;"")</f>
        <v/>
      </c>
      <c r="J390" s="16">
        <f>IF(387&gt;$I$1,"",INDEX('근조 화환'!$D$2:$D$501,MATCH(387,'근조 화환'!$G$2:$G$501,0))&amp;"")</f>
        <v/>
      </c>
      <c r="K390" s="16">
        <f>IF(387&gt;$I$1,"",INDEX('근조 화환'!$E$2:$E$501,MATCH(387,'근조 화환'!$G$2:$G$501,0))&amp;"")</f>
        <v/>
      </c>
    </row>
    <row r="391">
      <c r="A391" s="16">
        <f>IF(388&lt;=$F$1,388,"")</f>
        <v/>
      </c>
      <c r="B391" s="16">
        <f>IF($A391="","",INDEX('부의금 입력'!$B$2:$B$1001,MATCH($A391,'부의금 입력'!$H$2:$H$1001,0))&amp;"")</f>
        <v/>
      </c>
      <c r="C391" s="18">
        <f>IF($A391="","",INDEX('부의금 입력'!$C$2:$C$1001,MATCH($A391,'부의금 입력'!$H$2:$H$1001,0)))</f>
        <v/>
      </c>
      <c r="D391" s="16">
        <f>IF($A391="","",INDEX('부의금 입력'!$D$2:$D$1001,MATCH($A391,'부의금 입력'!$H$2:$H$1001,0))&amp;"")</f>
        <v/>
      </c>
      <c r="E391" s="16">
        <f>IF($A391="","",INDEX('부의금 입력'!$E$2:$E$1001,MATCH($A391,'부의금 입력'!$H$2:$H$1001,0))&amp;"")</f>
        <v/>
      </c>
      <c r="H391" s="16">
        <f>IF(388&gt;$I$1,"",INDEX('근조 화환'!$B$2:$B$501,MATCH(388,'근조 화환'!$G$2:$G$501,0))&amp;"")</f>
        <v/>
      </c>
      <c r="I391" s="16">
        <f>IF(388&gt;$I$1,"",INDEX('근조 화환'!$C$2:$C$501,MATCH(388,'근조 화환'!$G$2:$G$501,0))&amp;"")</f>
        <v/>
      </c>
      <c r="J391" s="16">
        <f>IF(388&gt;$I$1,"",INDEX('근조 화환'!$D$2:$D$501,MATCH(388,'근조 화환'!$G$2:$G$501,0))&amp;"")</f>
        <v/>
      </c>
      <c r="K391" s="16">
        <f>IF(388&gt;$I$1,"",INDEX('근조 화환'!$E$2:$E$501,MATCH(388,'근조 화환'!$G$2:$G$501,0))&amp;"")</f>
        <v/>
      </c>
    </row>
    <row r="392">
      <c r="A392" s="16">
        <f>IF(389&lt;=$F$1,389,"")</f>
        <v/>
      </c>
      <c r="B392" s="16">
        <f>IF($A392="","",INDEX('부의금 입력'!$B$2:$B$1001,MATCH($A392,'부의금 입력'!$H$2:$H$1001,0))&amp;"")</f>
        <v/>
      </c>
      <c r="C392" s="18">
        <f>IF($A392="","",INDEX('부의금 입력'!$C$2:$C$1001,MATCH($A392,'부의금 입력'!$H$2:$H$1001,0)))</f>
        <v/>
      </c>
      <c r="D392" s="16">
        <f>IF($A392="","",INDEX('부의금 입력'!$D$2:$D$1001,MATCH($A392,'부의금 입력'!$H$2:$H$1001,0))&amp;"")</f>
        <v/>
      </c>
      <c r="E392" s="16">
        <f>IF($A392="","",INDEX('부의금 입력'!$E$2:$E$1001,MATCH($A392,'부의금 입력'!$H$2:$H$1001,0))&amp;"")</f>
        <v/>
      </c>
      <c r="H392" s="16">
        <f>IF(389&gt;$I$1,"",INDEX('근조 화환'!$B$2:$B$501,MATCH(389,'근조 화환'!$G$2:$G$501,0))&amp;"")</f>
        <v/>
      </c>
      <c r="I392" s="16">
        <f>IF(389&gt;$I$1,"",INDEX('근조 화환'!$C$2:$C$501,MATCH(389,'근조 화환'!$G$2:$G$501,0))&amp;"")</f>
        <v/>
      </c>
      <c r="J392" s="16">
        <f>IF(389&gt;$I$1,"",INDEX('근조 화환'!$D$2:$D$501,MATCH(389,'근조 화환'!$G$2:$G$501,0))&amp;"")</f>
        <v/>
      </c>
      <c r="K392" s="16">
        <f>IF(389&gt;$I$1,"",INDEX('근조 화환'!$E$2:$E$501,MATCH(389,'근조 화환'!$G$2:$G$501,0))&amp;"")</f>
        <v/>
      </c>
    </row>
    <row r="393">
      <c r="A393" s="16">
        <f>IF(390&lt;=$F$1,390,"")</f>
        <v/>
      </c>
      <c r="B393" s="16">
        <f>IF($A393="","",INDEX('부의금 입력'!$B$2:$B$1001,MATCH($A393,'부의금 입력'!$H$2:$H$1001,0))&amp;"")</f>
        <v/>
      </c>
      <c r="C393" s="18">
        <f>IF($A393="","",INDEX('부의금 입력'!$C$2:$C$1001,MATCH($A393,'부의금 입력'!$H$2:$H$1001,0)))</f>
        <v/>
      </c>
      <c r="D393" s="16">
        <f>IF($A393="","",INDEX('부의금 입력'!$D$2:$D$1001,MATCH($A393,'부의금 입력'!$H$2:$H$1001,0))&amp;"")</f>
        <v/>
      </c>
      <c r="E393" s="16">
        <f>IF($A393="","",INDEX('부의금 입력'!$E$2:$E$1001,MATCH($A393,'부의금 입력'!$H$2:$H$1001,0))&amp;"")</f>
        <v/>
      </c>
      <c r="H393" s="16">
        <f>IF(390&gt;$I$1,"",INDEX('근조 화환'!$B$2:$B$501,MATCH(390,'근조 화환'!$G$2:$G$501,0))&amp;"")</f>
        <v/>
      </c>
      <c r="I393" s="16">
        <f>IF(390&gt;$I$1,"",INDEX('근조 화환'!$C$2:$C$501,MATCH(390,'근조 화환'!$G$2:$G$501,0))&amp;"")</f>
        <v/>
      </c>
      <c r="J393" s="16">
        <f>IF(390&gt;$I$1,"",INDEX('근조 화환'!$D$2:$D$501,MATCH(390,'근조 화환'!$G$2:$G$501,0))&amp;"")</f>
        <v/>
      </c>
      <c r="K393" s="16">
        <f>IF(390&gt;$I$1,"",INDEX('근조 화환'!$E$2:$E$501,MATCH(390,'근조 화환'!$G$2:$G$501,0))&amp;"")</f>
        <v/>
      </c>
    </row>
    <row r="394">
      <c r="A394" s="16">
        <f>IF(391&lt;=$F$1,391,"")</f>
        <v/>
      </c>
      <c r="B394" s="16">
        <f>IF($A394="","",INDEX('부의금 입력'!$B$2:$B$1001,MATCH($A394,'부의금 입력'!$H$2:$H$1001,0))&amp;"")</f>
        <v/>
      </c>
      <c r="C394" s="18">
        <f>IF($A394="","",INDEX('부의금 입력'!$C$2:$C$1001,MATCH($A394,'부의금 입력'!$H$2:$H$1001,0)))</f>
        <v/>
      </c>
      <c r="D394" s="16">
        <f>IF($A394="","",INDEX('부의금 입력'!$D$2:$D$1001,MATCH($A394,'부의금 입력'!$H$2:$H$1001,0))&amp;"")</f>
        <v/>
      </c>
      <c r="E394" s="16">
        <f>IF($A394="","",INDEX('부의금 입력'!$E$2:$E$1001,MATCH($A394,'부의금 입력'!$H$2:$H$1001,0))&amp;"")</f>
        <v/>
      </c>
      <c r="H394" s="16">
        <f>IF(391&gt;$I$1,"",INDEX('근조 화환'!$B$2:$B$501,MATCH(391,'근조 화환'!$G$2:$G$501,0))&amp;"")</f>
        <v/>
      </c>
      <c r="I394" s="16">
        <f>IF(391&gt;$I$1,"",INDEX('근조 화환'!$C$2:$C$501,MATCH(391,'근조 화환'!$G$2:$G$501,0))&amp;"")</f>
        <v/>
      </c>
      <c r="J394" s="16">
        <f>IF(391&gt;$I$1,"",INDEX('근조 화환'!$D$2:$D$501,MATCH(391,'근조 화환'!$G$2:$G$501,0))&amp;"")</f>
        <v/>
      </c>
      <c r="K394" s="16">
        <f>IF(391&gt;$I$1,"",INDEX('근조 화환'!$E$2:$E$501,MATCH(391,'근조 화환'!$G$2:$G$501,0))&amp;"")</f>
        <v/>
      </c>
    </row>
    <row r="395">
      <c r="A395" s="16">
        <f>IF(392&lt;=$F$1,392,"")</f>
        <v/>
      </c>
      <c r="B395" s="16">
        <f>IF($A395="","",INDEX('부의금 입력'!$B$2:$B$1001,MATCH($A395,'부의금 입력'!$H$2:$H$1001,0))&amp;"")</f>
        <v/>
      </c>
      <c r="C395" s="18">
        <f>IF($A395="","",INDEX('부의금 입력'!$C$2:$C$1001,MATCH($A395,'부의금 입력'!$H$2:$H$1001,0)))</f>
        <v/>
      </c>
      <c r="D395" s="16">
        <f>IF($A395="","",INDEX('부의금 입력'!$D$2:$D$1001,MATCH($A395,'부의금 입력'!$H$2:$H$1001,0))&amp;"")</f>
        <v/>
      </c>
      <c r="E395" s="16">
        <f>IF($A395="","",INDEX('부의금 입력'!$E$2:$E$1001,MATCH($A395,'부의금 입력'!$H$2:$H$1001,0))&amp;"")</f>
        <v/>
      </c>
      <c r="H395" s="16">
        <f>IF(392&gt;$I$1,"",INDEX('근조 화환'!$B$2:$B$501,MATCH(392,'근조 화환'!$G$2:$G$501,0))&amp;"")</f>
        <v/>
      </c>
      <c r="I395" s="16">
        <f>IF(392&gt;$I$1,"",INDEX('근조 화환'!$C$2:$C$501,MATCH(392,'근조 화환'!$G$2:$G$501,0))&amp;"")</f>
        <v/>
      </c>
      <c r="J395" s="16">
        <f>IF(392&gt;$I$1,"",INDEX('근조 화환'!$D$2:$D$501,MATCH(392,'근조 화환'!$G$2:$G$501,0))&amp;"")</f>
        <v/>
      </c>
      <c r="K395" s="16">
        <f>IF(392&gt;$I$1,"",INDEX('근조 화환'!$E$2:$E$501,MATCH(392,'근조 화환'!$G$2:$G$501,0))&amp;"")</f>
        <v/>
      </c>
    </row>
    <row r="396">
      <c r="A396" s="16">
        <f>IF(393&lt;=$F$1,393,"")</f>
        <v/>
      </c>
      <c r="B396" s="16">
        <f>IF($A396="","",INDEX('부의금 입력'!$B$2:$B$1001,MATCH($A396,'부의금 입력'!$H$2:$H$1001,0))&amp;"")</f>
        <v/>
      </c>
      <c r="C396" s="18">
        <f>IF($A396="","",INDEX('부의금 입력'!$C$2:$C$1001,MATCH($A396,'부의금 입력'!$H$2:$H$1001,0)))</f>
        <v/>
      </c>
      <c r="D396" s="16">
        <f>IF($A396="","",INDEX('부의금 입력'!$D$2:$D$1001,MATCH($A396,'부의금 입력'!$H$2:$H$1001,0))&amp;"")</f>
        <v/>
      </c>
      <c r="E396" s="16">
        <f>IF($A396="","",INDEX('부의금 입력'!$E$2:$E$1001,MATCH($A396,'부의금 입력'!$H$2:$H$1001,0))&amp;"")</f>
        <v/>
      </c>
      <c r="H396" s="16">
        <f>IF(393&gt;$I$1,"",INDEX('근조 화환'!$B$2:$B$501,MATCH(393,'근조 화환'!$G$2:$G$501,0))&amp;"")</f>
        <v/>
      </c>
      <c r="I396" s="16">
        <f>IF(393&gt;$I$1,"",INDEX('근조 화환'!$C$2:$C$501,MATCH(393,'근조 화환'!$G$2:$G$501,0))&amp;"")</f>
        <v/>
      </c>
      <c r="J396" s="16">
        <f>IF(393&gt;$I$1,"",INDEX('근조 화환'!$D$2:$D$501,MATCH(393,'근조 화환'!$G$2:$G$501,0))&amp;"")</f>
        <v/>
      </c>
      <c r="K396" s="16">
        <f>IF(393&gt;$I$1,"",INDEX('근조 화환'!$E$2:$E$501,MATCH(393,'근조 화환'!$G$2:$G$501,0))&amp;"")</f>
        <v/>
      </c>
    </row>
    <row r="397">
      <c r="A397" s="16">
        <f>IF(394&lt;=$F$1,394,"")</f>
        <v/>
      </c>
      <c r="B397" s="16">
        <f>IF($A397="","",INDEX('부의금 입력'!$B$2:$B$1001,MATCH($A397,'부의금 입력'!$H$2:$H$1001,0))&amp;"")</f>
        <v/>
      </c>
      <c r="C397" s="18">
        <f>IF($A397="","",INDEX('부의금 입력'!$C$2:$C$1001,MATCH($A397,'부의금 입력'!$H$2:$H$1001,0)))</f>
        <v/>
      </c>
      <c r="D397" s="16">
        <f>IF($A397="","",INDEX('부의금 입력'!$D$2:$D$1001,MATCH($A397,'부의금 입력'!$H$2:$H$1001,0))&amp;"")</f>
        <v/>
      </c>
      <c r="E397" s="16">
        <f>IF($A397="","",INDEX('부의금 입력'!$E$2:$E$1001,MATCH($A397,'부의금 입력'!$H$2:$H$1001,0))&amp;"")</f>
        <v/>
      </c>
      <c r="H397" s="16">
        <f>IF(394&gt;$I$1,"",INDEX('근조 화환'!$B$2:$B$501,MATCH(394,'근조 화환'!$G$2:$G$501,0))&amp;"")</f>
        <v/>
      </c>
      <c r="I397" s="16">
        <f>IF(394&gt;$I$1,"",INDEX('근조 화환'!$C$2:$C$501,MATCH(394,'근조 화환'!$G$2:$G$501,0))&amp;"")</f>
        <v/>
      </c>
      <c r="J397" s="16">
        <f>IF(394&gt;$I$1,"",INDEX('근조 화환'!$D$2:$D$501,MATCH(394,'근조 화환'!$G$2:$G$501,0))&amp;"")</f>
        <v/>
      </c>
      <c r="K397" s="16">
        <f>IF(394&gt;$I$1,"",INDEX('근조 화환'!$E$2:$E$501,MATCH(394,'근조 화환'!$G$2:$G$501,0))&amp;"")</f>
        <v/>
      </c>
    </row>
    <row r="398">
      <c r="A398" s="16">
        <f>IF(395&lt;=$F$1,395,"")</f>
        <v/>
      </c>
      <c r="B398" s="16">
        <f>IF($A398="","",INDEX('부의금 입력'!$B$2:$B$1001,MATCH($A398,'부의금 입력'!$H$2:$H$1001,0))&amp;"")</f>
        <v/>
      </c>
      <c r="C398" s="18">
        <f>IF($A398="","",INDEX('부의금 입력'!$C$2:$C$1001,MATCH($A398,'부의금 입력'!$H$2:$H$1001,0)))</f>
        <v/>
      </c>
      <c r="D398" s="16">
        <f>IF($A398="","",INDEX('부의금 입력'!$D$2:$D$1001,MATCH($A398,'부의금 입력'!$H$2:$H$1001,0))&amp;"")</f>
        <v/>
      </c>
      <c r="E398" s="16">
        <f>IF($A398="","",INDEX('부의금 입력'!$E$2:$E$1001,MATCH($A398,'부의금 입력'!$H$2:$H$1001,0))&amp;"")</f>
        <v/>
      </c>
      <c r="H398" s="16">
        <f>IF(395&gt;$I$1,"",INDEX('근조 화환'!$B$2:$B$501,MATCH(395,'근조 화환'!$G$2:$G$501,0))&amp;"")</f>
        <v/>
      </c>
      <c r="I398" s="16">
        <f>IF(395&gt;$I$1,"",INDEX('근조 화환'!$C$2:$C$501,MATCH(395,'근조 화환'!$G$2:$G$501,0))&amp;"")</f>
        <v/>
      </c>
      <c r="J398" s="16">
        <f>IF(395&gt;$I$1,"",INDEX('근조 화환'!$D$2:$D$501,MATCH(395,'근조 화환'!$G$2:$G$501,0))&amp;"")</f>
        <v/>
      </c>
      <c r="K398" s="16">
        <f>IF(395&gt;$I$1,"",INDEX('근조 화환'!$E$2:$E$501,MATCH(395,'근조 화환'!$G$2:$G$501,0))&amp;"")</f>
        <v/>
      </c>
    </row>
    <row r="399">
      <c r="A399" s="16">
        <f>IF(396&lt;=$F$1,396,"")</f>
        <v/>
      </c>
      <c r="B399" s="16">
        <f>IF($A399="","",INDEX('부의금 입력'!$B$2:$B$1001,MATCH($A399,'부의금 입력'!$H$2:$H$1001,0))&amp;"")</f>
        <v/>
      </c>
      <c r="C399" s="18">
        <f>IF($A399="","",INDEX('부의금 입력'!$C$2:$C$1001,MATCH($A399,'부의금 입력'!$H$2:$H$1001,0)))</f>
        <v/>
      </c>
      <c r="D399" s="16">
        <f>IF($A399="","",INDEX('부의금 입력'!$D$2:$D$1001,MATCH($A399,'부의금 입력'!$H$2:$H$1001,0))&amp;"")</f>
        <v/>
      </c>
      <c r="E399" s="16">
        <f>IF($A399="","",INDEX('부의금 입력'!$E$2:$E$1001,MATCH($A399,'부의금 입력'!$H$2:$H$1001,0))&amp;"")</f>
        <v/>
      </c>
      <c r="H399" s="16">
        <f>IF(396&gt;$I$1,"",INDEX('근조 화환'!$B$2:$B$501,MATCH(396,'근조 화환'!$G$2:$G$501,0))&amp;"")</f>
        <v/>
      </c>
      <c r="I399" s="16">
        <f>IF(396&gt;$I$1,"",INDEX('근조 화환'!$C$2:$C$501,MATCH(396,'근조 화환'!$G$2:$G$501,0))&amp;"")</f>
        <v/>
      </c>
      <c r="J399" s="16">
        <f>IF(396&gt;$I$1,"",INDEX('근조 화환'!$D$2:$D$501,MATCH(396,'근조 화환'!$G$2:$G$501,0))&amp;"")</f>
        <v/>
      </c>
      <c r="K399" s="16">
        <f>IF(396&gt;$I$1,"",INDEX('근조 화환'!$E$2:$E$501,MATCH(396,'근조 화환'!$G$2:$G$501,0))&amp;"")</f>
        <v/>
      </c>
    </row>
    <row r="400">
      <c r="A400" s="16">
        <f>IF(397&lt;=$F$1,397,"")</f>
        <v/>
      </c>
      <c r="B400" s="16">
        <f>IF($A400="","",INDEX('부의금 입력'!$B$2:$B$1001,MATCH($A400,'부의금 입력'!$H$2:$H$1001,0))&amp;"")</f>
        <v/>
      </c>
      <c r="C400" s="18">
        <f>IF($A400="","",INDEX('부의금 입력'!$C$2:$C$1001,MATCH($A400,'부의금 입력'!$H$2:$H$1001,0)))</f>
        <v/>
      </c>
      <c r="D400" s="16">
        <f>IF($A400="","",INDEX('부의금 입력'!$D$2:$D$1001,MATCH($A400,'부의금 입력'!$H$2:$H$1001,0))&amp;"")</f>
        <v/>
      </c>
      <c r="E400" s="16">
        <f>IF($A400="","",INDEX('부의금 입력'!$E$2:$E$1001,MATCH($A400,'부의금 입력'!$H$2:$H$1001,0))&amp;"")</f>
        <v/>
      </c>
      <c r="H400" s="16">
        <f>IF(397&gt;$I$1,"",INDEX('근조 화환'!$B$2:$B$501,MATCH(397,'근조 화환'!$G$2:$G$501,0))&amp;"")</f>
        <v/>
      </c>
      <c r="I400" s="16">
        <f>IF(397&gt;$I$1,"",INDEX('근조 화환'!$C$2:$C$501,MATCH(397,'근조 화환'!$G$2:$G$501,0))&amp;"")</f>
        <v/>
      </c>
      <c r="J400" s="16">
        <f>IF(397&gt;$I$1,"",INDEX('근조 화환'!$D$2:$D$501,MATCH(397,'근조 화환'!$G$2:$G$501,0))&amp;"")</f>
        <v/>
      </c>
      <c r="K400" s="16">
        <f>IF(397&gt;$I$1,"",INDEX('근조 화환'!$E$2:$E$501,MATCH(397,'근조 화환'!$G$2:$G$501,0))&amp;"")</f>
        <v/>
      </c>
    </row>
    <row r="401">
      <c r="A401" s="16">
        <f>IF(398&lt;=$F$1,398,"")</f>
        <v/>
      </c>
      <c r="B401" s="16">
        <f>IF($A401="","",INDEX('부의금 입력'!$B$2:$B$1001,MATCH($A401,'부의금 입력'!$H$2:$H$1001,0))&amp;"")</f>
        <v/>
      </c>
      <c r="C401" s="18">
        <f>IF($A401="","",INDEX('부의금 입력'!$C$2:$C$1001,MATCH($A401,'부의금 입력'!$H$2:$H$1001,0)))</f>
        <v/>
      </c>
      <c r="D401" s="16">
        <f>IF($A401="","",INDEX('부의금 입력'!$D$2:$D$1001,MATCH($A401,'부의금 입력'!$H$2:$H$1001,0))&amp;"")</f>
        <v/>
      </c>
      <c r="E401" s="16">
        <f>IF($A401="","",INDEX('부의금 입력'!$E$2:$E$1001,MATCH($A401,'부의금 입력'!$H$2:$H$1001,0))&amp;"")</f>
        <v/>
      </c>
      <c r="H401" s="16">
        <f>IF(398&gt;$I$1,"",INDEX('근조 화환'!$B$2:$B$501,MATCH(398,'근조 화환'!$G$2:$G$501,0))&amp;"")</f>
        <v/>
      </c>
      <c r="I401" s="16">
        <f>IF(398&gt;$I$1,"",INDEX('근조 화환'!$C$2:$C$501,MATCH(398,'근조 화환'!$G$2:$G$501,0))&amp;"")</f>
        <v/>
      </c>
      <c r="J401" s="16">
        <f>IF(398&gt;$I$1,"",INDEX('근조 화환'!$D$2:$D$501,MATCH(398,'근조 화환'!$G$2:$G$501,0))&amp;"")</f>
        <v/>
      </c>
      <c r="K401" s="16">
        <f>IF(398&gt;$I$1,"",INDEX('근조 화환'!$E$2:$E$501,MATCH(398,'근조 화환'!$G$2:$G$501,0))&amp;"")</f>
        <v/>
      </c>
    </row>
    <row r="402">
      <c r="A402" s="16">
        <f>IF(399&lt;=$F$1,399,"")</f>
        <v/>
      </c>
      <c r="B402" s="16">
        <f>IF($A402="","",INDEX('부의금 입력'!$B$2:$B$1001,MATCH($A402,'부의금 입력'!$H$2:$H$1001,0))&amp;"")</f>
        <v/>
      </c>
      <c r="C402" s="18">
        <f>IF($A402="","",INDEX('부의금 입력'!$C$2:$C$1001,MATCH($A402,'부의금 입력'!$H$2:$H$1001,0)))</f>
        <v/>
      </c>
      <c r="D402" s="16">
        <f>IF($A402="","",INDEX('부의금 입력'!$D$2:$D$1001,MATCH($A402,'부의금 입력'!$H$2:$H$1001,0))&amp;"")</f>
        <v/>
      </c>
      <c r="E402" s="16">
        <f>IF($A402="","",INDEX('부의금 입력'!$E$2:$E$1001,MATCH($A402,'부의금 입력'!$H$2:$H$1001,0))&amp;"")</f>
        <v/>
      </c>
      <c r="H402" s="16">
        <f>IF(399&gt;$I$1,"",INDEX('근조 화환'!$B$2:$B$501,MATCH(399,'근조 화환'!$G$2:$G$501,0))&amp;"")</f>
        <v/>
      </c>
      <c r="I402" s="16">
        <f>IF(399&gt;$I$1,"",INDEX('근조 화환'!$C$2:$C$501,MATCH(399,'근조 화환'!$G$2:$G$501,0))&amp;"")</f>
        <v/>
      </c>
      <c r="J402" s="16">
        <f>IF(399&gt;$I$1,"",INDEX('근조 화환'!$D$2:$D$501,MATCH(399,'근조 화환'!$G$2:$G$501,0))&amp;"")</f>
        <v/>
      </c>
      <c r="K402" s="16">
        <f>IF(399&gt;$I$1,"",INDEX('근조 화환'!$E$2:$E$501,MATCH(399,'근조 화환'!$G$2:$G$501,0))&amp;"")</f>
        <v/>
      </c>
    </row>
    <row r="403">
      <c r="A403" s="16">
        <f>IF(400&lt;=$F$1,400,"")</f>
        <v/>
      </c>
      <c r="B403" s="16">
        <f>IF($A403="","",INDEX('부의금 입력'!$B$2:$B$1001,MATCH($A403,'부의금 입력'!$H$2:$H$1001,0))&amp;"")</f>
        <v/>
      </c>
      <c r="C403" s="18">
        <f>IF($A403="","",INDEX('부의금 입력'!$C$2:$C$1001,MATCH($A403,'부의금 입력'!$H$2:$H$1001,0)))</f>
        <v/>
      </c>
      <c r="D403" s="16">
        <f>IF($A403="","",INDEX('부의금 입력'!$D$2:$D$1001,MATCH($A403,'부의금 입력'!$H$2:$H$1001,0))&amp;"")</f>
        <v/>
      </c>
      <c r="E403" s="16">
        <f>IF($A403="","",INDEX('부의금 입력'!$E$2:$E$1001,MATCH($A403,'부의금 입력'!$H$2:$H$1001,0))&amp;"")</f>
        <v/>
      </c>
      <c r="H403" s="16">
        <f>IF(400&gt;$I$1,"",INDEX('근조 화환'!$B$2:$B$501,MATCH(400,'근조 화환'!$G$2:$G$501,0))&amp;"")</f>
        <v/>
      </c>
      <c r="I403" s="16">
        <f>IF(400&gt;$I$1,"",INDEX('근조 화환'!$C$2:$C$501,MATCH(400,'근조 화환'!$G$2:$G$501,0))&amp;"")</f>
        <v/>
      </c>
      <c r="J403" s="16">
        <f>IF(400&gt;$I$1,"",INDEX('근조 화환'!$D$2:$D$501,MATCH(400,'근조 화환'!$G$2:$G$501,0))&amp;"")</f>
        <v/>
      </c>
      <c r="K403" s="16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6" t="inlineStr">
        <is>
          <t>조화·물품 통계</t>
        </is>
      </c>
    </row>
    <row r="4">
      <c r="A4" s="15" t="inlineStr">
        <is>
          <t>종류</t>
        </is>
      </c>
      <c r="B4" s="15" t="inlineStr">
        <is>
          <t>개수</t>
        </is>
      </c>
      <c r="C4" s="15" t="inlineStr">
        <is>
          <t>비중</t>
        </is>
      </c>
      <c r="E4" s="15" t="inlineStr">
        <is>
          <t>받은 가족</t>
        </is>
      </c>
      <c r="F4" s="15" t="inlineStr">
        <is>
          <t>근조화환</t>
        </is>
      </c>
      <c r="G4" s="15" t="inlineStr">
        <is>
          <t>근조 바구니</t>
        </is>
      </c>
      <c r="H4" s="15" t="inlineStr">
        <is>
          <t>근조기</t>
        </is>
      </c>
      <c r="I4" s="15" t="inlineStr">
        <is>
          <t>쌀화환</t>
        </is>
      </c>
      <c r="J4" s="15" t="inlineStr">
        <is>
          <t>기타</t>
        </is>
      </c>
      <c r="K4" s="15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7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7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7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7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7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7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5" t="inlineStr">
        <is>
          <t>받은 가족</t>
        </is>
      </c>
      <c r="C1" s="8" t="inlineStr">
        <is>
          <t>부의금·화환을 받는 가족 이름을 적으세요. 여기 적은 이름이 드롭다운과 요약에 나옵니다.</t>
        </is>
      </c>
    </row>
    <row r="2">
      <c r="A2" s="38" t="n"/>
    </row>
    <row r="3">
      <c r="A3" s="38" t="n"/>
    </row>
    <row r="4">
      <c r="A4" s="38" t="n"/>
    </row>
    <row r="5">
      <c r="A5" s="38" t="n"/>
    </row>
    <row r="6">
      <c r="A6" s="38" t="n"/>
    </row>
    <row r="7">
      <c r="A7" s="38" t="n"/>
    </row>
    <row r="8">
      <c r="A8" s="38" t="n"/>
    </row>
    <row r="9">
      <c r="A9" s="38" t="n"/>
    </row>
    <row r="10">
      <c r="A10" s="38" t="n"/>
    </row>
    <row r="11">
      <c r="A11" s="38" t="n"/>
    </row>
    <row r="12">
      <c r="A12" s="38" t="n"/>
    </row>
    <row r="13">
      <c r="A13" s="38" t="n"/>
    </row>
    <row r="14">
      <c r="A14" s="38" t="n"/>
    </row>
    <row r="15">
      <c r="A15" s="38" t="n"/>
    </row>
    <row r="16">
      <c r="A16" s="38" t="n"/>
    </row>
    <row r="17">
      <c r="A17" s="38" t="n"/>
    </row>
    <row r="18">
      <c r="A18" s="38" t="n"/>
    </row>
    <row r="19">
      <c r="A19" s="38" t="n"/>
    </row>
    <row r="20">
      <c r="A20" s="38" t="n"/>
    </row>
    <row r="21">
      <c r="A21" s="3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5" t="inlineStr">
        <is>
          <t>받은 가족</t>
        </is>
      </c>
      <c r="B1" s="15" t="inlineStr">
        <is>
          <t>이름</t>
        </is>
      </c>
      <c r="C1" s="15" t="inlineStr">
        <is>
          <t>금액</t>
        </is>
      </c>
      <c r="D1" s="15" t="inlineStr">
        <is>
          <t>소속·관계</t>
        </is>
      </c>
      <c r="E1" s="15" t="inlineStr">
        <is>
          <t>메모</t>
        </is>
      </c>
      <c r="F1" s="39" t="inlineStr">
        <is>
          <t>확인 필요</t>
        </is>
      </c>
      <c r="G1" s="39" t="inlineStr">
        <is>
          <t>일차 (자동)</t>
        </is>
      </c>
      <c r="H1" s="39" t="inlineStr">
        <is>
          <t>가족별 순번</t>
        </is>
      </c>
      <c r="I1" s="39" t="inlineStr">
        <is>
          <t>소계 번호</t>
        </is>
      </c>
      <c r="J1" s="39" t="inlineStr">
        <is>
          <t>확인 표시</t>
        </is>
      </c>
    </row>
    <row r="2">
      <c r="A2" s="38" t="n"/>
      <c r="B2" s="38" t="n"/>
      <c r="C2" s="21" t="n"/>
      <c r="D2" s="38" t="n"/>
      <c r="E2" s="38" t="n"/>
      <c r="F2" s="16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22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8" t="n"/>
      <c r="B3" s="38" t="n"/>
      <c r="C3" s="21" t="n"/>
      <c r="D3" s="38" t="n"/>
      <c r="E3" s="38" t="n"/>
      <c r="F3" s="16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22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8" t="n"/>
      <c r="B4" s="38" t="n"/>
      <c r="C4" s="21" t="n"/>
      <c r="D4" s="38" t="n"/>
      <c r="E4" s="38" t="n"/>
      <c r="F4" s="16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22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8" t="n"/>
      <c r="B5" s="38" t="n"/>
      <c r="C5" s="21" t="n"/>
      <c r="D5" s="38" t="n"/>
      <c r="E5" s="38" t="n"/>
      <c r="F5" s="16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22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8" t="n"/>
      <c r="B6" s="38" t="n"/>
      <c r="C6" s="21" t="n"/>
      <c r="D6" s="38" t="n"/>
      <c r="E6" s="38" t="n"/>
      <c r="F6" s="16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22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8" t="n"/>
      <c r="B7" s="38" t="n"/>
      <c r="C7" s="21" t="n"/>
      <c r="D7" s="38" t="n"/>
      <c r="E7" s="38" t="n"/>
      <c r="F7" s="16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22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8" t="n"/>
      <c r="B8" s="38" t="n"/>
      <c r="C8" s="21" t="n"/>
      <c r="D8" s="38" t="n"/>
      <c r="E8" s="38" t="n"/>
      <c r="F8" s="16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22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8" t="n"/>
      <c r="B9" s="38" t="n"/>
      <c r="C9" s="21" t="n"/>
      <c r="D9" s="38" t="n"/>
      <c r="E9" s="38" t="n"/>
      <c r="F9" s="16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22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8" t="n"/>
      <c r="B10" s="38" t="n"/>
      <c r="C10" s="21" t="n"/>
      <c r="D10" s="38" t="n"/>
      <c r="E10" s="38" t="n"/>
      <c r="F10" s="16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22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8" t="n"/>
      <c r="B11" s="38" t="n"/>
      <c r="C11" s="21" t="n"/>
      <c r="D11" s="38" t="n"/>
      <c r="E11" s="38" t="n"/>
      <c r="F11" s="16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22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8" t="n"/>
      <c r="B12" s="38" t="n"/>
      <c r="C12" s="21" t="n"/>
      <c r="D12" s="38" t="n"/>
      <c r="E12" s="38" t="n"/>
      <c r="F12" s="16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22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8" t="n"/>
      <c r="B13" s="38" t="n"/>
      <c r="C13" s="21" t="n"/>
      <c r="D13" s="38" t="n"/>
      <c r="E13" s="38" t="n"/>
      <c r="F13" s="16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22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8" t="n"/>
      <c r="B14" s="38" t="n"/>
      <c r="C14" s="21" t="n"/>
      <c r="D14" s="38" t="n"/>
      <c r="E14" s="38" t="n"/>
      <c r="F14" s="16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22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8" t="n"/>
      <c r="B15" s="38" t="n"/>
      <c r="C15" s="21" t="n"/>
      <c r="D15" s="38" t="n"/>
      <c r="E15" s="38" t="n"/>
      <c r="F15" s="16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22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8" t="n"/>
      <c r="B16" s="38" t="n"/>
      <c r="C16" s="21" t="n"/>
      <c r="D16" s="38" t="n"/>
      <c r="E16" s="38" t="n"/>
      <c r="F16" s="16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22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8" t="n"/>
      <c r="B17" s="38" t="n"/>
      <c r="C17" s="21" t="n"/>
      <c r="D17" s="38" t="n"/>
      <c r="E17" s="38" t="n"/>
      <c r="F17" s="16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22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8" t="n"/>
      <c r="B18" s="38" t="n"/>
      <c r="C18" s="21" t="n"/>
      <c r="D18" s="38" t="n"/>
      <c r="E18" s="38" t="n"/>
      <c r="F18" s="16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22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8" t="n"/>
      <c r="B19" s="38" t="n"/>
      <c r="C19" s="21" t="n"/>
      <c r="D19" s="38" t="n"/>
      <c r="E19" s="38" t="n"/>
      <c r="F19" s="16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22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8" t="n"/>
      <c r="B20" s="38" t="n"/>
      <c r="C20" s="21" t="n"/>
      <c r="D20" s="38" t="n"/>
      <c r="E20" s="38" t="n"/>
      <c r="F20" s="16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22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8" t="n"/>
      <c r="B21" s="38" t="n"/>
      <c r="C21" s="21" t="n"/>
      <c r="D21" s="38" t="n"/>
      <c r="E21" s="38" t="n"/>
      <c r="F21" s="16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22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8" t="n"/>
      <c r="B22" s="38" t="n"/>
      <c r="C22" s="21" t="n"/>
      <c r="D22" s="38" t="n"/>
      <c r="E22" s="38" t="n"/>
      <c r="F22" s="16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22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8" t="n"/>
      <c r="B23" s="38" t="n"/>
      <c r="C23" s="21" t="n"/>
      <c r="D23" s="38" t="n"/>
      <c r="E23" s="38" t="n"/>
      <c r="F23" s="16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22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8" t="n"/>
      <c r="B24" s="38" t="n"/>
      <c r="C24" s="21" t="n"/>
      <c r="D24" s="38" t="n"/>
      <c r="E24" s="38" t="n"/>
      <c r="F24" s="16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22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8" t="n"/>
      <c r="B25" s="38" t="n"/>
      <c r="C25" s="21" t="n"/>
      <c r="D25" s="38" t="n"/>
      <c r="E25" s="38" t="n"/>
      <c r="F25" s="16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22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8" t="n"/>
      <c r="B26" s="38" t="n"/>
      <c r="C26" s="21" t="n"/>
      <c r="D26" s="38" t="n"/>
      <c r="E26" s="38" t="n"/>
      <c r="F26" s="16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22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8" t="n"/>
      <c r="B27" s="38" t="n"/>
      <c r="C27" s="21" t="n"/>
      <c r="D27" s="38" t="n"/>
      <c r="E27" s="38" t="n"/>
      <c r="F27" s="16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22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8" t="n"/>
      <c r="B28" s="38" t="n"/>
      <c r="C28" s="21" t="n"/>
      <c r="D28" s="38" t="n"/>
      <c r="E28" s="38" t="n"/>
      <c r="F28" s="16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22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8" t="n"/>
      <c r="B29" s="38" t="n"/>
      <c r="C29" s="21" t="n"/>
      <c r="D29" s="38" t="n"/>
      <c r="E29" s="38" t="n"/>
      <c r="F29" s="16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22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8" t="n"/>
      <c r="B30" s="38" t="n"/>
      <c r="C30" s="21" t="n"/>
      <c r="D30" s="38" t="n"/>
      <c r="E30" s="38" t="n"/>
      <c r="F30" s="16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22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8" t="n"/>
      <c r="B31" s="38" t="n"/>
      <c r="C31" s="21" t="n"/>
      <c r="D31" s="38" t="n"/>
      <c r="E31" s="38" t="n"/>
      <c r="F31" s="16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22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8" t="n"/>
      <c r="B32" s="38" t="n"/>
      <c r="C32" s="21" t="n"/>
      <c r="D32" s="38" t="n"/>
      <c r="E32" s="38" t="n"/>
      <c r="F32" s="16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22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8" t="n"/>
      <c r="B33" s="38" t="n"/>
      <c r="C33" s="21" t="n"/>
      <c r="D33" s="38" t="n"/>
      <c r="E33" s="38" t="n"/>
      <c r="F33" s="16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22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8" t="n"/>
      <c r="B34" s="38" t="n"/>
      <c r="C34" s="21" t="n"/>
      <c r="D34" s="38" t="n"/>
      <c r="E34" s="38" t="n"/>
      <c r="F34" s="16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22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8" t="n"/>
      <c r="B35" s="38" t="n"/>
      <c r="C35" s="21" t="n"/>
      <c r="D35" s="38" t="n"/>
      <c r="E35" s="38" t="n"/>
      <c r="F35" s="16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22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8" t="n"/>
      <c r="B36" s="38" t="n"/>
      <c r="C36" s="21" t="n"/>
      <c r="D36" s="38" t="n"/>
      <c r="E36" s="38" t="n"/>
      <c r="F36" s="16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22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8" t="n"/>
      <c r="B37" s="38" t="n"/>
      <c r="C37" s="21" t="n"/>
      <c r="D37" s="38" t="n"/>
      <c r="E37" s="38" t="n"/>
      <c r="F37" s="16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22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8" t="n"/>
      <c r="B38" s="38" t="n"/>
      <c r="C38" s="21" t="n"/>
      <c r="D38" s="38" t="n"/>
      <c r="E38" s="38" t="n"/>
      <c r="F38" s="16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22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8" t="n"/>
      <c r="B39" s="38" t="n"/>
      <c r="C39" s="21" t="n"/>
      <c r="D39" s="38" t="n"/>
      <c r="E39" s="38" t="n"/>
      <c r="F39" s="16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22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8" t="n"/>
      <c r="B40" s="38" t="n"/>
      <c r="C40" s="21" t="n"/>
      <c r="D40" s="38" t="n"/>
      <c r="E40" s="38" t="n"/>
      <c r="F40" s="16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22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8" t="n"/>
      <c r="B41" s="38" t="n"/>
      <c r="C41" s="21" t="n"/>
      <c r="D41" s="38" t="n"/>
      <c r="E41" s="38" t="n"/>
      <c r="F41" s="16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22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8" t="n"/>
      <c r="B42" s="38" t="n"/>
      <c r="C42" s="21" t="n"/>
      <c r="D42" s="38" t="n"/>
      <c r="E42" s="38" t="n"/>
      <c r="F42" s="16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22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8" t="n"/>
      <c r="B43" s="38" t="n"/>
      <c r="C43" s="21" t="n"/>
      <c r="D43" s="38" t="n"/>
      <c r="E43" s="38" t="n"/>
      <c r="F43" s="16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22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8" t="n"/>
      <c r="B44" s="38" t="n"/>
      <c r="C44" s="21" t="n"/>
      <c r="D44" s="38" t="n"/>
      <c r="E44" s="38" t="n"/>
      <c r="F44" s="16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22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8" t="n"/>
      <c r="B45" s="38" t="n"/>
      <c r="C45" s="21" t="n"/>
      <c r="D45" s="38" t="n"/>
      <c r="E45" s="38" t="n"/>
      <c r="F45" s="16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22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8" t="n"/>
      <c r="B46" s="38" t="n"/>
      <c r="C46" s="21" t="n"/>
      <c r="D46" s="38" t="n"/>
      <c r="E46" s="38" t="n"/>
      <c r="F46" s="16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22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8" t="n"/>
      <c r="B47" s="38" t="n"/>
      <c r="C47" s="21" t="n"/>
      <c r="D47" s="38" t="n"/>
      <c r="E47" s="38" t="n"/>
      <c r="F47" s="16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22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8" t="n"/>
      <c r="B48" s="38" t="n"/>
      <c r="C48" s="21" t="n"/>
      <c r="D48" s="38" t="n"/>
      <c r="E48" s="38" t="n"/>
      <c r="F48" s="16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22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8" t="n"/>
      <c r="B49" s="38" t="n"/>
      <c r="C49" s="21" t="n"/>
      <c r="D49" s="38" t="n"/>
      <c r="E49" s="38" t="n"/>
      <c r="F49" s="16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22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8" t="n"/>
      <c r="B50" s="38" t="n"/>
      <c r="C50" s="21" t="n"/>
      <c r="D50" s="38" t="n"/>
      <c r="E50" s="38" t="n"/>
      <c r="F50" s="16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22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8" t="n"/>
      <c r="B51" s="38" t="n"/>
      <c r="C51" s="21" t="n"/>
      <c r="D51" s="38" t="n"/>
      <c r="E51" s="38" t="n"/>
      <c r="F51" s="16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22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8" t="n"/>
      <c r="B52" s="38" t="n"/>
      <c r="C52" s="21" t="n"/>
      <c r="D52" s="38" t="n"/>
      <c r="E52" s="38" t="n"/>
      <c r="F52" s="16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22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8" t="n"/>
      <c r="B53" s="38" t="n"/>
      <c r="C53" s="21" t="n"/>
      <c r="D53" s="38" t="n"/>
      <c r="E53" s="38" t="n"/>
      <c r="F53" s="16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22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8" t="n"/>
      <c r="B54" s="38" t="n"/>
      <c r="C54" s="21" t="n"/>
      <c r="D54" s="38" t="n"/>
      <c r="E54" s="38" t="n"/>
      <c r="F54" s="16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22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8" t="n"/>
      <c r="B55" s="38" t="n"/>
      <c r="C55" s="21" t="n"/>
      <c r="D55" s="38" t="n"/>
      <c r="E55" s="38" t="n"/>
      <c r="F55" s="16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22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8" t="n"/>
      <c r="B56" s="38" t="n"/>
      <c r="C56" s="21" t="n"/>
      <c r="D56" s="38" t="n"/>
      <c r="E56" s="38" t="n"/>
      <c r="F56" s="16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22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8" t="n"/>
      <c r="B57" s="38" t="n"/>
      <c r="C57" s="21" t="n"/>
      <c r="D57" s="38" t="n"/>
      <c r="E57" s="38" t="n"/>
      <c r="F57" s="16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22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8" t="n"/>
      <c r="B58" s="38" t="n"/>
      <c r="C58" s="21" t="n"/>
      <c r="D58" s="38" t="n"/>
      <c r="E58" s="38" t="n"/>
      <c r="F58" s="16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22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8" t="n"/>
      <c r="B59" s="38" t="n"/>
      <c r="C59" s="21" t="n"/>
      <c r="D59" s="38" t="n"/>
      <c r="E59" s="38" t="n"/>
      <c r="F59" s="16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22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8" t="n"/>
      <c r="B60" s="38" t="n"/>
      <c r="C60" s="21" t="n"/>
      <c r="D60" s="38" t="n"/>
      <c r="E60" s="38" t="n"/>
      <c r="F60" s="16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22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8" t="n"/>
      <c r="B61" s="38" t="n"/>
      <c r="C61" s="21" t="n"/>
      <c r="D61" s="38" t="n"/>
      <c r="E61" s="38" t="n"/>
      <c r="F61" s="16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22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8" t="n"/>
      <c r="B62" s="38" t="n"/>
      <c r="C62" s="21" t="n"/>
      <c r="D62" s="38" t="n"/>
      <c r="E62" s="38" t="n"/>
      <c r="F62" s="16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22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8" t="n"/>
      <c r="B63" s="38" t="n"/>
      <c r="C63" s="21" t="n"/>
      <c r="D63" s="38" t="n"/>
      <c r="E63" s="38" t="n"/>
      <c r="F63" s="16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22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8" t="n"/>
      <c r="B64" s="38" t="n"/>
      <c r="C64" s="21" t="n"/>
      <c r="D64" s="38" t="n"/>
      <c r="E64" s="38" t="n"/>
      <c r="F64" s="16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22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8" t="n"/>
      <c r="B65" s="38" t="n"/>
      <c r="C65" s="21" t="n"/>
      <c r="D65" s="38" t="n"/>
      <c r="E65" s="38" t="n"/>
      <c r="F65" s="16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22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8" t="n"/>
      <c r="B66" s="38" t="n"/>
      <c r="C66" s="21" t="n"/>
      <c r="D66" s="38" t="n"/>
      <c r="E66" s="38" t="n"/>
      <c r="F66" s="16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22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8" t="n"/>
      <c r="B67" s="38" t="n"/>
      <c r="C67" s="21" t="n"/>
      <c r="D67" s="38" t="n"/>
      <c r="E67" s="38" t="n"/>
      <c r="F67" s="16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22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8" t="n"/>
      <c r="B68" s="38" t="n"/>
      <c r="C68" s="21" t="n"/>
      <c r="D68" s="38" t="n"/>
      <c r="E68" s="38" t="n"/>
      <c r="F68" s="16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22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8" t="n"/>
      <c r="B69" s="38" t="n"/>
      <c r="C69" s="21" t="n"/>
      <c r="D69" s="38" t="n"/>
      <c r="E69" s="38" t="n"/>
      <c r="F69" s="16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22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8" t="n"/>
      <c r="B70" s="38" t="n"/>
      <c r="C70" s="21" t="n"/>
      <c r="D70" s="38" t="n"/>
      <c r="E70" s="38" t="n"/>
      <c r="F70" s="16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22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8" t="n"/>
      <c r="B71" s="38" t="n"/>
      <c r="C71" s="21" t="n"/>
      <c r="D71" s="38" t="n"/>
      <c r="E71" s="38" t="n"/>
      <c r="F71" s="16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22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8" t="n"/>
      <c r="B72" s="38" t="n"/>
      <c r="C72" s="21" t="n"/>
      <c r="D72" s="38" t="n"/>
      <c r="E72" s="38" t="n"/>
      <c r="F72" s="16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22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8" t="n"/>
      <c r="B73" s="38" t="n"/>
      <c r="C73" s="21" t="n"/>
      <c r="D73" s="38" t="n"/>
      <c r="E73" s="38" t="n"/>
      <c r="F73" s="16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22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8" t="n"/>
      <c r="B74" s="38" t="n"/>
      <c r="C74" s="21" t="n"/>
      <c r="D74" s="38" t="n"/>
      <c r="E74" s="38" t="n"/>
      <c r="F74" s="16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22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8" t="n"/>
      <c r="B75" s="38" t="n"/>
      <c r="C75" s="21" t="n"/>
      <c r="D75" s="38" t="n"/>
      <c r="E75" s="38" t="n"/>
      <c r="F75" s="16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22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8" t="n"/>
      <c r="B76" s="38" t="n"/>
      <c r="C76" s="21" t="n"/>
      <c r="D76" s="38" t="n"/>
      <c r="E76" s="38" t="n"/>
      <c r="F76" s="16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22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8" t="n"/>
      <c r="B77" s="38" t="n"/>
      <c r="C77" s="21" t="n"/>
      <c r="D77" s="38" t="n"/>
      <c r="E77" s="38" t="n"/>
      <c r="F77" s="16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22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8" t="n"/>
      <c r="B78" s="38" t="n"/>
      <c r="C78" s="21" t="n"/>
      <c r="D78" s="38" t="n"/>
      <c r="E78" s="38" t="n"/>
      <c r="F78" s="16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22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8" t="n"/>
      <c r="B79" s="38" t="n"/>
      <c r="C79" s="21" t="n"/>
      <c r="D79" s="38" t="n"/>
      <c r="E79" s="38" t="n"/>
      <c r="F79" s="16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22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8" t="n"/>
      <c r="B80" s="38" t="n"/>
      <c r="C80" s="21" t="n"/>
      <c r="D80" s="38" t="n"/>
      <c r="E80" s="38" t="n"/>
      <c r="F80" s="16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22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8" t="n"/>
      <c r="B81" s="38" t="n"/>
      <c r="C81" s="21" t="n"/>
      <c r="D81" s="38" t="n"/>
      <c r="E81" s="38" t="n"/>
      <c r="F81" s="16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22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8" t="n"/>
      <c r="B82" s="38" t="n"/>
      <c r="C82" s="21" t="n"/>
      <c r="D82" s="38" t="n"/>
      <c r="E82" s="38" t="n"/>
      <c r="F82" s="16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22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8" t="n"/>
      <c r="B83" s="38" t="n"/>
      <c r="C83" s="21" t="n"/>
      <c r="D83" s="38" t="n"/>
      <c r="E83" s="38" t="n"/>
      <c r="F83" s="16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22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8" t="n"/>
      <c r="B84" s="38" t="n"/>
      <c r="C84" s="21" t="n"/>
      <c r="D84" s="38" t="n"/>
      <c r="E84" s="38" t="n"/>
      <c r="F84" s="16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22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8" t="n"/>
      <c r="B85" s="38" t="n"/>
      <c r="C85" s="21" t="n"/>
      <c r="D85" s="38" t="n"/>
      <c r="E85" s="38" t="n"/>
      <c r="F85" s="16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22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8" t="n"/>
      <c r="B86" s="38" t="n"/>
      <c r="C86" s="21" t="n"/>
      <c r="D86" s="38" t="n"/>
      <c r="E86" s="38" t="n"/>
      <c r="F86" s="16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22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8" t="n"/>
      <c r="B87" s="38" t="n"/>
      <c r="C87" s="21" t="n"/>
      <c r="D87" s="38" t="n"/>
      <c r="E87" s="38" t="n"/>
      <c r="F87" s="16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22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8" t="n"/>
      <c r="B88" s="38" t="n"/>
      <c r="C88" s="21" t="n"/>
      <c r="D88" s="38" t="n"/>
      <c r="E88" s="38" t="n"/>
      <c r="F88" s="16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22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8" t="n"/>
      <c r="B89" s="38" t="n"/>
      <c r="C89" s="21" t="n"/>
      <c r="D89" s="38" t="n"/>
      <c r="E89" s="38" t="n"/>
      <c r="F89" s="16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22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8" t="n"/>
      <c r="B90" s="38" t="n"/>
      <c r="C90" s="21" t="n"/>
      <c r="D90" s="38" t="n"/>
      <c r="E90" s="38" t="n"/>
      <c r="F90" s="16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22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8" t="n"/>
      <c r="B91" s="38" t="n"/>
      <c r="C91" s="21" t="n"/>
      <c r="D91" s="38" t="n"/>
      <c r="E91" s="38" t="n"/>
      <c r="F91" s="16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22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8" t="n"/>
      <c r="B92" s="38" t="n"/>
      <c r="C92" s="21" t="n"/>
      <c r="D92" s="38" t="n"/>
      <c r="E92" s="38" t="n"/>
      <c r="F92" s="16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22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8" t="n"/>
      <c r="B93" s="38" t="n"/>
      <c r="C93" s="21" t="n"/>
      <c r="D93" s="38" t="n"/>
      <c r="E93" s="38" t="n"/>
      <c r="F93" s="16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22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8" t="n"/>
      <c r="B94" s="38" t="n"/>
      <c r="C94" s="21" t="n"/>
      <c r="D94" s="38" t="n"/>
      <c r="E94" s="38" t="n"/>
      <c r="F94" s="16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22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8" t="n"/>
      <c r="B95" s="38" t="n"/>
      <c r="C95" s="21" t="n"/>
      <c r="D95" s="38" t="n"/>
      <c r="E95" s="38" t="n"/>
      <c r="F95" s="16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22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8" t="n"/>
      <c r="B96" s="38" t="n"/>
      <c r="C96" s="21" t="n"/>
      <c r="D96" s="38" t="n"/>
      <c r="E96" s="38" t="n"/>
      <c r="F96" s="16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22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8" t="n"/>
      <c r="B97" s="38" t="n"/>
      <c r="C97" s="21" t="n"/>
      <c r="D97" s="38" t="n"/>
      <c r="E97" s="38" t="n"/>
      <c r="F97" s="16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22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8" t="n"/>
      <c r="B98" s="38" t="n"/>
      <c r="C98" s="21" t="n"/>
      <c r="D98" s="38" t="n"/>
      <c r="E98" s="38" t="n"/>
      <c r="F98" s="16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22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8" t="n"/>
      <c r="B99" s="38" t="n"/>
      <c r="C99" s="21" t="n"/>
      <c r="D99" s="38" t="n"/>
      <c r="E99" s="38" t="n"/>
      <c r="F99" s="16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22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8" t="n"/>
      <c r="B100" s="38" t="n"/>
      <c r="C100" s="21" t="n"/>
      <c r="D100" s="38" t="n"/>
      <c r="E100" s="38" t="n"/>
      <c r="F100" s="16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22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8" t="n"/>
      <c r="B101" s="38" t="n"/>
      <c r="C101" s="21" t="n"/>
      <c r="D101" s="38" t="n"/>
      <c r="E101" s="38" t="n"/>
      <c r="F101" s="16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22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8" t="n"/>
      <c r="B102" s="38" t="n"/>
      <c r="C102" s="21" t="n"/>
      <c r="D102" s="38" t="n"/>
      <c r="E102" s="38" t="n"/>
      <c r="F102" s="16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22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8" t="n"/>
      <c r="B103" s="38" t="n"/>
      <c r="C103" s="21" t="n"/>
      <c r="D103" s="38" t="n"/>
      <c r="E103" s="38" t="n"/>
      <c r="F103" s="16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22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8" t="n"/>
      <c r="B104" s="38" t="n"/>
      <c r="C104" s="21" t="n"/>
      <c r="D104" s="38" t="n"/>
      <c r="E104" s="38" t="n"/>
      <c r="F104" s="16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22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8" t="n"/>
      <c r="B105" s="38" t="n"/>
      <c r="C105" s="21" t="n"/>
      <c r="D105" s="38" t="n"/>
      <c r="E105" s="38" t="n"/>
      <c r="F105" s="16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22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8" t="n"/>
      <c r="B106" s="38" t="n"/>
      <c r="C106" s="21" t="n"/>
      <c r="D106" s="38" t="n"/>
      <c r="E106" s="38" t="n"/>
      <c r="F106" s="16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22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8" t="n"/>
      <c r="B107" s="38" t="n"/>
      <c r="C107" s="21" t="n"/>
      <c r="D107" s="38" t="n"/>
      <c r="E107" s="38" t="n"/>
      <c r="F107" s="16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22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8" t="n"/>
      <c r="B108" s="38" t="n"/>
      <c r="C108" s="21" t="n"/>
      <c r="D108" s="38" t="n"/>
      <c r="E108" s="38" t="n"/>
      <c r="F108" s="16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22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8" t="n"/>
      <c r="B109" s="38" t="n"/>
      <c r="C109" s="21" t="n"/>
      <c r="D109" s="38" t="n"/>
      <c r="E109" s="38" t="n"/>
      <c r="F109" s="16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22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8" t="n"/>
      <c r="B110" s="38" t="n"/>
      <c r="C110" s="21" t="n"/>
      <c r="D110" s="38" t="n"/>
      <c r="E110" s="38" t="n"/>
      <c r="F110" s="16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22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8" t="n"/>
      <c r="B111" s="38" t="n"/>
      <c r="C111" s="21" t="n"/>
      <c r="D111" s="38" t="n"/>
      <c r="E111" s="38" t="n"/>
      <c r="F111" s="16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22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8" t="n"/>
      <c r="B112" s="38" t="n"/>
      <c r="C112" s="21" t="n"/>
      <c r="D112" s="38" t="n"/>
      <c r="E112" s="38" t="n"/>
      <c r="F112" s="16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22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8" t="n"/>
      <c r="B113" s="38" t="n"/>
      <c r="C113" s="21" t="n"/>
      <c r="D113" s="38" t="n"/>
      <c r="E113" s="38" t="n"/>
      <c r="F113" s="16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22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8" t="n"/>
      <c r="B114" s="38" t="n"/>
      <c r="C114" s="21" t="n"/>
      <c r="D114" s="38" t="n"/>
      <c r="E114" s="38" t="n"/>
      <c r="F114" s="16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22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8" t="n"/>
      <c r="B115" s="38" t="n"/>
      <c r="C115" s="21" t="n"/>
      <c r="D115" s="38" t="n"/>
      <c r="E115" s="38" t="n"/>
      <c r="F115" s="16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22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8" t="n"/>
      <c r="B116" s="38" t="n"/>
      <c r="C116" s="21" t="n"/>
      <c r="D116" s="38" t="n"/>
      <c r="E116" s="38" t="n"/>
      <c r="F116" s="16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22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8" t="n"/>
      <c r="B117" s="38" t="n"/>
      <c r="C117" s="21" t="n"/>
      <c r="D117" s="38" t="n"/>
      <c r="E117" s="38" t="n"/>
      <c r="F117" s="16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22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8" t="n"/>
      <c r="B118" s="38" t="n"/>
      <c r="C118" s="21" t="n"/>
      <c r="D118" s="38" t="n"/>
      <c r="E118" s="38" t="n"/>
      <c r="F118" s="16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22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8" t="n"/>
      <c r="B119" s="38" t="n"/>
      <c r="C119" s="21" t="n"/>
      <c r="D119" s="38" t="n"/>
      <c r="E119" s="38" t="n"/>
      <c r="F119" s="16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22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8" t="n"/>
      <c r="B120" s="38" t="n"/>
      <c r="C120" s="21" t="n"/>
      <c r="D120" s="38" t="n"/>
      <c r="E120" s="38" t="n"/>
      <c r="F120" s="16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22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8" t="n"/>
      <c r="B121" s="38" t="n"/>
      <c r="C121" s="21" t="n"/>
      <c r="D121" s="38" t="n"/>
      <c r="E121" s="38" t="n"/>
      <c r="F121" s="16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22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8" t="n"/>
      <c r="B122" s="38" t="n"/>
      <c r="C122" s="21" t="n"/>
      <c r="D122" s="38" t="n"/>
      <c r="E122" s="38" t="n"/>
      <c r="F122" s="16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22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8" t="n"/>
      <c r="B123" s="38" t="n"/>
      <c r="C123" s="21" t="n"/>
      <c r="D123" s="38" t="n"/>
      <c r="E123" s="38" t="n"/>
      <c r="F123" s="16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22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8" t="n"/>
      <c r="B124" s="38" t="n"/>
      <c r="C124" s="21" t="n"/>
      <c r="D124" s="38" t="n"/>
      <c r="E124" s="38" t="n"/>
      <c r="F124" s="16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22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8" t="n"/>
      <c r="B125" s="38" t="n"/>
      <c r="C125" s="21" t="n"/>
      <c r="D125" s="38" t="n"/>
      <c r="E125" s="38" t="n"/>
      <c r="F125" s="16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22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8" t="n"/>
      <c r="B126" s="38" t="n"/>
      <c r="C126" s="21" t="n"/>
      <c r="D126" s="38" t="n"/>
      <c r="E126" s="38" t="n"/>
      <c r="F126" s="16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22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8" t="n"/>
      <c r="B127" s="38" t="n"/>
      <c r="C127" s="21" t="n"/>
      <c r="D127" s="38" t="n"/>
      <c r="E127" s="38" t="n"/>
      <c r="F127" s="16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22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8" t="n"/>
      <c r="B128" s="38" t="n"/>
      <c r="C128" s="21" t="n"/>
      <c r="D128" s="38" t="n"/>
      <c r="E128" s="38" t="n"/>
      <c r="F128" s="16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22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8" t="n"/>
      <c r="B129" s="38" t="n"/>
      <c r="C129" s="21" t="n"/>
      <c r="D129" s="38" t="n"/>
      <c r="E129" s="38" t="n"/>
      <c r="F129" s="16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22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8" t="n"/>
      <c r="B130" s="38" t="n"/>
      <c r="C130" s="21" t="n"/>
      <c r="D130" s="38" t="n"/>
      <c r="E130" s="38" t="n"/>
      <c r="F130" s="16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22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8" t="n"/>
      <c r="B131" s="38" t="n"/>
      <c r="C131" s="21" t="n"/>
      <c r="D131" s="38" t="n"/>
      <c r="E131" s="38" t="n"/>
      <c r="F131" s="16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22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8" t="n"/>
      <c r="B132" s="38" t="n"/>
      <c r="C132" s="21" t="n"/>
      <c r="D132" s="38" t="n"/>
      <c r="E132" s="38" t="n"/>
      <c r="F132" s="16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22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8" t="n"/>
      <c r="B133" s="38" t="n"/>
      <c r="C133" s="21" t="n"/>
      <c r="D133" s="38" t="n"/>
      <c r="E133" s="38" t="n"/>
      <c r="F133" s="16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22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8" t="n"/>
      <c r="B134" s="38" t="n"/>
      <c r="C134" s="21" t="n"/>
      <c r="D134" s="38" t="n"/>
      <c r="E134" s="38" t="n"/>
      <c r="F134" s="16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22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8" t="n"/>
      <c r="B135" s="38" t="n"/>
      <c r="C135" s="21" t="n"/>
      <c r="D135" s="38" t="n"/>
      <c r="E135" s="38" t="n"/>
      <c r="F135" s="16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22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8" t="n"/>
      <c r="B136" s="38" t="n"/>
      <c r="C136" s="21" t="n"/>
      <c r="D136" s="38" t="n"/>
      <c r="E136" s="38" t="n"/>
      <c r="F136" s="16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22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8" t="n"/>
      <c r="B137" s="38" t="n"/>
      <c r="C137" s="21" t="n"/>
      <c r="D137" s="38" t="n"/>
      <c r="E137" s="38" t="n"/>
      <c r="F137" s="16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22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8" t="n"/>
      <c r="B138" s="38" t="n"/>
      <c r="C138" s="21" t="n"/>
      <c r="D138" s="38" t="n"/>
      <c r="E138" s="38" t="n"/>
      <c r="F138" s="16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22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8" t="n"/>
      <c r="B139" s="38" t="n"/>
      <c r="C139" s="21" t="n"/>
      <c r="D139" s="38" t="n"/>
      <c r="E139" s="38" t="n"/>
      <c r="F139" s="16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22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8" t="n"/>
      <c r="B140" s="38" t="n"/>
      <c r="C140" s="21" t="n"/>
      <c r="D140" s="38" t="n"/>
      <c r="E140" s="38" t="n"/>
      <c r="F140" s="16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22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8" t="n"/>
      <c r="B141" s="38" t="n"/>
      <c r="C141" s="21" t="n"/>
      <c r="D141" s="38" t="n"/>
      <c r="E141" s="38" t="n"/>
      <c r="F141" s="16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22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8" t="n"/>
      <c r="B142" s="38" t="n"/>
      <c r="C142" s="21" t="n"/>
      <c r="D142" s="38" t="n"/>
      <c r="E142" s="38" t="n"/>
      <c r="F142" s="16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22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8" t="n"/>
      <c r="B143" s="38" t="n"/>
      <c r="C143" s="21" t="n"/>
      <c r="D143" s="38" t="n"/>
      <c r="E143" s="38" t="n"/>
      <c r="F143" s="16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22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8" t="n"/>
      <c r="B144" s="38" t="n"/>
      <c r="C144" s="21" t="n"/>
      <c r="D144" s="38" t="n"/>
      <c r="E144" s="38" t="n"/>
      <c r="F144" s="16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22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8" t="n"/>
      <c r="B145" s="38" t="n"/>
      <c r="C145" s="21" t="n"/>
      <c r="D145" s="38" t="n"/>
      <c r="E145" s="38" t="n"/>
      <c r="F145" s="16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22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8" t="n"/>
      <c r="B146" s="38" t="n"/>
      <c r="C146" s="21" t="n"/>
      <c r="D146" s="38" t="n"/>
      <c r="E146" s="38" t="n"/>
      <c r="F146" s="16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22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8" t="n"/>
      <c r="B147" s="38" t="n"/>
      <c r="C147" s="21" t="n"/>
      <c r="D147" s="38" t="n"/>
      <c r="E147" s="38" t="n"/>
      <c r="F147" s="16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22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8" t="n"/>
      <c r="B148" s="38" t="n"/>
      <c r="C148" s="21" t="n"/>
      <c r="D148" s="38" t="n"/>
      <c r="E148" s="38" t="n"/>
      <c r="F148" s="16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22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8" t="n"/>
      <c r="B149" s="38" t="n"/>
      <c r="C149" s="21" t="n"/>
      <c r="D149" s="38" t="n"/>
      <c r="E149" s="38" t="n"/>
      <c r="F149" s="16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22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8" t="n"/>
      <c r="B150" s="38" t="n"/>
      <c r="C150" s="21" t="n"/>
      <c r="D150" s="38" t="n"/>
      <c r="E150" s="38" t="n"/>
      <c r="F150" s="16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22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8" t="n"/>
      <c r="B151" s="38" t="n"/>
      <c r="C151" s="21" t="n"/>
      <c r="D151" s="38" t="n"/>
      <c r="E151" s="38" t="n"/>
      <c r="F151" s="16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22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8" t="n"/>
      <c r="B152" s="38" t="n"/>
      <c r="C152" s="21" t="n"/>
      <c r="D152" s="38" t="n"/>
      <c r="E152" s="38" t="n"/>
      <c r="F152" s="16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22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8" t="n"/>
      <c r="B153" s="38" t="n"/>
      <c r="C153" s="21" t="n"/>
      <c r="D153" s="38" t="n"/>
      <c r="E153" s="38" t="n"/>
      <c r="F153" s="16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22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8" t="n"/>
      <c r="B154" s="38" t="n"/>
      <c r="C154" s="21" t="n"/>
      <c r="D154" s="38" t="n"/>
      <c r="E154" s="38" t="n"/>
      <c r="F154" s="16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22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8" t="n"/>
      <c r="B155" s="38" t="n"/>
      <c r="C155" s="21" t="n"/>
      <c r="D155" s="38" t="n"/>
      <c r="E155" s="38" t="n"/>
      <c r="F155" s="16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22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8" t="n"/>
      <c r="B156" s="38" t="n"/>
      <c r="C156" s="21" t="n"/>
      <c r="D156" s="38" t="n"/>
      <c r="E156" s="38" t="n"/>
      <c r="F156" s="16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22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8" t="n"/>
      <c r="B157" s="38" t="n"/>
      <c r="C157" s="21" t="n"/>
      <c r="D157" s="38" t="n"/>
      <c r="E157" s="38" t="n"/>
      <c r="F157" s="16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22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8" t="n"/>
      <c r="B158" s="38" t="n"/>
      <c r="C158" s="21" t="n"/>
      <c r="D158" s="38" t="n"/>
      <c r="E158" s="38" t="n"/>
      <c r="F158" s="16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22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8" t="n"/>
      <c r="B159" s="38" t="n"/>
      <c r="C159" s="21" t="n"/>
      <c r="D159" s="38" t="n"/>
      <c r="E159" s="38" t="n"/>
      <c r="F159" s="16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22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8" t="n"/>
      <c r="B160" s="38" t="n"/>
      <c r="C160" s="21" t="n"/>
      <c r="D160" s="38" t="n"/>
      <c r="E160" s="38" t="n"/>
      <c r="F160" s="16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22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8" t="n"/>
      <c r="B161" s="38" t="n"/>
      <c r="C161" s="21" t="n"/>
      <c r="D161" s="38" t="n"/>
      <c r="E161" s="38" t="n"/>
      <c r="F161" s="16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22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8" t="n"/>
      <c r="B162" s="38" t="n"/>
      <c r="C162" s="21" t="n"/>
      <c r="D162" s="38" t="n"/>
      <c r="E162" s="38" t="n"/>
      <c r="F162" s="16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22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8" t="n"/>
      <c r="B163" s="38" t="n"/>
      <c r="C163" s="21" t="n"/>
      <c r="D163" s="38" t="n"/>
      <c r="E163" s="38" t="n"/>
      <c r="F163" s="16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22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8" t="n"/>
      <c r="B164" s="38" t="n"/>
      <c r="C164" s="21" t="n"/>
      <c r="D164" s="38" t="n"/>
      <c r="E164" s="38" t="n"/>
      <c r="F164" s="16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22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8" t="n"/>
      <c r="B165" s="38" t="n"/>
      <c r="C165" s="21" t="n"/>
      <c r="D165" s="38" t="n"/>
      <c r="E165" s="38" t="n"/>
      <c r="F165" s="16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22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8" t="n"/>
      <c r="B166" s="38" t="n"/>
      <c r="C166" s="21" t="n"/>
      <c r="D166" s="38" t="n"/>
      <c r="E166" s="38" t="n"/>
      <c r="F166" s="16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22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8" t="n"/>
      <c r="B167" s="38" t="n"/>
      <c r="C167" s="21" t="n"/>
      <c r="D167" s="38" t="n"/>
      <c r="E167" s="38" t="n"/>
      <c r="F167" s="16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22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8" t="n"/>
      <c r="B168" s="38" t="n"/>
      <c r="C168" s="21" t="n"/>
      <c r="D168" s="38" t="n"/>
      <c r="E168" s="38" t="n"/>
      <c r="F168" s="16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22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8" t="n"/>
      <c r="B169" s="38" t="n"/>
      <c r="C169" s="21" t="n"/>
      <c r="D169" s="38" t="n"/>
      <c r="E169" s="38" t="n"/>
      <c r="F169" s="16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22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8" t="n"/>
      <c r="B170" s="38" t="n"/>
      <c r="C170" s="21" t="n"/>
      <c r="D170" s="38" t="n"/>
      <c r="E170" s="38" t="n"/>
      <c r="F170" s="16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22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8" t="n"/>
      <c r="B171" s="38" t="n"/>
      <c r="C171" s="21" t="n"/>
      <c r="D171" s="38" t="n"/>
      <c r="E171" s="38" t="n"/>
      <c r="F171" s="16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22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8" t="n"/>
      <c r="B172" s="38" t="n"/>
      <c r="C172" s="21" t="n"/>
      <c r="D172" s="38" t="n"/>
      <c r="E172" s="38" t="n"/>
      <c r="F172" s="16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22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8" t="n"/>
      <c r="B173" s="38" t="n"/>
      <c r="C173" s="21" t="n"/>
      <c r="D173" s="38" t="n"/>
      <c r="E173" s="38" t="n"/>
      <c r="F173" s="16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22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8" t="n"/>
      <c r="B174" s="38" t="n"/>
      <c r="C174" s="21" t="n"/>
      <c r="D174" s="38" t="n"/>
      <c r="E174" s="38" t="n"/>
      <c r="F174" s="16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22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8" t="n"/>
      <c r="B175" s="38" t="n"/>
      <c r="C175" s="21" t="n"/>
      <c r="D175" s="38" t="n"/>
      <c r="E175" s="38" t="n"/>
      <c r="F175" s="16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22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8" t="n"/>
      <c r="B176" s="38" t="n"/>
      <c r="C176" s="21" t="n"/>
      <c r="D176" s="38" t="n"/>
      <c r="E176" s="38" t="n"/>
      <c r="F176" s="16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22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8" t="n"/>
      <c r="B177" s="38" t="n"/>
      <c r="C177" s="21" t="n"/>
      <c r="D177" s="38" t="n"/>
      <c r="E177" s="38" t="n"/>
      <c r="F177" s="16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22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8" t="n"/>
      <c r="B178" s="38" t="n"/>
      <c r="C178" s="21" t="n"/>
      <c r="D178" s="38" t="n"/>
      <c r="E178" s="38" t="n"/>
      <c r="F178" s="16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22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8" t="n"/>
      <c r="B179" s="38" t="n"/>
      <c r="C179" s="21" t="n"/>
      <c r="D179" s="38" t="n"/>
      <c r="E179" s="38" t="n"/>
      <c r="F179" s="16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22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8" t="n"/>
      <c r="B180" s="38" t="n"/>
      <c r="C180" s="21" t="n"/>
      <c r="D180" s="38" t="n"/>
      <c r="E180" s="38" t="n"/>
      <c r="F180" s="16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22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8" t="n"/>
      <c r="B181" s="38" t="n"/>
      <c r="C181" s="21" t="n"/>
      <c r="D181" s="38" t="n"/>
      <c r="E181" s="38" t="n"/>
      <c r="F181" s="16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22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8" t="n"/>
      <c r="B182" s="38" t="n"/>
      <c r="C182" s="21" t="n"/>
      <c r="D182" s="38" t="n"/>
      <c r="E182" s="38" t="n"/>
      <c r="F182" s="16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22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8" t="n"/>
      <c r="B183" s="38" t="n"/>
      <c r="C183" s="21" t="n"/>
      <c r="D183" s="38" t="n"/>
      <c r="E183" s="38" t="n"/>
      <c r="F183" s="16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22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8" t="n"/>
      <c r="B184" s="38" t="n"/>
      <c r="C184" s="21" t="n"/>
      <c r="D184" s="38" t="n"/>
      <c r="E184" s="38" t="n"/>
      <c r="F184" s="16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22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8" t="n"/>
      <c r="B185" s="38" t="n"/>
      <c r="C185" s="21" t="n"/>
      <c r="D185" s="38" t="n"/>
      <c r="E185" s="38" t="n"/>
      <c r="F185" s="16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22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8" t="n"/>
      <c r="B186" s="38" t="n"/>
      <c r="C186" s="21" t="n"/>
      <c r="D186" s="38" t="n"/>
      <c r="E186" s="38" t="n"/>
      <c r="F186" s="16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22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8" t="n"/>
      <c r="B187" s="38" t="n"/>
      <c r="C187" s="21" t="n"/>
      <c r="D187" s="38" t="n"/>
      <c r="E187" s="38" t="n"/>
      <c r="F187" s="16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22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8" t="n"/>
      <c r="B188" s="38" t="n"/>
      <c r="C188" s="21" t="n"/>
      <c r="D188" s="38" t="n"/>
      <c r="E188" s="38" t="n"/>
      <c r="F188" s="16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22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8" t="n"/>
      <c r="B189" s="38" t="n"/>
      <c r="C189" s="21" t="n"/>
      <c r="D189" s="38" t="n"/>
      <c r="E189" s="38" t="n"/>
      <c r="F189" s="16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22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8" t="n"/>
      <c r="B190" s="38" t="n"/>
      <c r="C190" s="21" t="n"/>
      <c r="D190" s="38" t="n"/>
      <c r="E190" s="38" t="n"/>
      <c r="F190" s="16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22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8" t="n"/>
      <c r="B191" s="38" t="n"/>
      <c r="C191" s="21" t="n"/>
      <c r="D191" s="38" t="n"/>
      <c r="E191" s="38" t="n"/>
      <c r="F191" s="16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22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8" t="n"/>
      <c r="B192" s="38" t="n"/>
      <c r="C192" s="21" t="n"/>
      <c r="D192" s="38" t="n"/>
      <c r="E192" s="38" t="n"/>
      <c r="F192" s="16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22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8" t="n"/>
      <c r="B193" s="38" t="n"/>
      <c r="C193" s="21" t="n"/>
      <c r="D193" s="38" t="n"/>
      <c r="E193" s="38" t="n"/>
      <c r="F193" s="16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22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8" t="n"/>
      <c r="B194" s="38" t="n"/>
      <c r="C194" s="21" t="n"/>
      <c r="D194" s="38" t="n"/>
      <c r="E194" s="38" t="n"/>
      <c r="F194" s="16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22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8" t="n"/>
      <c r="B195" s="38" t="n"/>
      <c r="C195" s="21" t="n"/>
      <c r="D195" s="38" t="n"/>
      <c r="E195" s="38" t="n"/>
      <c r="F195" s="16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22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8" t="n"/>
      <c r="B196" s="38" t="n"/>
      <c r="C196" s="21" t="n"/>
      <c r="D196" s="38" t="n"/>
      <c r="E196" s="38" t="n"/>
      <c r="F196" s="16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22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8" t="n"/>
      <c r="B197" s="38" t="n"/>
      <c r="C197" s="21" t="n"/>
      <c r="D197" s="38" t="n"/>
      <c r="E197" s="38" t="n"/>
      <c r="F197" s="16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22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8" t="n"/>
      <c r="B198" s="38" t="n"/>
      <c r="C198" s="21" t="n"/>
      <c r="D198" s="38" t="n"/>
      <c r="E198" s="38" t="n"/>
      <c r="F198" s="16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22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8" t="n"/>
      <c r="B199" s="38" t="n"/>
      <c r="C199" s="21" t="n"/>
      <c r="D199" s="38" t="n"/>
      <c r="E199" s="38" t="n"/>
      <c r="F199" s="16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22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8" t="n"/>
      <c r="B200" s="38" t="n"/>
      <c r="C200" s="21" t="n"/>
      <c r="D200" s="38" t="n"/>
      <c r="E200" s="38" t="n"/>
      <c r="F200" s="16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22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8" t="n"/>
      <c r="B201" s="38" t="n"/>
      <c r="C201" s="21" t="n"/>
      <c r="D201" s="38" t="n"/>
      <c r="E201" s="38" t="n"/>
      <c r="F201" s="16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22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8" t="n"/>
      <c r="B202" s="38" t="n"/>
      <c r="C202" s="21" t="n"/>
      <c r="D202" s="38" t="n"/>
      <c r="E202" s="38" t="n"/>
      <c r="F202" s="16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22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8" t="n"/>
      <c r="B203" s="38" t="n"/>
      <c r="C203" s="21" t="n"/>
      <c r="D203" s="38" t="n"/>
      <c r="E203" s="38" t="n"/>
      <c r="F203" s="16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22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8" t="n"/>
      <c r="B204" s="38" t="n"/>
      <c r="C204" s="21" t="n"/>
      <c r="D204" s="38" t="n"/>
      <c r="E204" s="38" t="n"/>
      <c r="F204" s="16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22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8" t="n"/>
      <c r="B205" s="38" t="n"/>
      <c r="C205" s="21" t="n"/>
      <c r="D205" s="38" t="n"/>
      <c r="E205" s="38" t="n"/>
      <c r="F205" s="16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22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8" t="n"/>
      <c r="B206" s="38" t="n"/>
      <c r="C206" s="21" t="n"/>
      <c r="D206" s="38" t="n"/>
      <c r="E206" s="38" t="n"/>
      <c r="F206" s="16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22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8" t="n"/>
      <c r="B207" s="38" t="n"/>
      <c r="C207" s="21" t="n"/>
      <c r="D207" s="38" t="n"/>
      <c r="E207" s="38" t="n"/>
      <c r="F207" s="16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22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8" t="n"/>
      <c r="B208" s="38" t="n"/>
      <c r="C208" s="21" t="n"/>
      <c r="D208" s="38" t="n"/>
      <c r="E208" s="38" t="n"/>
      <c r="F208" s="16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22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8" t="n"/>
      <c r="B209" s="38" t="n"/>
      <c r="C209" s="21" t="n"/>
      <c r="D209" s="38" t="n"/>
      <c r="E209" s="38" t="n"/>
      <c r="F209" s="16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22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8" t="n"/>
      <c r="B210" s="38" t="n"/>
      <c r="C210" s="21" t="n"/>
      <c r="D210" s="38" t="n"/>
      <c r="E210" s="38" t="n"/>
      <c r="F210" s="16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22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8" t="n"/>
      <c r="B211" s="38" t="n"/>
      <c r="C211" s="21" t="n"/>
      <c r="D211" s="38" t="n"/>
      <c r="E211" s="38" t="n"/>
      <c r="F211" s="16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22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8" t="n"/>
      <c r="B212" s="38" t="n"/>
      <c r="C212" s="21" t="n"/>
      <c r="D212" s="38" t="n"/>
      <c r="E212" s="38" t="n"/>
      <c r="F212" s="16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22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8" t="n"/>
      <c r="B213" s="38" t="n"/>
      <c r="C213" s="21" t="n"/>
      <c r="D213" s="38" t="n"/>
      <c r="E213" s="38" t="n"/>
      <c r="F213" s="16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22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8" t="n"/>
      <c r="B214" s="38" t="n"/>
      <c r="C214" s="21" t="n"/>
      <c r="D214" s="38" t="n"/>
      <c r="E214" s="38" t="n"/>
      <c r="F214" s="16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22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8" t="n"/>
      <c r="B215" s="38" t="n"/>
      <c r="C215" s="21" t="n"/>
      <c r="D215" s="38" t="n"/>
      <c r="E215" s="38" t="n"/>
      <c r="F215" s="16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22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8" t="n"/>
      <c r="B216" s="38" t="n"/>
      <c r="C216" s="21" t="n"/>
      <c r="D216" s="38" t="n"/>
      <c r="E216" s="38" t="n"/>
      <c r="F216" s="16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22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8" t="n"/>
      <c r="B217" s="38" t="n"/>
      <c r="C217" s="21" t="n"/>
      <c r="D217" s="38" t="n"/>
      <c r="E217" s="38" t="n"/>
      <c r="F217" s="16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22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8" t="n"/>
      <c r="B218" s="38" t="n"/>
      <c r="C218" s="21" t="n"/>
      <c r="D218" s="38" t="n"/>
      <c r="E218" s="38" t="n"/>
      <c r="F218" s="16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22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8" t="n"/>
      <c r="B219" s="38" t="n"/>
      <c r="C219" s="21" t="n"/>
      <c r="D219" s="38" t="n"/>
      <c r="E219" s="38" t="n"/>
      <c r="F219" s="16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22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8" t="n"/>
      <c r="B220" s="38" t="n"/>
      <c r="C220" s="21" t="n"/>
      <c r="D220" s="38" t="n"/>
      <c r="E220" s="38" t="n"/>
      <c r="F220" s="16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22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8" t="n"/>
      <c r="B221" s="38" t="n"/>
      <c r="C221" s="21" t="n"/>
      <c r="D221" s="38" t="n"/>
      <c r="E221" s="38" t="n"/>
      <c r="F221" s="16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22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8" t="n"/>
      <c r="B222" s="38" t="n"/>
      <c r="C222" s="21" t="n"/>
      <c r="D222" s="38" t="n"/>
      <c r="E222" s="38" t="n"/>
      <c r="F222" s="16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22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8" t="n"/>
      <c r="B223" s="38" t="n"/>
      <c r="C223" s="21" t="n"/>
      <c r="D223" s="38" t="n"/>
      <c r="E223" s="38" t="n"/>
      <c r="F223" s="16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22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8" t="n"/>
      <c r="B224" s="38" t="n"/>
      <c r="C224" s="21" t="n"/>
      <c r="D224" s="38" t="n"/>
      <c r="E224" s="38" t="n"/>
      <c r="F224" s="16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22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8" t="n"/>
      <c r="B225" s="38" t="n"/>
      <c r="C225" s="21" t="n"/>
      <c r="D225" s="38" t="n"/>
      <c r="E225" s="38" t="n"/>
      <c r="F225" s="16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22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8" t="n"/>
      <c r="B226" s="38" t="n"/>
      <c r="C226" s="21" t="n"/>
      <c r="D226" s="38" t="n"/>
      <c r="E226" s="38" t="n"/>
      <c r="F226" s="16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22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8" t="n"/>
      <c r="B227" s="38" t="n"/>
      <c r="C227" s="21" t="n"/>
      <c r="D227" s="38" t="n"/>
      <c r="E227" s="38" t="n"/>
      <c r="F227" s="16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22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8" t="n"/>
      <c r="B228" s="38" t="n"/>
      <c r="C228" s="21" t="n"/>
      <c r="D228" s="38" t="n"/>
      <c r="E228" s="38" t="n"/>
      <c r="F228" s="16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22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8" t="n"/>
      <c r="B229" s="38" t="n"/>
      <c r="C229" s="21" t="n"/>
      <c r="D229" s="38" t="n"/>
      <c r="E229" s="38" t="n"/>
      <c r="F229" s="16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22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8" t="n"/>
      <c r="B230" s="38" t="n"/>
      <c r="C230" s="21" t="n"/>
      <c r="D230" s="38" t="n"/>
      <c r="E230" s="38" t="n"/>
      <c r="F230" s="16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22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8" t="n"/>
      <c r="B231" s="38" t="n"/>
      <c r="C231" s="21" t="n"/>
      <c r="D231" s="38" t="n"/>
      <c r="E231" s="38" t="n"/>
      <c r="F231" s="16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22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8" t="n"/>
      <c r="B232" s="38" t="n"/>
      <c r="C232" s="21" t="n"/>
      <c r="D232" s="38" t="n"/>
      <c r="E232" s="38" t="n"/>
      <c r="F232" s="16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22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8" t="n"/>
      <c r="B233" s="38" t="n"/>
      <c r="C233" s="21" t="n"/>
      <c r="D233" s="38" t="n"/>
      <c r="E233" s="38" t="n"/>
      <c r="F233" s="16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22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8" t="n"/>
      <c r="B234" s="38" t="n"/>
      <c r="C234" s="21" t="n"/>
      <c r="D234" s="38" t="n"/>
      <c r="E234" s="38" t="n"/>
      <c r="F234" s="16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22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8" t="n"/>
      <c r="B235" s="38" t="n"/>
      <c r="C235" s="21" t="n"/>
      <c r="D235" s="38" t="n"/>
      <c r="E235" s="38" t="n"/>
      <c r="F235" s="16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22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8" t="n"/>
      <c r="B236" s="38" t="n"/>
      <c r="C236" s="21" t="n"/>
      <c r="D236" s="38" t="n"/>
      <c r="E236" s="38" t="n"/>
      <c r="F236" s="16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22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8" t="n"/>
      <c r="B237" s="38" t="n"/>
      <c r="C237" s="21" t="n"/>
      <c r="D237" s="38" t="n"/>
      <c r="E237" s="38" t="n"/>
      <c r="F237" s="16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22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8" t="n"/>
      <c r="B238" s="38" t="n"/>
      <c r="C238" s="21" t="n"/>
      <c r="D238" s="38" t="n"/>
      <c r="E238" s="38" t="n"/>
      <c r="F238" s="16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22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8" t="n"/>
      <c r="B239" s="38" t="n"/>
      <c r="C239" s="21" t="n"/>
      <c r="D239" s="38" t="n"/>
      <c r="E239" s="38" t="n"/>
      <c r="F239" s="16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22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8" t="n"/>
      <c r="B240" s="38" t="n"/>
      <c r="C240" s="21" t="n"/>
      <c r="D240" s="38" t="n"/>
      <c r="E240" s="38" t="n"/>
      <c r="F240" s="16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22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8" t="n"/>
      <c r="B241" s="38" t="n"/>
      <c r="C241" s="21" t="n"/>
      <c r="D241" s="38" t="n"/>
      <c r="E241" s="38" t="n"/>
      <c r="F241" s="16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22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8" t="n"/>
      <c r="B242" s="38" t="n"/>
      <c r="C242" s="21" t="n"/>
      <c r="D242" s="38" t="n"/>
      <c r="E242" s="38" t="n"/>
      <c r="F242" s="16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22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8" t="n"/>
      <c r="B243" s="38" t="n"/>
      <c r="C243" s="21" t="n"/>
      <c r="D243" s="38" t="n"/>
      <c r="E243" s="38" t="n"/>
      <c r="F243" s="16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22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8" t="n"/>
      <c r="B244" s="38" t="n"/>
      <c r="C244" s="21" t="n"/>
      <c r="D244" s="38" t="n"/>
      <c r="E244" s="38" t="n"/>
      <c r="F244" s="16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22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8" t="n"/>
      <c r="B245" s="38" t="n"/>
      <c r="C245" s="21" t="n"/>
      <c r="D245" s="38" t="n"/>
      <c r="E245" s="38" t="n"/>
      <c r="F245" s="16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22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8" t="n"/>
      <c r="B246" s="38" t="n"/>
      <c r="C246" s="21" t="n"/>
      <c r="D246" s="38" t="n"/>
      <c r="E246" s="38" t="n"/>
      <c r="F246" s="16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22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8" t="n"/>
      <c r="B247" s="38" t="n"/>
      <c r="C247" s="21" t="n"/>
      <c r="D247" s="38" t="n"/>
      <c r="E247" s="38" t="n"/>
      <c r="F247" s="16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22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8" t="n"/>
      <c r="B248" s="38" t="n"/>
      <c r="C248" s="21" t="n"/>
      <c r="D248" s="38" t="n"/>
      <c r="E248" s="38" t="n"/>
      <c r="F248" s="16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22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8" t="n"/>
      <c r="B249" s="38" t="n"/>
      <c r="C249" s="21" t="n"/>
      <c r="D249" s="38" t="n"/>
      <c r="E249" s="38" t="n"/>
      <c r="F249" s="16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22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8" t="n"/>
      <c r="B250" s="38" t="n"/>
      <c r="C250" s="21" t="n"/>
      <c r="D250" s="38" t="n"/>
      <c r="E250" s="38" t="n"/>
      <c r="F250" s="16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22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8" t="n"/>
      <c r="B251" s="38" t="n"/>
      <c r="C251" s="21" t="n"/>
      <c r="D251" s="38" t="n"/>
      <c r="E251" s="38" t="n"/>
      <c r="F251" s="16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22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8" t="n"/>
      <c r="B252" s="38" t="n"/>
      <c r="C252" s="21" t="n"/>
      <c r="D252" s="38" t="n"/>
      <c r="E252" s="38" t="n"/>
      <c r="F252" s="16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22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8" t="n"/>
      <c r="B253" s="38" t="n"/>
      <c r="C253" s="21" t="n"/>
      <c r="D253" s="38" t="n"/>
      <c r="E253" s="38" t="n"/>
      <c r="F253" s="16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22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8" t="n"/>
      <c r="B254" s="38" t="n"/>
      <c r="C254" s="21" t="n"/>
      <c r="D254" s="38" t="n"/>
      <c r="E254" s="38" t="n"/>
      <c r="F254" s="16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22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8" t="n"/>
      <c r="B255" s="38" t="n"/>
      <c r="C255" s="21" t="n"/>
      <c r="D255" s="38" t="n"/>
      <c r="E255" s="38" t="n"/>
      <c r="F255" s="16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22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8" t="n"/>
      <c r="B256" s="38" t="n"/>
      <c r="C256" s="21" t="n"/>
      <c r="D256" s="38" t="n"/>
      <c r="E256" s="38" t="n"/>
      <c r="F256" s="16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22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8" t="n"/>
      <c r="B257" s="38" t="n"/>
      <c r="C257" s="21" t="n"/>
      <c r="D257" s="38" t="n"/>
      <c r="E257" s="38" t="n"/>
      <c r="F257" s="16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22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8" t="n"/>
      <c r="B258" s="38" t="n"/>
      <c r="C258" s="21" t="n"/>
      <c r="D258" s="38" t="n"/>
      <c r="E258" s="38" t="n"/>
      <c r="F258" s="16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22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8" t="n"/>
      <c r="B259" s="38" t="n"/>
      <c r="C259" s="21" t="n"/>
      <c r="D259" s="38" t="n"/>
      <c r="E259" s="38" t="n"/>
      <c r="F259" s="16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22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8" t="n"/>
      <c r="B260" s="38" t="n"/>
      <c r="C260" s="21" t="n"/>
      <c r="D260" s="38" t="n"/>
      <c r="E260" s="38" t="n"/>
      <c r="F260" s="16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22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8" t="n"/>
      <c r="B261" s="38" t="n"/>
      <c r="C261" s="21" t="n"/>
      <c r="D261" s="38" t="n"/>
      <c r="E261" s="38" t="n"/>
      <c r="F261" s="16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22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8" t="n"/>
      <c r="B262" s="38" t="n"/>
      <c r="C262" s="21" t="n"/>
      <c r="D262" s="38" t="n"/>
      <c r="E262" s="38" t="n"/>
      <c r="F262" s="16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22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8" t="n"/>
      <c r="B263" s="38" t="n"/>
      <c r="C263" s="21" t="n"/>
      <c r="D263" s="38" t="n"/>
      <c r="E263" s="38" t="n"/>
      <c r="F263" s="16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22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8" t="n"/>
      <c r="B264" s="38" t="n"/>
      <c r="C264" s="21" t="n"/>
      <c r="D264" s="38" t="n"/>
      <c r="E264" s="38" t="n"/>
      <c r="F264" s="16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22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8" t="n"/>
      <c r="B265" s="38" t="n"/>
      <c r="C265" s="21" t="n"/>
      <c r="D265" s="38" t="n"/>
      <c r="E265" s="38" t="n"/>
      <c r="F265" s="16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22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8" t="n"/>
      <c r="B266" s="38" t="n"/>
      <c r="C266" s="21" t="n"/>
      <c r="D266" s="38" t="n"/>
      <c r="E266" s="38" t="n"/>
      <c r="F266" s="16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22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8" t="n"/>
      <c r="B267" s="38" t="n"/>
      <c r="C267" s="21" t="n"/>
      <c r="D267" s="38" t="n"/>
      <c r="E267" s="38" t="n"/>
      <c r="F267" s="16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22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8" t="n"/>
      <c r="B268" s="38" t="n"/>
      <c r="C268" s="21" t="n"/>
      <c r="D268" s="38" t="n"/>
      <c r="E268" s="38" t="n"/>
      <c r="F268" s="16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22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8" t="n"/>
      <c r="B269" s="38" t="n"/>
      <c r="C269" s="21" t="n"/>
      <c r="D269" s="38" t="n"/>
      <c r="E269" s="38" t="n"/>
      <c r="F269" s="16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22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8" t="n"/>
      <c r="B270" s="38" t="n"/>
      <c r="C270" s="21" t="n"/>
      <c r="D270" s="38" t="n"/>
      <c r="E270" s="38" t="n"/>
      <c r="F270" s="16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22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8" t="n"/>
      <c r="B271" s="38" t="n"/>
      <c r="C271" s="21" t="n"/>
      <c r="D271" s="38" t="n"/>
      <c r="E271" s="38" t="n"/>
      <c r="F271" s="16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22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8" t="n"/>
      <c r="B272" s="38" t="n"/>
      <c r="C272" s="21" t="n"/>
      <c r="D272" s="38" t="n"/>
      <c r="E272" s="38" t="n"/>
      <c r="F272" s="16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22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8" t="n"/>
      <c r="B273" s="38" t="n"/>
      <c r="C273" s="21" t="n"/>
      <c r="D273" s="38" t="n"/>
      <c r="E273" s="38" t="n"/>
      <c r="F273" s="16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22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8" t="n"/>
      <c r="B274" s="38" t="n"/>
      <c r="C274" s="21" t="n"/>
      <c r="D274" s="38" t="n"/>
      <c r="E274" s="38" t="n"/>
      <c r="F274" s="16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22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8" t="n"/>
      <c r="B275" s="38" t="n"/>
      <c r="C275" s="21" t="n"/>
      <c r="D275" s="38" t="n"/>
      <c r="E275" s="38" t="n"/>
      <c r="F275" s="16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22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8" t="n"/>
      <c r="B276" s="38" t="n"/>
      <c r="C276" s="21" t="n"/>
      <c r="D276" s="38" t="n"/>
      <c r="E276" s="38" t="n"/>
      <c r="F276" s="16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22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8" t="n"/>
      <c r="B277" s="38" t="n"/>
      <c r="C277" s="21" t="n"/>
      <c r="D277" s="38" t="n"/>
      <c r="E277" s="38" t="n"/>
      <c r="F277" s="16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22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8" t="n"/>
      <c r="B278" s="38" t="n"/>
      <c r="C278" s="21" t="n"/>
      <c r="D278" s="38" t="n"/>
      <c r="E278" s="38" t="n"/>
      <c r="F278" s="16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22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8" t="n"/>
      <c r="B279" s="38" t="n"/>
      <c r="C279" s="21" t="n"/>
      <c r="D279" s="38" t="n"/>
      <c r="E279" s="38" t="n"/>
      <c r="F279" s="16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22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8" t="n"/>
      <c r="B280" s="38" t="n"/>
      <c r="C280" s="21" t="n"/>
      <c r="D280" s="38" t="n"/>
      <c r="E280" s="38" t="n"/>
      <c r="F280" s="16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22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8" t="n"/>
      <c r="B281" s="38" t="n"/>
      <c r="C281" s="21" t="n"/>
      <c r="D281" s="38" t="n"/>
      <c r="E281" s="38" t="n"/>
      <c r="F281" s="16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22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8" t="n"/>
      <c r="B282" s="38" t="n"/>
      <c r="C282" s="21" t="n"/>
      <c r="D282" s="38" t="n"/>
      <c r="E282" s="38" t="n"/>
      <c r="F282" s="16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22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8" t="n"/>
      <c r="B283" s="38" t="n"/>
      <c r="C283" s="21" t="n"/>
      <c r="D283" s="38" t="n"/>
      <c r="E283" s="38" t="n"/>
      <c r="F283" s="16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22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8" t="n"/>
      <c r="B284" s="38" t="n"/>
      <c r="C284" s="21" t="n"/>
      <c r="D284" s="38" t="n"/>
      <c r="E284" s="38" t="n"/>
      <c r="F284" s="16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22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8" t="n"/>
      <c r="B285" s="38" t="n"/>
      <c r="C285" s="21" t="n"/>
      <c r="D285" s="38" t="n"/>
      <c r="E285" s="38" t="n"/>
      <c r="F285" s="16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22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8" t="n"/>
      <c r="B286" s="38" t="n"/>
      <c r="C286" s="21" t="n"/>
      <c r="D286" s="38" t="n"/>
      <c r="E286" s="38" t="n"/>
      <c r="F286" s="16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22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8" t="n"/>
      <c r="B287" s="38" t="n"/>
      <c r="C287" s="21" t="n"/>
      <c r="D287" s="38" t="n"/>
      <c r="E287" s="38" t="n"/>
      <c r="F287" s="16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22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8" t="n"/>
      <c r="B288" s="38" t="n"/>
      <c r="C288" s="21" t="n"/>
      <c r="D288" s="38" t="n"/>
      <c r="E288" s="38" t="n"/>
      <c r="F288" s="16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22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8" t="n"/>
      <c r="B289" s="38" t="n"/>
      <c r="C289" s="21" t="n"/>
      <c r="D289" s="38" t="n"/>
      <c r="E289" s="38" t="n"/>
      <c r="F289" s="16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22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8" t="n"/>
      <c r="B290" s="38" t="n"/>
      <c r="C290" s="21" t="n"/>
      <c r="D290" s="38" t="n"/>
      <c r="E290" s="38" t="n"/>
      <c r="F290" s="16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22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8" t="n"/>
      <c r="B291" s="38" t="n"/>
      <c r="C291" s="21" t="n"/>
      <c r="D291" s="38" t="n"/>
      <c r="E291" s="38" t="n"/>
      <c r="F291" s="16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22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8" t="n"/>
      <c r="B292" s="38" t="n"/>
      <c r="C292" s="21" t="n"/>
      <c r="D292" s="38" t="n"/>
      <c r="E292" s="38" t="n"/>
      <c r="F292" s="16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22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8" t="n"/>
      <c r="B293" s="38" t="n"/>
      <c r="C293" s="21" t="n"/>
      <c r="D293" s="38" t="n"/>
      <c r="E293" s="38" t="n"/>
      <c r="F293" s="16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22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8" t="n"/>
      <c r="B294" s="38" t="n"/>
      <c r="C294" s="21" t="n"/>
      <c r="D294" s="38" t="n"/>
      <c r="E294" s="38" t="n"/>
      <c r="F294" s="16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22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8" t="n"/>
      <c r="B295" s="38" t="n"/>
      <c r="C295" s="21" t="n"/>
      <c r="D295" s="38" t="n"/>
      <c r="E295" s="38" t="n"/>
      <c r="F295" s="16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22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8" t="n"/>
      <c r="B296" s="38" t="n"/>
      <c r="C296" s="21" t="n"/>
      <c r="D296" s="38" t="n"/>
      <c r="E296" s="38" t="n"/>
      <c r="F296" s="16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22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8" t="n"/>
      <c r="B297" s="38" t="n"/>
      <c r="C297" s="21" t="n"/>
      <c r="D297" s="38" t="n"/>
      <c r="E297" s="38" t="n"/>
      <c r="F297" s="16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22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8" t="n"/>
      <c r="B298" s="38" t="n"/>
      <c r="C298" s="21" t="n"/>
      <c r="D298" s="38" t="n"/>
      <c r="E298" s="38" t="n"/>
      <c r="F298" s="16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22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8" t="n"/>
      <c r="B299" s="38" t="n"/>
      <c r="C299" s="21" t="n"/>
      <c r="D299" s="38" t="n"/>
      <c r="E299" s="38" t="n"/>
      <c r="F299" s="16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22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8" t="n"/>
      <c r="B300" s="38" t="n"/>
      <c r="C300" s="21" t="n"/>
      <c r="D300" s="38" t="n"/>
      <c r="E300" s="38" t="n"/>
      <c r="F300" s="16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22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8" t="n"/>
      <c r="B301" s="38" t="n"/>
      <c r="C301" s="21" t="n"/>
      <c r="D301" s="38" t="n"/>
      <c r="E301" s="38" t="n"/>
      <c r="F301" s="16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22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8" t="n"/>
      <c r="B302" s="38" t="n"/>
      <c r="C302" s="21" t="n"/>
      <c r="D302" s="38" t="n"/>
      <c r="E302" s="38" t="n"/>
      <c r="F302" s="16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22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8" t="n"/>
      <c r="B303" s="38" t="n"/>
      <c r="C303" s="21" t="n"/>
      <c r="D303" s="38" t="n"/>
      <c r="E303" s="38" t="n"/>
      <c r="F303" s="16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22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8" t="n"/>
      <c r="B304" s="38" t="n"/>
      <c r="C304" s="21" t="n"/>
      <c r="D304" s="38" t="n"/>
      <c r="E304" s="38" t="n"/>
      <c r="F304" s="16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22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8" t="n"/>
      <c r="B305" s="38" t="n"/>
      <c r="C305" s="21" t="n"/>
      <c r="D305" s="38" t="n"/>
      <c r="E305" s="38" t="n"/>
      <c r="F305" s="16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22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8" t="n"/>
      <c r="B306" s="38" t="n"/>
      <c r="C306" s="21" t="n"/>
      <c r="D306" s="38" t="n"/>
      <c r="E306" s="38" t="n"/>
      <c r="F306" s="16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22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8" t="n"/>
      <c r="B307" s="38" t="n"/>
      <c r="C307" s="21" t="n"/>
      <c r="D307" s="38" t="n"/>
      <c r="E307" s="38" t="n"/>
      <c r="F307" s="16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22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8" t="n"/>
      <c r="B308" s="38" t="n"/>
      <c r="C308" s="21" t="n"/>
      <c r="D308" s="38" t="n"/>
      <c r="E308" s="38" t="n"/>
      <c r="F308" s="16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22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8" t="n"/>
      <c r="B309" s="38" t="n"/>
      <c r="C309" s="21" t="n"/>
      <c r="D309" s="38" t="n"/>
      <c r="E309" s="38" t="n"/>
      <c r="F309" s="16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22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8" t="n"/>
      <c r="B310" s="38" t="n"/>
      <c r="C310" s="21" t="n"/>
      <c r="D310" s="38" t="n"/>
      <c r="E310" s="38" t="n"/>
      <c r="F310" s="16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22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8" t="n"/>
      <c r="B311" s="38" t="n"/>
      <c r="C311" s="21" t="n"/>
      <c r="D311" s="38" t="n"/>
      <c r="E311" s="38" t="n"/>
      <c r="F311" s="16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22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8" t="n"/>
      <c r="B312" s="38" t="n"/>
      <c r="C312" s="21" t="n"/>
      <c r="D312" s="38" t="n"/>
      <c r="E312" s="38" t="n"/>
      <c r="F312" s="16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22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8" t="n"/>
      <c r="B313" s="38" t="n"/>
      <c r="C313" s="21" t="n"/>
      <c r="D313" s="38" t="n"/>
      <c r="E313" s="38" t="n"/>
      <c r="F313" s="16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22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8" t="n"/>
      <c r="B314" s="38" t="n"/>
      <c r="C314" s="21" t="n"/>
      <c r="D314" s="38" t="n"/>
      <c r="E314" s="38" t="n"/>
      <c r="F314" s="16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22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8" t="n"/>
      <c r="B315" s="38" t="n"/>
      <c r="C315" s="21" t="n"/>
      <c r="D315" s="38" t="n"/>
      <c r="E315" s="38" t="n"/>
      <c r="F315" s="16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22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8" t="n"/>
      <c r="B316" s="38" t="n"/>
      <c r="C316" s="21" t="n"/>
      <c r="D316" s="38" t="n"/>
      <c r="E316" s="38" t="n"/>
      <c r="F316" s="16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22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8" t="n"/>
      <c r="B317" s="38" t="n"/>
      <c r="C317" s="21" t="n"/>
      <c r="D317" s="38" t="n"/>
      <c r="E317" s="38" t="n"/>
      <c r="F317" s="16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22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8" t="n"/>
      <c r="B318" s="38" t="n"/>
      <c r="C318" s="21" t="n"/>
      <c r="D318" s="38" t="n"/>
      <c r="E318" s="38" t="n"/>
      <c r="F318" s="16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22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8" t="n"/>
      <c r="B319" s="38" t="n"/>
      <c r="C319" s="21" t="n"/>
      <c r="D319" s="38" t="n"/>
      <c r="E319" s="38" t="n"/>
      <c r="F319" s="16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22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8" t="n"/>
      <c r="B320" s="38" t="n"/>
      <c r="C320" s="21" t="n"/>
      <c r="D320" s="38" t="n"/>
      <c r="E320" s="38" t="n"/>
      <c r="F320" s="16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22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8" t="n"/>
      <c r="B321" s="38" t="n"/>
      <c r="C321" s="21" t="n"/>
      <c r="D321" s="38" t="n"/>
      <c r="E321" s="38" t="n"/>
      <c r="F321" s="16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22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8" t="n"/>
      <c r="B322" s="38" t="n"/>
      <c r="C322" s="21" t="n"/>
      <c r="D322" s="38" t="n"/>
      <c r="E322" s="38" t="n"/>
      <c r="F322" s="16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22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8" t="n"/>
      <c r="B323" s="38" t="n"/>
      <c r="C323" s="21" t="n"/>
      <c r="D323" s="38" t="n"/>
      <c r="E323" s="38" t="n"/>
      <c r="F323" s="16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22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8" t="n"/>
      <c r="B324" s="38" t="n"/>
      <c r="C324" s="21" t="n"/>
      <c r="D324" s="38" t="n"/>
      <c r="E324" s="38" t="n"/>
      <c r="F324" s="16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22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8" t="n"/>
      <c r="B325" s="38" t="n"/>
      <c r="C325" s="21" t="n"/>
      <c r="D325" s="38" t="n"/>
      <c r="E325" s="38" t="n"/>
      <c r="F325" s="16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22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8" t="n"/>
      <c r="B326" s="38" t="n"/>
      <c r="C326" s="21" t="n"/>
      <c r="D326" s="38" t="n"/>
      <c r="E326" s="38" t="n"/>
      <c r="F326" s="16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22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8" t="n"/>
      <c r="B327" s="38" t="n"/>
      <c r="C327" s="21" t="n"/>
      <c r="D327" s="38" t="n"/>
      <c r="E327" s="38" t="n"/>
      <c r="F327" s="16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22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8" t="n"/>
      <c r="B328" s="38" t="n"/>
      <c r="C328" s="21" t="n"/>
      <c r="D328" s="38" t="n"/>
      <c r="E328" s="38" t="n"/>
      <c r="F328" s="16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22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8" t="n"/>
      <c r="B329" s="38" t="n"/>
      <c r="C329" s="21" t="n"/>
      <c r="D329" s="38" t="n"/>
      <c r="E329" s="38" t="n"/>
      <c r="F329" s="16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22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8" t="n"/>
      <c r="B330" s="38" t="n"/>
      <c r="C330" s="21" t="n"/>
      <c r="D330" s="38" t="n"/>
      <c r="E330" s="38" t="n"/>
      <c r="F330" s="16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22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8" t="n"/>
      <c r="B331" s="38" t="n"/>
      <c r="C331" s="21" t="n"/>
      <c r="D331" s="38" t="n"/>
      <c r="E331" s="38" t="n"/>
      <c r="F331" s="16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22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8" t="n"/>
      <c r="B332" s="38" t="n"/>
      <c r="C332" s="21" t="n"/>
      <c r="D332" s="38" t="n"/>
      <c r="E332" s="38" t="n"/>
      <c r="F332" s="16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22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8" t="n"/>
      <c r="B333" s="38" t="n"/>
      <c r="C333" s="21" t="n"/>
      <c r="D333" s="38" t="n"/>
      <c r="E333" s="38" t="n"/>
      <c r="F333" s="16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22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8" t="n"/>
      <c r="B334" s="38" t="n"/>
      <c r="C334" s="21" t="n"/>
      <c r="D334" s="38" t="n"/>
      <c r="E334" s="38" t="n"/>
      <c r="F334" s="16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22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8" t="n"/>
      <c r="B335" s="38" t="n"/>
      <c r="C335" s="21" t="n"/>
      <c r="D335" s="38" t="n"/>
      <c r="E335" s="38" t="n"/>
      <c r="F335" s="16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22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8" t="n"/>
      <c r="B336" s="38" t="n"/>
      <c r="C336" s="21" t="n"/>
      <c r="D336" s="38" t="n"/>
      <c r="E336" s="38" t="n"/>
      <c r="F336" s="16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22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8" t="n"/>
      <c r="B337" s="38" t="n"/>
      <c r="C337" s="21" t="n"/>
      <c r="D337" s="38" t="n"/>
      <c r="E337" s="38" t="n"/>
      <c r="F337" s="16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22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8" t="n"/>
      <c r="B338" s="38" t="n"/>
      <c r="C338" s="21" t="n"/>
      <c r="D338" s="38" t="n"/>
      <c r="E338" s="38" t="n"/>
      <c r="F338" s="16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22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8" t="n"/>
      <c r="B339" s="38" t="n"/>
      <c r="C339" s="21" t="n"/>
      <c r="D339" s="38" t="n"/>
      <c r="E339" s="38" t="n"/>
      <c r="F339" s="16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22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8" t="n"/>
      <c r="B340" s="38" t="n"/>
      <c r="C340" s="21" t="n"/>
      <c r="D340" s="38" t="n"/>
      <c r="E340" s="38" t="n"/>
      <c r="F340" s="16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22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8" t="n"/>
      <c r="B341" s="38" t="n"/>
      <c r="C341" s="21" t="n"/>
      <c r="D341" s="38" t="n"/>
      <c r="E341" s="38" t="n"/>
      <c r="F341" s="16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22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8" t="n"/>
      <c r="B342" s="38" t="n"/>
      <c r="C342" s="21" t="n"/>
      <c r="D342" s="38" t="n"/>
      <c r="E342" s="38" t="n"/>
      <c r="F342" s="16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22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8" t="n"/>
      <c r="B343" s="38" t="n"/>
      <c r="C343" s="21" t="n"/>
      <c r="D343" s="38" t="n"/>
      <c r="E343" s="38" t="n"/>
      <c r="F343" s="16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22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8" t="n"/>
      <c r="B344" s="38" t="n"/>
      <c r="C344" s="21" t="n"/>
      <c r="D344" s="38" t="n"/>
      <c r="E344" s="38" t="n"/>
      <c r="F344" s="16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22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8" t="n"/>
      <c r="B345" s="38" t="n"/>
      <c r="C345" s="21" t="n"/>
      <c r="D345" s="38" t="n"/>
      <c r="E345" s="38" t="n"/>
      <c r="F345" s="16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22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8" t="n"/>
      <c r="B346" s="38" t="n"/>
      <c r="C346" s="21" t="n"/>
      <c r="D346" s="38" t="n"/>
      <c r="E346" s="38" t="n"/>
      <c r="F346" s="16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22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8" t="n"/>
      <c r="B347" s="38" t="n"/>
      <c r="C347" s="21" t="n"/>
      <c r="D347" s="38" t="n"/>
      <c r="E347" s="38" t="n"/>
      <c r="F347" s="16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22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8" t="n"/>
      <c r="B348" s="38" t="n"/>
      <c r="C348" s="21" t="n"/>
      <c r="D348" s="38" t="n"/>
      <c r="E348" s="38" t="n"/>
      <c r="F348" s="16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22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8" t="n"/>
      <c r="B349" s="38" t="n"/>
      <c r="C349" s="21" t="n"/>
      <c r="D349" s="38" t="n"/>
      <c r="E349" s="38" t="n"/>
      <c r="F349" s="16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22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8" t="n"/>
      <c r="B350" s="38" t="n"/>
      <c r="C350" s="21" t="n"/>
      <c r="D350" s="38" t="n"/>
      <c r="E350" s="38" t="n"/>
      <c r="F350" s="16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22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8" t="n"/>
      <c r="B351" s="38" t="n"/>
      <c r="C351" s="21" t="n"/>
      <c r="D351" s="38" t="n"/>
      <c r="E351" s="38" t="n"/>
      <c r="F351" s="16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22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8" t="n"/>
      <c r="B352" s="38" t="n"/>
      <c r="C352" s="21" t="n"/>
      <c r="D352" s="38" t="n"/>
      <c r="E352" s="38" t="n"/>
      <c r="F352" s="16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22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8" t="n"/>
      <c r="B353" s="38" t="n"/>
      <c r="C353" s="21" t="n"/>
      <c r="D353" s="38" t="n"/>
      <c r="E353" s="38" t="n"/>
      <c r="F353" s="16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22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8" t="n"/>
      <c r="B354" s="38" t="n"/>
      <c r="C354" s="21" t="n"/>
      <c r="D354" s="38" t="n"/>
      <c r="E354" s="38" t="n"/>
      <c r="F354" s="16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22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8" t="n"/>
      <c r="B355" s="38" t="n"/>
      <c r="C355" s="21" t="n"/>
      <c r="D355" s="38" t="n"/>
      <c r="E355" s="38" t="n"/>
      <c r="F355" s="16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22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8" t="n"/>
      <c r="B356" s="38" t="n"/>
      <c r="C356" s="21" t="n"/>
      <c r="D356" s="38" t="n"/>
      <c r="E356" s="38" t="n"/>
      <c r="F356" s="16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22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8" t="n"/>
      <c r="B357" s="38" t="n"/>
      <c r="C357" s="21" t="n"/>
      <c r="D357" s="38" t="n"/>
      <c r="E357" s="38" t="n"/>
      <c r="F357" s="16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22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8" t="n"/>
      <c r="B358" s="38" t="n"/>
      <c r="C358" s="21" t="n"/>
      <c r="D358" s="38" t="n"/>
      <c r="E358" s="38" t="n"/>
      <c r="F358" s="16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22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8" t="n"/>
      <c r="B359" s="38" t="n"/>
      <c r="C359" s="21" t="n"/>
      <c r="D359" s="38" t="n"/>
      <c r="E359" s="38" t="n"/>
      <c r="F359" s="16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22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8" t="n"/>
      <c r="B360" s="38" t="n"/>
      <c r="C360" s="21" t="n"/>
      <c r="D360" s="38" t="n"/>
      <c r="E360" s="38" t="n"/>
      <c r="F360" s="16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22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8" t="n"/>
      <c r="B361" s="38" t="n"/>
      <c r="C361" s="21" t="n"/>
      <c r="D361" s="38" t="n"/>
      <c r="E361" s="38" t="n"/>
      <c r="F361" s="16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22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8" t="n"/>
      <c r="B362" s="38" t="n"/>
      <c r="C362" s="21" t="n"/>
      <c r="D362" s="38" t="n"/>
      <c r="E362" s="38" t="n"/>
      <c r="F362" s="16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22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8" t="n"/>
      <c r="B363" s="38" t="n"/>
      <c r="C363" s="21" t="n"/>
      <c r="D363" s="38" t="n"/>
      <c r="E363" s="38" t="n"/>
      <c r="F363" s="16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22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8" t="n"/>
      <c r="B364" s="38" t="n"/>
      <c r="C364" s="21" t="n"/>
      <c r="D364" s="38" t="n"/>
      <c r="E364" s="38" t="n"/>
      <c r="F364" s="16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22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8" t="n"/>
      <c r="B365" s="38" t="n"/>
      <c r="C365" s="21" t="n"/>
      <c r="D365" s="38" t="n"/>
      <c r="E365" s="38" t="n"/>
      <c r="F365" s="16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22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8" t="n"/>
      <c r="B366" s="38" t="n"/>
      <c r="C366" s="21" t="n"/>
      <c r="D366" s="38" t="n"/>
      <c r="E366" s="38" t="n"/>
      <c r="F366" s="16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22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8" t="n"/>
      <c r="B367" s="38" t="n"/>
      <c r="C367" s="21" t="n"/>
      <c r="D367" s="38" t="n"/>
      <c r="E367" s="38" t="n"/>
      <c r="F367" s="16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22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8" t="n"/>
      <c r="B368" s="38" t="n"/>
      <c r="C368" s="21" t="n"/>
      <c r="D368" s="38" t="n"/>
      <c r="E368" s="38" t="n"/>
      <c r="F368" s="16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22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8" t="n"/>
      <c r="B369" s="38" t="n"/>
      <c r="C369" s="21" t="n"/>
      <c r="D369" s="38" t="n"/>
      <c r="E369" s="38" t="n"/>
      <c r="F369" s="16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22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8" t="n"/>
      <c r="B370" s="38" t="n"/>
      <c r="C370" s="21" t="n"/>
      <c r="D370" s="38" t="n"/>
      <c r="E370" s="38" t="n"/>
      <c r="F370" s="16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22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8" t="n"/>
      <c r="B371" s="38" t="n"/>
      <c r="C371" s="21" t="n"/>
      <c r="D371" s="38" t="n"/>
      <c r="E371" s="38" t="n"/>
      <c r="F371" s="16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22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8" t="n"/>
      <c r="B372" s="38" t="n"/>
      <c r="C372" s="21" t="n"/>
      <c r="D372" s="38" t="n"/>
      <c r="E372" s="38" t="n"/>
      <c r="F372" s="16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22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8" t="n"/>
      <c r="B373" s="38" t="n"/>
      <c r="C373" s="21" t="n"/>
      <c r="D373" s="38" t="n"/>
      <c r="E373" s="38" t="n"/>
      <c r="F373" s="16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22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8" t="n"/>
      <c r="B374" s="38" t="n"/>
      <c r="C374" s="21" t="n"/>
      <c r="D374" s="38" t="n"/>
      <c r="E374" s="38" t="n"/>
      <c r="F374" s="16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22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8" t="n"/>
      <c r="B375" s="38" t="n"/>
      <c r="C375" s="21" t="n"/>
      <c r="D375" s="38" t="n"/>
      <c r="E375" s="38" t="n"/>
      <c r="F375" s="16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22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8" t="n"/>
      <c r="B376" s="38" t="n"/>
      <c r="C376" s="21" t="n"/>
      <c r="D376" s="38" t="n"/>
      <c r="E376" s="38" t="n"/>
      <c r="F376" s="16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22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8" t="n"/>
      <c r="B377" s="38" t="n"/>
      <c r="C377" s="21" t="n"/>
      <c r="D377" s="38" t="n"/>
      <c r="E377" s="38" t="n"/>
      <c r="F377" s="16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22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8" t="n"/>
      <c r="B378" s="38" t="n"/>
      <c r="C378" s="21" t="n"/>
      <c r="D378" s="38" t="n"/>
      <c r="E378" s="38" t="n"/>
      <c r="F378" s="16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22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8" t="n"/>
      <c r="B379" s="38" t="n"/>
      <c r="C379" s="21" t="n"/>
      <c r="D379" s="38" t="n"/>
      <c r="E379" s="38" t="n"/>
      <c r="F379" s="16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22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8" t="n"/>
      <c r="B380" s="38" t="n"/>
      <c r="C380" s="21" t="n"/>
      <c r="D380" s="38" t="n"/>
      <c r="E380" s="38" t="n"/>
      <c r="F380" s="16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22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8" t="n"/>
      <c r="B381" s="38" t="n"/>
      <c r="C381" s="21" t="n"/>
      <c r="D381" s="38" t="n"/>
      <c r="E381" s="38" t="n"/>
      <c r="F381" s="16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22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8" t="n"/>
      <c r="B382" s="38" t="n"/>
      <c r="C382" s="21" t="n"/>
      <c r="D382" s="38" t="n"/>
      <c r="E382" s="38" t="n"/>
      <c r="F382" s="16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22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8" t="n"/>
      <c r="B383" s="38" t="n"/>
      <c r="C383" s="21" t="n"/>
      <c r="D383" s="38" t="n"/>
      <c r="E383" s="38" t="n"/>
      <c r="F383" s="16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22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8" t="n"/>
      <c r="B384" s="38" t="n"/>
      <c r="C384" s="21" t="n"/>
      <c r="D384" s="38" t="n"/>
      <c r="E384" s="38" t="n"/>
      <c r="F384" s="16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22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8" t="n"/>
      <c r="B385" s="38" t="n"/>
      <c r="C385" s="21" t="n"/>
      <c r="D385" s="38" t="n"/>
      <c r="E385" s="38" t="n"/>
      <c r="F385" s="16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22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8" t="n"/>
      <c r="B386" s="38" t="n"/>
      <c r="C386" s="21" t="n"/>
      <c r="D386" s="38" t="n"/>
      <c r="E386" s="38" t="n"/>
      <c r="F386" s="16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22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8" t="n"/>
      <c r="B387" s="38" t="n"/>
      <c r="C387" s="21" t="n"/>
      <c r="D387" s="38" t="n"/>
      <c r="E387" s="38" t="n"/>
      <c r="F387" s="16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22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8" t="n"/>
      <c r="B388" s="38" t="n"/>
      <c r="C388" s="21" t="n"/>
      <c r="D388" s="38" t="n"/>
      <c r="E388" s="38" t="n"/>
      <c r="F388" s="16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22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8" t="n"/>
      <c r="B389" s="38" t="n"/>
      <c r="C389" s="21" t="n"/>
      <c r="D389" s="38" t="n"/>
      <c r="E389" s="38" t="n"/>
      <c r="F389" s="16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22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8" t="n"/>
      <c r="B390" s="38" t="n"/>
      <c r="C390" s="21" t="n"/>
      <c r="D390" s="38" t="n"/>
      <c r="E390" s="38" t="n"/>
      <c r="F390" s="16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22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8" t="n"/>
      <c r="B391" s="38" t="n"/>
      <c r="C391" s="21" t="n"/>
      <c r="D391" s="38" t="n"/>
      <c r="E391" s="38" t="n"/>
      <c r="F391" s="16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22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8" t="n"/>
      <c r="B392" s="38" t="n"/>
      <c r="C392" s="21" t="n"/>
      <c r="D392" s="38" t="n"/>
      <c r="E392" s="38" t="n"/>
      <c r="F392" s="16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22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8" t="n"/>
      <c r="B393" s="38" t="n"/>
      <c r="C393" s="21" t="n"/>
      <c r="D393" s="38" t="n"/>
      <c r="E393" s="38" t="n"/>
      <c r="F393" s="16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22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8" t="n"/>
      <c r="B394" s="38" t="n"/>
      <c r="C394" s="21" t="n"/>
      <c r="D394" s="38" t="n"/>
      <c r="E394" s="38" t="n"/>
      <c r="F394" s="16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22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8" t="n"/>
      <c r="B395" s="38" t="n"/>
      <c r="C395" s="21" t="n"/>
      <c r="D395" s="38" t="n"/>
      <c r="E395" s="38" t="n"/>
      <c r="F395" s="16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22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8" t="n"/>
      <c r="B396" s="38" t="n"/>
      <c r="C396" s="21" t="n"/>
      <c r="D396" s="38" t="n"/>
      <c r="E396" s="38" t="n"/>
      <c r="F396" s="16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22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8" t="n"/>
      <c r="B397" s="38" t="n"/>
      <c r="C397" s="21" t="n"/>
      <c r="D397" s="38" t="n"/>
      <c r="E397" s="38" t="n"/>
      <c r="F397" s="16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22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8" t="n"/>
      <c r="B398" s="38" t="n"/>
      <c r="C398" s="21" t="n"/>
      <c r="D398" s="38" t="n"/>
      <c r="E398" s="38" t="n"/>
      <c r="F398" s="16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22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8" t="n"/>
      <c r="B399" s="38" t="n"/>
      <c r="C399" s="21" t="n"/>
      <c r="D399" s="38" t="n"/>
      <c r="E399" s="38" t="n"/>
      <c r="F399" s="16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22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8" t="n"/>
      <c r="B400" s="38" t="n"/>
      <c r="C400" s="21" t="n"/>
      <c r="D400" s="38" t="n"/>
      <c r="E400" s="38" t="n"/>
      <c r="F400" s="16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22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8" t="n"/>
      <c r="B401" s="38" t="n"/>
      <c r="C401" s="21" t="n"/>
      <c r="D401" s="38" t="n"/>
      <c r="E401" s="38" t="n"/>
      <c r="F401" s="16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22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8" t="n"/>
      <c r="B402" s="38" t="n"/>
      <c r="C402" s="21" t="n"/>
      <c r="D402" s="38" t="n"/>
      <c r="E402" s="38" t="n"/>
      <c r="F402" s="16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22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8" t="n"/>
      <c r="B403" s="38" t="n"/>
      <c r="C403" s="21" t="n"/>
      <c r="D403" s="38" t="n"/>
      <c r="E403" s="38" t="n"/>
      <c r="F403" s="16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22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8" t="n"/>
      <c r="B404" s="38" t="n"/>
      <c r="C404" s="21" t="n"/>
      <c r="D404" s="38" t="n"/>
      <c r="E404" s="38" t="n"/>
      <c r="F404" s="16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22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8" t="n"/>
      <c r="B405" s="38" t="n"/>
      <c r="C405" s="21" t="n"/>
      <c r="D405" s="38" t="n"/>
      <c r="E405" s="38" t="n"/>
      <c r="F405" s="16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22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8" t="n"/>
      <c r="B406" s="38" t="n"/>
      <c r="C406" s="21" t="n"/>
      <c r="D406" s="38" t="n"/>
      <c r="E406" s="38" t="n"/>
      <c r="F406" s="16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22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8" t="n"/>
      <c r="B407" s="38" t="n"/>
      <c r="C407" s="21" t="n"/>
      <c r="D407" s="38" t="n"/>
      <c r="E407" s="38" t="n"/>
      <c r="F407" s="16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22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8" t="n"/>
      <c r="B408" s="38" t="n"/>
      <c r="C408" s="21" t="n"/>
      <c r="D408" s="38" t="n"/>
      <c r="E408" s="38" t="n"/>
      <c r="F408" s="16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22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8" t="n"/>
      <c r="B409" s="38" t="n"/>
      <c r="C409" s="21" t="n"/>
      <c r="D409" s="38" t="n"/>
      <c r="E409" s="38" t="n"/>
      <c r="F409" s="16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22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8" t="n"/>
      <c r="B410" s="38" t="n"/>
      <c r="C410" s="21" t="n"/>
      <c r="D410" s="38" t="n"/>
      <c r="E410" s="38" t="n"/>
      <c r="F410" s="16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22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8" t="n"/>
      <c r="B411" s="38" t="n"/>
      <c r="C411" s="21" t="n"/>
      <c r="D411" s="38" t="n"/>
      <c r="E411" s="38" t="n"/>
      <c r="F411" s="16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22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8" t="n"/>
      <c r="B412" s="38" t="n"/>
      <c r="C412" s="21" t="n"/>
      <c r="D412" s="38" t="n"/>
      <c r="E412" s="38" t="n"/>
      <c r="F412" s="16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22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8" t="n"/>
      <c r="B413" s="38" t="n"/>
      <c r="C413" s="21" t="n"/>
      <c r="D413" s="38" t="n"/>
      <c r="E413" s="38" t="n"/>
      <c r="F413" s="16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22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8" t="n"/>
      <c r="B414" s="38" t="n"/>
      <c r="C414" s="21" t="n"/>
      <c r="D414" s="38" t="n"/>
      <c r="E414" s="38" t="n"/>
      <c r="F414" s="16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22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8" t="n"/>
      <c r="B415" s="38" t="n"/>
      <c r="C415" s="21" t="n"/>
      <c r="D415" s="38" t="n"/>
      <c r="E415" s="38" t="n"/>
      <c r="F415" s="16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22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8" t="n"/>
      <c r="B416" s="38" t="n"/>
      <c r="C416" s="21" t="n"/>
      <c r="D416" s="38" t="n"/>
      <c r="E416" s="38" t="n"/>
      <c r="F416" s="16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22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8" t="n"/>
      <c r="B417" s="38" t="n"/>
      <c r="C417" s="21" t="n"/>
      <c r="D417" s="38" t="n"/>
      <c r="E417" s="38" t="n"/>
      <c r="F417" s="16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22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8" t="n"/>
      <c r="B418" s="38" t="n"/>
      <c r="C418" s="21" t="n"/>
      <c r="D418" s="38" t="n"/>
      <c r="E418" s="38" t="n"/>
      <c r="F418" s="16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22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8" t="n"/>
      <c r="B419" s="38" t="n"/>
      <c r="C419" s="21" t="n"/>
      <c r="D419" s="38" t="n"/>
      <c r="E419" s="38" t="n"/>
      <c r="F419" s="16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22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8" t="n"/>
      <c r="B420" s="38" t="n"/>
      <c r="C420" s="21" t="n"/>
      <c r="D420" s="38" t="n"/>
      <c r="E420" s="38" t="n"/>
      <c r="F420" s="16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22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8" t="n"/>
      <c r="B421" s="38" t="n"/>
      <c r="C421" s="21" t="n"/>
      <c r="D421" s="38" t="n"/>
      <c r="E421" s="38" t="n"/>
      <c r="F421" s="16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22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8" t="n"/>
      <c r="B422" s="38" t="n"/>
      <c r="C422" s="21" t="n"/>
      <c r="D422" s="38" t="n"/>
      <c r="E422" s="38" t="n"/>
      <c r="F422" s="16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22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8" t="n"/>
      <c r="B423" s="38" t="n"/>
      <c r="C423" s="21" t="n"/>
      <c r="D423" s="38" t="n"/>
      <c r="E423" s="38" t="n"/>
      <c r="F423" s="16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22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8" t="n"/>
      <c r="B424" s="38" t="n"/>
      <c r="C424" s="21" t="n"/>
      <c r="D424" s="38" t="n"/>
      <c r="E424" s="38" t="n"/>
      <c r="F424" s="16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22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8" t="n"/>
      <c r="B425" s="38" t="n"/>
      <c r="C425" s="21" t="n"/>
      <c r="D425" s="38" t="n"/>
      <c r="E425" s="38" t="n"/>
      <c r="F425" s="16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22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8" t="n"/>
      <c r="B426" s="38" t="n"/>
      <c r="C426" s="21" t="n"/>
      <c r="D426" s="38" t="n"/>
      <c r="E426" s="38" t="n"/>
      <c r="F426" s="16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22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8" t="n"/>
      <c r="B427" s="38" t="n"/>
      <c r="C427" s="21" t="n"/>
      <c r="D427" s="38" t="n"/>
      <c r="E427" s="38" t="n"/>
      <c r="F427" s="16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22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8" t="n"/>
      <c r="B428" s="38" t="n"/>
      <c r="C428" s="21" t="n"/>
      <c r="D428" s="38" t="n"/>
      <c r="E428" s="38" t="n"/>
      <c r="F428" s="16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22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8" t="n"/>
      <c r="B429" s="38" t="n"/>
      <c r="C429" s="21" t="n"/>
      <c r="D429" s="38" t="n"/>
      <c r="E429" s="38" t="n"/>
      <c r="F429" s="16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22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8" t="n"/>
      <c r="B430" s="38" t="n"/>
      <c r="C430" s="21" t="n"/>
      <c r="D430" s="38" t="n"/>
      <c r="E430" s="38" t="n"/>
      <c r="F430" s="16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22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8" t="n"/>
      <c r="B431" s="38" t="n"/>
      <c r="C431" s="21" t="n"/>
      <c r="D431" s="38" t="n"/>
      <c r="E431" s="38" t="n"/>
      <c r="F431" s="16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22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8" t="n"/>
      <c r="B432" s="38" t="n"/>
      <c r="C432" s="21" t="n"/>
      <c r="D432" s="38" t="n"/>
      <c r="E432" s="38" t="n"/>
      <c r="F432" s="16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22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8" t="n"/>
      <c r="B433" s="38" t="n"/>
      <c r="C433" s="21" t="n"/>
      <c r="D433" s="38" t="n"/>
      <c r="E433" s="38" t="n"/>
      <c r="F433" s="16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22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8" t="n"/>
      <c r="B434" s="38" t="n"/>
      <c r="C434" s="21" t="n"/>
      <c r="D434" s="38" t="n"/>
      <c r="E434" s="38" t="n"/>
      <c r="F434" s="16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22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8" t="n"/>
      <c r="B435" s="38" t="n"/>
      <c r="C435" s="21" t="n"/>
      <c r="D435" s="38" t="n"/>
      <c r="E435" s="38" t="n"/>
      <c r="F435" s="16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22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8" t="n"/>
      <c r="B436" s="38" t="n"/>
      <c r="C436" s="21" t="n"/>
      <c r="D436" s="38" t="n"/>
      <c r="E436" s="38" t="n"/>
      <c r="F436" s="16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22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8" t="n"/>
      <c r="B437" s="38" t="n"/>
      <c r="C437" s="21" t="n"/>
      <c r="D437" s="38" t="n"/>
      <c r="E437" s="38" t="n"/>
      <c r="F437" s="16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22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8" t="n"/>
      <c r="B438" s="38" t="n"/>
      <c r="C438" s="21" t="n"/>
      <c r="D438" s="38" t="n"/>
      <c r="E438" s="38" t="n"/>
      <c r="F438" s="16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22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8" t="n"/>
      <c r="B439" s="38" t="n"/>
      <c r="C439" s="21" t="n"/>
      <c r="D439" s="38" t="n"/>
      <c r="E439" s="38" t="n"/>
      <c r="F439" s="16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22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8" t="n"/>
      <c r="B440" s="38" t="n"/>
      <c r="C440" s="21" t="n"/>
      <c r="D440" s="38" t="n"/>
      <c r="E440" s="38" t="n"/>
      <c r="F440" s="16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22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8" t="n"/>
      <c r="B441" s="38" t="n"/>
      <c r="C441" s="21" t="n"/>
      <c r="D441" s="38" t="n"/>
      <c r="E441" s="38" t="n"/>
      <c r="F441" s="16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22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8" t="n"/>
      <c r="B442" s="38" t="n"/>
      <c r="C442" s="21" t="n"/>
      <c r="D442" s="38" t="n"/>
      <c r="E442" s="38" t="n"/>
      <c r="F442" s="16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22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8" t="n"/>
      <c r="B443" s="38" t="n"/>
      <c r="C443" s="21" t="n"/>
      <c r="D443" s="38" t="n"/>
      <c r="E443" s="38" t="n"/>
      <c r="F443" s="16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22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8" t="n"/>
      <c r="B444" s="38" t="n"/>
      <c r="C444" s="21" t="n"/>
      <c r="D444" s="38" t="n"/>
      <c r="E444" s="38" t="n"/>
      <c r="F444" s="16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22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8" t="n"/>
      <c r="B445" s="38" t="n"/>
      <c r="C445" s="21" t="n"/>
      <c r="D445" s="38" t="n"/>
      <c r="E445" s="38" t="n"/>
      <c r="F445" s="16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22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8" t="n"/>
      <c r="B446" s="38" t="n"/>
      <c r="C446" s="21" t="n"/>
      <c r="D446" s="38" t="n"/>
      <c r="E446" s="38" t="n"/>
      <c r="F446" s="16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22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8" t="n"/>
      <c r="B447" s="38" t="n"/>
      <c r="C447" s="21" t="n"/>
      <c r="D447" s="38" t="n"/>
      <c r="E447" s="38" t="n"/>
      <c r="F447" s="16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22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8" t="n"/>
      <c r="B448" s="38" t="n"/>
      <c r="C448" s="21" t="n"/>
      <c r="D448" s="38" t="n"/>
      <c r="E448" s="38" t="n"/>
      <c r="F448" s="16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22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8" t="n"/>
      <c r="B449" s="38" t="n"/>
      <c r="C449" s="21" t="n"/>
      <c r="D449" s="38" t="n"/>
      <c r="E449" s="38" t="n"/>
      <c r="F449" s="16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22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8" t="n"/>
      <c r="B450" s="38" t="n"/>
      <c r="C450" s="21" t="n"/>
      <c r="D450" s="38" t="n"/>
      <c r="E450" s="38" t="n"/>
      <c r="F450" s="16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22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8" t="n"/>
      <c r="B451" s="38" t="n"/>
      <c r="C451" s="21" t="n"/>
      <c r="D451" s="38" t="n"/>
      <c r="E451" s="38" t="n"/>
      <c r="F451" s="16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22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8" t="n"/>
      <c r="B452" s="38" t="n"/>
      <c r="C452" s="21" t="n"/>
      <c r="D452" s="38" t="n"/>
      <c r="E452" s="38" t="n"/>
      <c r="F452" s="16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22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8" t="n"/>
      <c r="B453" s="38" t="n"/>
      <c r="C453" s="21" t="n"/>
      <c r="D453" s="38" t="n"/>
      <c r="E453" s="38" t="n"/>
      <c r="F453" s="16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22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8" t="n"/>
      <c r="B454" s="38" t="n"/>
      <c r="C454" s="21" t="n"/>
      <c r="D454" s="38" t="n"/>
      <c r="E454" s="38" t="n"/>
      <c r="F454" s="16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22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8" t="n"/>
      <c r="B455" s="38" t="n"/>
      <c r="C455" s="21" t="n"/>
      <c r="D455" s="38" t="n"/>
      <c r="E455" s="38" t="n"/>
      <c r="F455" s="16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22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8" t="n"/>
      <c r="B456" s="38" t="n"/>
      <c r="C456" s="21" t="n"/>
      <c r="D456" s="38" t="n"/>
      <c r="E456" s="38" t="n"/>
      <c r="F456" s="16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22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8" t="n"/>
      <c r="B457" s="38" t="n"/>
      <c r="C457" s="21" t="n"/>
      <c r="D457" s="38" t="n"/>
      <c r="E457" s="38" t="n"/>
      <c r="F457" s="16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22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8" t="n"/>
      <c r="B458" s="38" t="n"/>
      <c r="C458" s="21" t="n"/>
      <c r="D458" s="38" t="n"/>
      <c r="E458" s="38" t="n"/>
      <c r="F458" s="16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22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8" t="n"/>
      <c r="B459" s="38" t="n"/>
      <c r="C459" s="21" t="n"/>
      <c r="D459" s="38" t="n"/>
      <c r="E459" s="38" t="n"/>
      <c r="F459" s="16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22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8" t="n"/>
      <c r="B460" s="38" t="n"/>
      <c r="C460" s="21" t="n"/>
      <c r="D460" s="38" t="n"/>
      <c r="E460" s="38" t="n"/>
      <c r="F460" s="16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22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8" t="n"/>
      <c r="B461" s="38" t="n"/>
      <c r="C461" s="21" t="n"/>
      <c r="D461" s="38" t="n"/>
      <c r="E461" s="38" t="n"/>
      <c r="F461" s="16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22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8" t="n"/>
      <c r="B462" s="38" t="n"/>
      <c r="C462" s="21" t="n"/>
      <c r="D462" s="38" t="n"/>
      <c r="E462" s="38" t="n"/>
      <c r="F462" s="16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22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8" t="n"/>
      <c r="B463" s="38" t="n"/>
      <c r="C463" s="21" t="n"/>
      <c r="D463" s="38" t="n"/>
      <c r="E463" s="38" t="n"/>
      <c r="F463" s="16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22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8" t="n"/>
      <c r="B464" s="38" t="n"/>
      <c r="C464" s="21" t="n"/>
      <c r="D464" s="38" t="n"/>
      <c r="E464" s="38" t="n"/>
      <c r="F464" s="16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22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8" t="n"/>
      <c r="B465" s="38" t="n"/>
      <c r="C465" s="21" t="n"/>
      <c r="D465" s="38" t="n"/>
      <c r="E465" s="38" t="n"/>
      <c r="F465" s="16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22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8" t="n"/>
      <c r="B466" s="38" t="n"/>
      <c r="C466" s="21" t="n"/>
      <c r="D466" s="38" t="n"/>
      <c r="E466" s="38" t="n"/>
      <c r="F466" s="16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22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8" t="n"/>
      <c r="B467" s="38" t="n"/>
      <c r="C467" s="21" t="n"/>
      <c r="D467" s="38" t="n"/>
      <c r="E467" s="38" t="n"/>
      <c r="F467" s="16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22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8" t="n"/>
      <c r="B468" s="38" t="n"/>
      <c r="C468" s="21" t="n"/>
      <c r="D468" s="38" t="n"/>
      <c r="E468" s="38" t="n"/>
      <c r="F468" s="16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22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8" t="n"/>
      <c r="B469" s="38" t="n"/>
      <c r="C469" s="21" t="n"/>
      <c r="D469" s="38" t="n"/>
      <c r="E469" s="38" t="n"/>
      <c r="F469" s="16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22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8" t="n"/>
      <c r="B470" s="38" t="n"/>
      <c r="C470" s="21" t="n"/>
      <c r="D470" s="38" t="n"/>
      <c r="E470" s="38" t="n"/>
      <c r="F470" s="16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22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8" t="n"/>
      <c r="B471" s="38" t="n"/>
      <c r="C471" s="21" t="n"/>
      <c r="D471" s="38" t="n"/>
      <c r="E471" s="38" t="n"/>
      <c r="F471" s="16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22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8" t="n"/>
      <c r="B472" s="38" t="n"/>
      <c r="C472" s="21" t="n"/>
      <c r="D472" s="38" t="n"/>
      <c r="E472" s="38" t="n"/>
      <c r="F472" s="16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22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8" t="n"/>
      <c r="B473" s="38" t="n"/>
      <c r="C473" s="21" t="n"/>
      <c r="D473" s="38" t="n"/>
      <c r="E473" s="38" t="n"/>
      <c r="F473" s="16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22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8" t="n"/>
      <c r="B474" s="38" t="n"/>
      <c r="C474" s="21" t="n"/>
      <c r="D474" s="38" t="n"/>
      <c r="E474" s="38" t="n"/>
      <c r="F474" s="16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22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8" t="n"/>
      <c r="B475" s="38" t="n"/>
      <c r="C475" s="21" t="n"/>
      <c r="D475" s="38" t="n"/>
      <c r="E475" s="38" t="n"/>
      <c r="F475" s="16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22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8" t="n"/>
      <c r="B476" s="38" t="n"/>
      <c r="C476" s="21" t="n"/>
      <c r="D476" s="38" t="n"/>
      <c r="E476" s="38" t="n"/>
      <c r="F476" s="16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22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8" t="n"/>
      <c r="B477" s="38" t="n"/>
      <c r="C477" s="21" t="n"/>
      <c r="D477" s="38" t="n"/>
      <c r="E477" s="38" t="n"/>
      <c r="F477" s="16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22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8" t="n"/>
      <c r="B478" s="38" t="n"/>
      <c r="C478" s="21" t="n"/>
      <c r="D478" s="38" t="n"/>
      <c r="E478" s="38" t="n"/>
      <c r="F478" s="16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22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8" t="n"/>
      <c r="B479" s="38" t="n"/>
      <c r="C479" s="21" t="n"/>
      <c r="D479" s="38" t="n"/>
      <c r="E479" s="38" t="n"/>
      <c r="F479" s="16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22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8" t="n"/>
      <c r="B480" s="38" t="n"/>
      <c r="C480" s="21" t="n"/>
      <c r="D480" s="38" t="n"/>
      <c r="E480" s="38" t="n"/>
      <c r="F480" s="16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22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8" t="n"/>
      <c r="B481" s="38" t="n"/>
      <c r="C481" s="21" t="n"/>
      <c r="D481" s="38" t="n"/>
      <c r="E481" s="38" t="n"/>
      <c r="F481" s="16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22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8" t="n"/>
      <c r="B482" s="38" t="n"/>
      <c r="C482" s="21" t="n"/>
      <c r="D482" s="38" t="n"/>
      <c r="E482" s="38" t="n"/>
      <c r="F482" s="16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22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8" t="n"/>
      <c r="B483" s="38" t="n"/>
      <c r="C483" s="21" t="n"/>
      <c r="D483" s="38" t="n"/>
      <c r="E483" s="38" t="n"/>
      <c r="F483" s="16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22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8" t="n"/>
      <c r="B484" s="38" t="n"/>
      <c r="C484" s="21" t="n"/>
      <c r="D484" s="38" t="n"/>
      <c r="E484" s="38" t="n"/>
      <c r="F484" s="16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22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8" t="n"/>
      <c r="B485" s="38" t="n"/>
      <c r="C485" s="21" t="n"/>
      <c r="D485" s="38" t="n"/>
      <c r="E485" s="38" t="n"/>
      <c r="F485" s="16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22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8" t="n"/>
      <c r="B486" s="38" t="n"/>
      <c r="C486" s="21" t="n"/>
      <c r="D486" s="38" t="n"/>
      <c r="E486" s="38" t="n"/>
      <c r="F486" s="16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22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8" t="n"/>
      <c r="B487" s="38" t="n"/>
      <c r="C487" s="21" t="n"/>
      <c r="D487" s="38" t="n"/>
      <c r="E487" s="38" t="n"/>
      <c r="F487" s="16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22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8" t="n"/>
      <c r="B488" s="38" t="n"/>
      <c r="C488" s="21" t="n"/>
      <c r="D488" s="38" t="n"/>
      <c r="E488" s="38" t="n"/>
      <c r="F488" s="16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22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8" t="n"/>
      <c r="B489" s="38" t="n"/>
      <c r="C489" s="21" t="n"/>
      <c r="D489" s="38" t="n"/>
      <c r="E489" s="38" t="n"/>
      <c r="F489" s="16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22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8" t="n"/>
      <c r="B490" s="38" t="n"/>
      <c r="C490" s="21" t="n"/>
      <c r="D490" s="38" t="n"/>
      <c r="E490" s="38" t="n"/>
      <c r="F490" s="16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22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8" t="n"/>
      <c r="B491" s="38" t="n"/>
      <c r="C491" s="21" t="n"/>
      <c r="D491" s="38" t="n"/>
      <c r="E491" s="38" t="n"/>
      <c r="F491" s="16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22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8" t="n"/>
      <c r="B492" s="38" t="n"/>
      <c r="C492" s="21" t="n"/>
      <c r="D492" s="38" t="n"/>
      <c r="E492" s="38" t="n"/>
      <c r="F492" s="16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22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8" t="n"/>
      <c r="B493" s="38" t="n"/>
      <c r="C493" s="21" t="n"/>
      <c r="D493" s="38" t="n"/>
      <c r="E493" s="38" t="n"/>
      <c r="F493" s="16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22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8" t="n"/>
      <c r="B494" s="38" t="n"/>
      <c r="C494" s="21" t="n"/>
      <c r="D494" s="38" t="n"/>
      <c r="E494" s="38" t="n"/>
      <c r="F494" s="16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22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8" t="n"/>
      <c r="B495" s="38" t="n"/>
      <c r="C495" s="21" t="n"/>
      <c r="D495" s="38" t="n"/>
      <c r="E495" s="38" t="n"/>
      <c r="F495" s="16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22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8" t="n"/>
      <c r="B496" s="38" t="n"/>
      <c r="C496" s="21" t="n"/>
      <c r="D496" s="38" t="n"/>
      <c r="E496" s="38" t="n"/>
      <c r="F496" s="16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22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8" t="n"/>
      <c r="B497" s="38" t="n"/>
      <c r="C497" s="21" t="n"/>
      <c r="D497" s="38" t="n"/>
      <c r="E497" s="38" t="n"/>
      <c r="F497" s="16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22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8" t="n"/>
      <c r="B498" s="38" t="n"/>
      <c r="C498" s="21" t="n"/>
      <c r="D498" s="38" t="n"/>
      <c r="E498" s="38" t="n"/>
      <c r="F498" s="16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22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8" t="n"/>
      <c r="B499" s="38" t="n"/>
      <c r="C499" s="21" t="n"/>
      <c r="D499" s="38" t="n"/>
      <c r="E499" s="38" t="n"/>
      <c r="F499" s="16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22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8" t="n"/>
      <c r="B500" s="38" t="n"/>
      <c r="C500" s="21" t="n"/>
      <c r="D500" s="38" t="n"/>
      <c r="E500" s="38" t="n"/>
      <c r="F500" s="16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22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8" t="n"/>
      <c r="B501" s="38" t="n"/>
      <c r="C501" s="21" t="n"/>
      <c r="D501" s="38" t="n"/>
      <c r="E501" s="38" t="n"/>
      <c r="F501" s="16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22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8" t="n"/>
      <c r="B502" s="38" t="n"/>
      <c r="C502" s="21" t="n"/>
      <c r="D502" s="38" t="n"/>
      <c r="E502" s="38" t="n"/>
      <c r="F502" s="16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22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8" t="n"/>
      <c r="B503" s="38" t="n"/>
      <c r="C503" s="21" t="n"/>
      <c r="D503" s="38" t="n"/>
      <c r="E503" s="38" t="n"/>
      <c r="F503" s="16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22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8" t="n"/>
      <c r="B504" s="38" t="n"/>
      <c r="C504" s="21" t="n"/>
      <c r="D504" s="38" t="n"/>
      <c r="E504" s="38" t="n"/>
      <c r="F504" s="16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22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8" t="n"/>
      <c r="B505" s="38" t="n"/>
      <c r="C505" s="21" t="n"/>
      <c r="D505" s="38" t="n"/>
      <c r="E505" s="38" t="n"/>
      <c r="F505" s="16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22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8" t="n"/>
      <c r="B506" s="38" t="n"/>
      <c r="C506" s="21" t="n"/>
      <c r="D506" s="38" t="n"/>
      <c r="E506" s="38" t="n"/>
      <c r="F506" s="16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22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8" t="n"/>
      <c r="B507" s="38" t="n"/>
      <c r="C507" s="21" t="n"/>
      <c r="D507" s="38" t="n"/>
      <c r="E507" s="38" t="n"/>
      <c r="F507" s="16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22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8" t="n"/>
      <c r="B508" s="38" t="n"/>
      <c r="C508" s="21" t="n"/>
      <c r="D508" s="38" t="n"/>
      <c r="E508" s="38" t="n"/>
      <c r="F508" s="16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22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8" t="n"/>
      <c r="B509" s="38" t="n"/>
      <c r="C509" s="21" t="n"/>
      <c r="D509" s="38" t="n"/>
      <c r="E509" s="38" t="n"/>
      <c r="F509" s="16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22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8" t="n"/>
      <c r="B510" s="38" t="n"/>
      <c r="C510" s="21" t="n"/>
      <c r="D510" s="38" t="n"/>
      <c r="E510" s="38" t="n"/>
      <c r="F510" s="16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22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8" t="n"/>
      <c r="B511" s="38" t="n"/>
      <c r="C511" s="21" t="n"/>
      <c r="D511" s="38" t="n"/>
      <c r="E511" s="38" t="n"/>
      <c r="F511" s="16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22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8" t="n"/>
      <c r="B512" s="38" t="n"/>
      <c r="C512" s="21" t="n"/>
      <c r="D512" s="38" t="n"/>
      <c r="E512" s="38" t="n"/>
      <c r="F512" s="16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22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8" t="n"/>
      <c r="B513" s="38" t="n"/>
      <c r="C513" s="21" t="n"/>
      <c r="D513" s="38" t="n"/>
      <c r="E513" s="38" t="n"/>
      <c r="F513" s="16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22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8" t="n"/>
      <c r="B514" s="38" t="n"/>
      <c r="C514" s="21" t="n"/>
      <c r="D514" s="38" t="n"/>
      <c r="E514" s="38" t="n"/>
      <c r="F514" s="16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22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8" t="n"/>
      <c r="B515" s="38" t="n"/>
      <c r="C515" s="21" t="n"/>
      <c r="D515" s="38" t="n"/>
      <c r="E515" s="38" t="n"/>
      <c r="F515" s="16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22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8" t="n"/>
      <c r="B516" s="38" t="n"/>
      <c r="C516" s="21" t="n"/>
      <c r="D516" s="38" t="n"/>
      <c r="E516" s="38" t="n"/>
      <c r="F516" s="16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22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8" t="n"/>
      <c r="B517" s="38" t="n"/>
      <c r="C517" s="21" t="n"/>
      <c r="D517" s="38" t="n"/>
      <c r="E517" s="38" t="n"/>
      <c r="F517" s="16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22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8" t="n"/>
      <c r="B518" s="38" t="n"/>
      <c r="C518" s="21" t="n"/>
      <c r="D518" s="38" t="n"/>
      <c r="E518" s="38" t="n"/>
      <c r="F518" s="16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22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8" t="n"/>
      <c r="B519" s="38" t="n"/>
      <c r="C519" s="21" t="n"/>
      <c r="D519" s="38" t="n"/>
      <c r="E519" s="38" t="n"/>
      <c r="F519" s="16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22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8" t="n"/>
      <c r="B520" s="38" t="n"/>
      <c r="C520" s="21" t="n"/>
      <c r="D520" s="38" t="n"/>
      <c r="E520" s="38" t="n"/>
      <c r="F520" s="16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22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8" t="n"/>
      <c r="B521" s="38" t="n"/>
      <c r="C521" s="21" t="n"/>
      <c r="D521" s="38" t="n"/>
      <c r="E521" s="38" t="n"/>
      <c r="F521" s="16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22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8" t="n"/>
      <c r="B522" s="38" t="n"/>
      <c r="C522" s="21" t="n"/>
      <c r="D522" s="38" t="n"/>
      <c r="E522" s="38" t="n"/>
      <c r="F522" s="16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22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8" t="n"/>
      <c r="B523" s="38" t="n"/>
      <c r="C523" s="21" t="n"/>
      <c r="D523" s="38" t="n"/>
      <c r="E523" s="38" t="n"/>
      <c r="F523" s="16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22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8" t="n"/>
      <c r="B524" s="38" t="n"/>
      <c r="C524" s="21" t="n"/>
      <c r="D524" s="38" t="n"/>
      <c r="E524" s="38" t="n"/>
      <c r="F524" s="16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22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8" t="n"/>
      <c r="B525" s="38" t="n"/>
      <c r="C525" s="21" t="n"/>
      <c r="D525" s="38" t="n"/>
      <c r="E525" s="38" t="n"/>
      <c r="F525" s="16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22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8" t="n"/>
      <c r="B526" s="38" t="n"/>
      <c r="C526" s="21" t="n"/>
      <c r="D526" s="38" t="n"/>
      <c r="E526" s="38" t="n"/>
      <c r="F526" s="16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22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8" t="n"/>
      <c r="B527" s="38" t="n"/>
      <c r="C527" s="21" t="n"/>
      <c r="D527" s="38" t="n"/>
      <c r="E527" s="38" t="n"/>
      <c r="F527" s="16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22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8" t="n"/>
      <c r="B528" s="38" t="n"/>
      <c r="C528" s="21" t="n"/>
      <c r="D528" s="38" t="n"/>
      <c r="E528" s="38" t="n"/>
      <c r="F528" s="16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22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8" t="n"/>
      <c r="B529" s="38" t="n"/>
      <c r="C529" s="21" t="n"/>
      <c r="D529" s="38" t="n"/>
      <c r="E529" s="38" t="n"/>
      <c r="F529" s="16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22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8" t="n"/>
      <c r="B530" s="38" t="n"/>
      <c r="C530" s="21" t="n"/>
      <c r="D530" s="38" t="n"/>
      <c r="E530" s="38" t="n"/>
      <c r="F530" s="16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22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8" t="n"/>
      <c r="B531" s="38" t="n"/>
      <c r="C531" s="21" t="n"/>
      <c r="D531" s="38" t="n"/>
      <c r="E531" s="38" t="n"/>
      <c r="F531" s="16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22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8" t="n"/>
      <c r="B532" s="38" t="n"/>
      <c r="C532" s="21" t="n"/>
      <c r="D532" s="38" t="n"/>
      <c r="E532" s="38" t="n"/>
      <c r="F532" s="16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22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8" t="n"/>
      <c r="B533" s="38" t="n"/>
      <c r="C533" s="21" t="n"/>
      <c r="D533" s="38" t="n"/>
      <c r="E533" s="38" t="n"/>
      <c r="F533" s="16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22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8" t="n"/>
      <c r="B534" s="38" t="n"/>
      <c r="C534" s="21" t="n"/>
      <c r="D534" s="38" t="n"/>
      <c r="E534" s="38" t="n"/>
      <c r="F534" s="16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22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8" t="n"/>
      <c r="B535" s="38" t="n"/>
      <c r="C535" s="21" t="n"/>
      <c r="D535" s="38" t="n"/>
      <c r="E535" s="38" t="n"/>
      <c r="F535" s="16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22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8" t="n"/>
      <c r="B536" s="38" t="n"/>
      <c r="C536" s="21" t="n"/>
      <c r="D536" s="38" t="n"/>
      <c r="E536" s="38" t="n"/>
      <c r="F536" s="16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22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8" t="n"/>
      <c r="B537" s="38" t="n"/>
      <c r="C537" s="21" t="n"/>
      <c r="D537" s="38" t="n"/>
      <c r="E537" s="38" t="n"/>
      <c r="F537" s="16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22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8" t="n"/>
      <c r="B538" s="38" t="n"/>
      <c r="C538" s="21" t="n"/>
      <c r="D538" s="38" t="n"/>
      <c r="E538" s="38" t="n"/>
      <c r="F538" s="16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22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8" t="n"/>
      <c r="B539" s="38" t="n"/>
      <c r="C539" s="21" t="n"/>
      <c r="D539" s="38" t="n"/>
      <c r="E539" s="38" t="n"/>
      <c r="F539" s="16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22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8" t="n"/>
      <c r="B540" s="38" t="n"/>
      <c r="C540" s="21" t="n"/>
      <c r="D540" s="38" t="n"/>
      <c r="E540" s="38" t="n"/>
      <c r="F540" s="16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22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8" t="n"/>
      <c r="B541" s="38" t="n"/>
      <c r="C541" s="21" t="n"/>
      <c r="D541" s="38" t="n"/>
      <c r="E541" s="38" t="n"/>
      <c r="F541" s="16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22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8" t="n"/>
      <c r="B542" s="38" t="n"/>
      <c r="C542" s="21" t="n"/>
      <c r="D542" s="38" t="n"/>
      <c r="E542" s="38" t="n"/>
      <c r="F542" s="16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22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8" t="n"/>
      <c r="B543" s="38" t="n"/>
      <c r="C543" s="21" t="n"/>
      <c r="D543" s="38" t="n"/>
      <c r="E543" s="38" t="n"/>
      <c r="F543" s="16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22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8" t="n"/>
      <c r="B544" s="38" t="n"/>
      <c r="C544" s="21" t="n"/>
      <c r="D544" s="38" t="n"/>
      <c r="E544" s="38" t="n"/>
      <c r="F544" s="16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22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8" t="n"/>
      <c r="B545" s="38" t="n"/>
      <c r="C545" s="21" t="n"/>
      <c r="D545" s="38" t="n"/>
      <c r="E545" s="38" t="n"/>
      <c r="F545" s="16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22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8" t="n"/>
      <c r="B546" s="38" t="n"/>
      <c r="C546" s="21" t="n"/>
      <c r="D546" s="38" t="n"/>
      <c r="E546" s="38" t="n"/>
      <c r="F546" s="16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22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8" t="n"/>
      <c r="B547" s="38" t="n"/>
      <c r="C547" s="21" t="n"/>
      <c r="D547" s="38" t="n"/>
      <c r="E547" s="38" t="n"/>
      <c r="F547" s="16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22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8" t="n"/>
      <c r="B548" s="38" t="n"/>
      <c r="C548" s="21" t="n"/>
      <c r="D548" s="38" t="n"/>
      <c r="E548" s="38" t="n"/>
      <c r="F548" s="16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22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8" t="n"/>
      <c r="B549" s="38" t="n"/>
      <c r="C549" s="21" t="n"/>
      <c r="D549" s="38" t="n"/>
      <c r="E549" s="38" t="n"/>
      <c r="F549" s="16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22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8" t="n"/>
      <c r="B550" s="38" t="n"/>
      <c r="C550" s="21" t="n"/>
      <c r="D550" s="38" t="n"/>
      <c r="E550" s="38" t="n"/>
      <c r="F550" s="16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22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8" t="n"/>
      <c r="B551" s="38" t="n"/>
      <c r="C551" s="21" t="n"/>
      <c r="D551" s="38" t="n"/>
      <c r="E551" s="38" t="n"/>
      <c r="F551" s="16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22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8" t="n"/>
      <c r="B552" s="38" t="n"/>
      <c r="C552" s="21" t="n"/>
      <c r="D552" s="38" t="n"/>
      <c r="E552" s="38" t="n"/>
      <c r="F552" s="16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22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8" t="n"/>
      <c r="B553" s="38" t="n"/>
      <c r="C553" s="21" t="n"/>
      <c r="D553" s="38" t="n"/>
      <c r="E553" s="38" t="n"/>
      <c r="F553" s="16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22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8" t="n"/>
      <c r="B554" s="38" t="n"/>
      <c r="C554" s="21" t="n"/>
      <c r="D554" s="38" t="n"/>
      <c r="E554" s="38" t="n"/>
      <c r="F554" s="16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22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8" t="n"/>
      <c r="B555" s="38" t="n"/>
      <c r="C555" s="21" t="n"/>
      <c r="D555" s="38" t="n"/>
      <c r="E555" s="38" t="n"/>
      <c r="F555" s="16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22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8" t="n"/>
      <c r="B556" s="38" t="n"/>
      <c r="C556" s="21" t="n"/>
      <c r="D556" s="38" t="n"/>
      <c r="E556" s="38" t="n"/>
      <c r="F556" s="16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22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8" t="n"/>
      <c r="B557" s="38" t="n"/>
      <c r="C557" s="21" t="n"/>
      <c r="D557" s="38" t="n"/>
      <c r="E557" s="38" t="n"/>
      <c r="F557" s="16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22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8" t="n"/>
      <c r="B558" s="38" t="n"/>
      <c r="C558" s="21" t="n"/>
      <c r="D558" s="38" t="n"/>
      <c r="E558" s="38" t="n"/>
      <c r="F558" s="16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22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8" t="n"/>
      <c r="B559" s="38" t="n"/>
      <c r="C559" s="21" t="n"/>
      <c r="D559" s="38" t="n"/>
      <c r="E559" s="38" t="n"/>
      <c r="F559" s="16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22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8" t="n"/>
      <c r="B560" s="38" t="n"/>
      <c r="C560" s="21" t="n"/>
      <c r="D560" s="38" t="n"/>
      <c r="E560" s="38" t="n"/>
      <c r="F560" s="16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22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8" t="n"/>
      <c r="B561" s="38" t="n"/>
      <c r="C561" s="21" t="n"/>
      <c r="D561" s="38" t="n"/>
      <c r="E561" s="38" t="n"/>
      <c r="F561" s="16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22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8" t="n"/>
      <c r="B562" s="38" t="n"/>
      <c r="C562" s="21" t="n"/>
      <c r="D562" s="38" t="n"/>
      <c r="E562" s="38" t="n"/>
      <c r="F562" s="16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22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8" t="n"/>
      <c r="B563" s="38" t="n"/>
      <c r="C563" s="21" t="n"/>
      <c r="D563" s="38" t="n"/>
      <c r="E563" s="38" t="n"/>
      <c r="F563" s="16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22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8" t="n"/>
      <c r="B564" s="38" t="n"/>
      <c r="C564" s="21" t="n"/>
      <c r="D564" s="38" t="n"/>
      <c r="E564" s="38" t="n"/>
      <c r="F564" s="16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22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8" t="n"/>
      <c r="B565" s="38" t="n"/>
      <c r="C565" s="21" t="n"/>
      <c r="D565" s="38" t="n"/>
      <c r="E565" s="38" t="n"/>
      <c r="F565" s="16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22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8" t="n"/>
      <c r="B566" s="38" t="n"/>
      <c r="C566" s="21" t="n"/>
      <c r="D566" s="38" t="n"/>
      <c r="E566" s="38" t="n"/>
      <c r="F566" s="16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22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8" t="n"/>
      <c r="B567" s="38" t="n"/>
      <c r="C567" s="21" t="n"/>
      <c r="D567" s="38" t="n"/>
      <c r="E567" s="38" t="n"/>
      <c r="F567" s="16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22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8" t="n"/>
      <c r="B568" s="38" t="n"/>
      <c r="C568" s="21" t="n"/>
      <c r="D568" s="38" t="n"/>
      <c r="E568" s="38" t="n"/>
      <c r="F568" s="16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22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8" t="n"/>
      <c r="B569" s="38" t="n"/>
      <c r="C569" s="21" t="n"/>
      <c r="D569" s="38" t="n"/>
      <c r="E569" s="38" t="n"/>
      <c r="F569" s="16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22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8" t="n"/>
      <c r="B570" s="38" t="n"/>
      <c r="C570" s="21" t="n"/>
      <c r="D570" s="38" t="n"/>
      <c r="E570" s="38" t="n"/>
      <c r="F570" s="16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22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8" t="n"/>
      <c r="B571" s="38" t="n"/>
      <c r="C571" s="21" t="n"/>
      <c r="D571" s="38" t="n"/>
      <c r="E571" s="38" t="n"/>
      <c r="F571" s="16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22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8" t="n"/>
      <c r="B572" s="38" t="n"/>
      <c r="C572" s="21" t="n"/>
      <c r="D572" s="38" t="n"/>
      <c r="E572" s="38" t="n"/>
      <c r="F572" s="16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22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8" t="n"/>
      <c r="B573" s="38" t="n"/>
      <c r="C573" s="21" t="n"/>
      <c r="D573" s="38" t="n"/>
      <c r="E573" s="38" t="n"/>
      <c r="F573" s="16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22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8" t="n"/>
      <c r="B574" s="38" t="n"/>
      <c r="C574" s="21" t="n"/>
      <c r="D574" s="38" t="n"/>
      <c r="E574" s="38" t="n"/>
      <c r="F574" s="16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22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8" t="n"/>
      <c r="B575" s="38" t="n"/>
      <c r="C575" s="21" t="n"/>
      <c r="D575" s="38" t="n"/>
      <c r="E575" s="38" t="n"/>
      <c r="F575" s="16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22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8" t="n"/>
      <c r="B576" s="38" t="n"/>
      <c r="C576" s="21" t="n"/>
      <c r="D576" s="38" t="n"/>
      <c r="E576" s="38" t="n"/>
      <c r="F576" s="16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22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8" t="n"/>
      <c r="B577" s="38" t="n"/>
      <c r="C577" s="21" t="n"/>
      <c r="D577" s="38" t="n"/>
      <c r="E577" s="38" t="n"/>
      <c r="F577" s="16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22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8" t="n"/>
      <c r="B578" s="38" t="n"/>
      <c r="C578" s="21" t="n"/>
      <c r="D578" s="38" t="n"/>
      <c r="E578" s="38" t="n"/>
      <c r="F578" s="16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22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8" t="n"/>
      <c r="B579" s="38" t="n"/>
      <c r="C579" s="21" t="n"/>
      <c r="D579" s="38" t="n"/>
      <c r="E579" s="38" t="n"/>
      <c r="F579" s="16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22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8" t="n"/>
      <c r="B580" s="38" t="n"/>
      <c r="C580" s="21" t="n"/>
      <c r="D580" s="38" t="n"/>
      <c r="E580" s="38" t="n"/>
      <c r="F580" s="16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22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8" t="n"/>
      <c r="B581" s="38" t="n"/>
      <c r="C581" s="21" t="n"/>
      <c r="D581" s="38" t="n"/>
      <c r="E581" s="38" t="n"/>
      <c r="F581" s="16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22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8" t="n"/>
      <c r="B582" s="38" t="n"/>
      <c r="C582" s="21" t="n"/>
      <c r="D582" s="38" t="n"/>
      <c r="E582" s="38" t="n"/>
      <c r="F582" s="16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22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8" t="n"/>
      <c r="B583" s="38" t="n"/>
      <c r="C583" s="21" t="n"/>
      <c r="D583" s="38" t="n"/>
      <c r="E583" s="38" t="n"/>
      <c r="F583" s="16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22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8" t="n"/>
      <c r="B584" s="38" t="n"/>
      <c r="C584" s="21" t="n"/>
      <c r="D584" s="38" t="n"/>
      <c r="E584" s="38" t="n"/>
      <c r="F584" s="16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22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8" t="n"/>
      <c r="B585" s="38" t="n"/>
      <c r="C585" s="21" t="n"/>
      <c r="D585" s="38" t="n"/>
      <c r="E585" s="38" t="n"/>
      <c r="F585" s="16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22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8" t="n"/>
      <c r="B586" s="38" t="n"/>
      <c r="C586" s="21" t="n"/>
      <c r="D586" s="38" t="n"/>
      <c r="E586" s="38" t="n"/>
      <c r="F586" s="16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22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8" t="n"/>
      <c r="B587" s="38" t="n"/>
      <c r="C587" s="21" t="n"/>
      <c r="D587" s="38" t="n"/>
      <c r="E587" s="38" t="n"/>
      <c r="F587" s="16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22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8" t="n"/>
      <c r="B588" s="38" t="n"/>
      <c r="C588" s="21" t="n"/>
      <c r="D588" s="38" t="n"/>
      <c r="E588" s="38" t="n"/>
      <c r="F588" s="16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22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8" t="n"/>
      <c r="B589" s="38" t="n"/>
      <c r="C589" s="21" t="n"/>
      <c r="D589" s="38" t="n"/>
      <c r="E589" s="38" t="n"/>
      <c r="F589" s="16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22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8" t="n"/>
      <c r="B590" s="38" t="n"/>
      <c r="C590" s="21" t="n"/>
      <c r="D590" s="38" t="n"/>
      <c r="E590" s="38" t="n"/>
      <c r="F590" s="16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22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8" t="n"/>
      <c r="B591" s="38" t="n"/>
      <c r="C591" s="21" t="n"/>
      <c r="D591" s="38" t="n"/>
      <c r="E591" s="38" t="n"/>
      <c r="F591" s="16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22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8" t="n"/>
      <c r="B592" s="38" t="n"/>
      <c r="C592" s="21" t="n"/>
      <c r="D592" s="38" t="n"/>
      <c r="E592" s="38" t="n"/>
      <c r="F592" s="16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22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8" t="n"/>
      <c r="B593" s="38" t="n"/>
      <c r="C593" s="21" t="n"/>
      <c r="D593" s="38" t="n"/>
      <c r="E593" s="38" t="n"/>
      <c r="F593" s="16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22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8" t="n"/>
      <c r="B594" s="38" t="n"/>
      <c r="C594" s="21" t="n"/>
      <c r="D594" s="38" t="n"/>
      <c r="E594" s="38" t="n"/>
      <c r="F594" s="16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22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8" t="n"/>
      <c r="B595" s="38" t="n"/>
      <c r="C595" s="21" t="n"/>
      <c r="D595" s="38" t="n"/>
      <c r="E595" s="38" t="n"/>
      <c r="F595" s="16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22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8" t="n"/>
      <c r="B596" s="38" t="n"/>
      <c r="C596" s="21" t="n"/>
      <c r="D596" s="38" t="n"/>
      <c r="E596" s="38" t="n"/>
      <c r="F596" s="16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22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8" t="n"/>
      <c r="B597" s="38" t="n"/>
      <c r="C597" s="21" t="n"/>
      <c r="D597" s="38" t="n"/>
      <c r="E597" s="38" t="n"/>
      <c r="F597" s="16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22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8" t="n"/>
      <c r="B598" s="38" t="n"/>
      <c r="C598" s="21" t="n"/>
      <c r="D598" s="38" t="n"/>
      <c r="E598" s="38" t="n"/>
      <c r="F598" s="16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22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8" t="n"/>
      <c r="B599" s="38" t="n"/>
      <c r="C599" s="21" t="n"/>
      <c r="D599" s="38" t="n"/>
      <c r="E599" s="38" t="n"/>
      <c r="F599" s="16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22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8" t="n"/>
      <c r="B600" s="38" t="n"/>
      <c r="C600" s="21" t="n"/>
      <c r="D600" s="38" t="n"/>
      <c r="E600" s="38" t="n"/>
      <c r="F600" s="16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22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8" t="n"/>
      <c r="B601" s="38" t="n"/>
      <c r="C601" s="21" t="n"/>
      <c r="D601" s="38" t="n"/>
      <c r="E601" s="38" t="n"/>
      <c r="F601" s="16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22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8" t="n"/>
      <c r="B602" s="38" t="n"/>
      <c r="C602" s="21" t="n"/>
      <c r="D602" s="38" t="n"/>
      <c r="E602" s="38" t="n"/>
      <c r="F602" s="16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22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8" t="n"/>
      <c r="B603" s="38" t="n"/>
      <c r="C603" s="21" t="n"/>
      <c r="D603" s="38" t="n"/>
      <c r="E603" s="38" t="n"/>
      <c r="F603" s="16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22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8" t="n"/>
      <c r="B604" s="38" t="n"/>
      <c r="C604" s="21" t="n"/>
      <c r="D604" s="38" t="n"/>
      <c r="E604" s="38" t="n"/>
      <c r="F604" s="16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22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8" t="n"/>
      <c r="B605" s="38" t="n"/>
      <c r="C605" s="21" t="n"/>
      <c r="D605" s="38" t="n"/>
      <c r="E605" s="38" t="n"/>
      <c r="F605" s="16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22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8" t="n"/>
      <c r="B606" s="38" t="n"/>
      <c r="C606" s="21" t="n"/>
      <c r="D606" s="38" t="n"/>
      <c r="E606" s="38" t="n"/>
      <c r="F606" s="16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22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8" t="n"/>
      <c r="B607" s="38" t="n"/>
      <c r="C607" s="21" t="n"/>
      <c r="D607" s="38" t="n"/>
      <c r="E607" s="38" t="n"/>
      <c r="F607" s="16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22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8" t="n"/>
      <c r="B608" s="38" t="n"/>
      <c r="C608" s="21" t="n"/>
      <c r="D608" s="38" t="n"/>
      <c r="E608" s="38" t="n"/>
      <c r="F608" s="16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22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8" t="n"/>
      <c r="B609" s="38" t="n"/>
      <c r="C609" s="21" t="n"/>
      <c r="D609" s="38" t="n"/>
      <c r="E609" s="38" t="n"/>
      <c r="F609" s="16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22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8" t="n"/>
      <c r="B610" s="38" t="n"/>
      <c r="C610" s="21" t="n"/>
      <c r="D610" s="38" t="n"/>
      <c r="E610" s="38" t="n"/>
      <c r="F610" s="16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22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8" t="n"/>
      <c r="B611" s="38" t="n"/>
      <c r="C611" s="21" t="n"/>
      <c r="D611" s="38" t="n"/>
      <c r="E611" s="38" t="n"/>
      <c r="F611" s="16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22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8" t="n"/>
      <c r="B612" s="38" t="n"/>
      <c r="C612" s="21" t="n"/>
      <c r="D612" s="38" t="n"/>
      <c r="E612" s="38" t="n"/>
      <c r="F612" s="16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22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8" t="n"/>
      <c r="B613" s="38" t="n"/>
      <c r="C613" s="21" t="n"/>
      <c r="D613" s="38" t="n"/>
      <c r="E613" s="38" t="n"/>
      <c r="F613" s="16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22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8" t="n"/>
      <c r="B614" s="38" t="n"/>
      <c r="C614" s="21" t="n"/>
      <c r="D614" s="38" t="n"/>
      <c r="E614" s="38" t="n"/>
      <c r="F614" s="16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22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8" t="n"/>
      <c r="B615" s="38" t="n"/>
      <c r="C615" s="21" t="n"/>
      <c r="D615" s="38" t="n"/>
      <c r="E615" s="38" t="n"/>
      <c r="F615" s="16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22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8" t="n"/>
      <c r="B616" s="38" t="n"/>
      <c r="C616" s="21" t="n"/>
      <c r="D616" s="38" t="n"/>
      <c r="E616" s="38" t="n"/>
      <c r="F616" s="16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22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8" t="n"/>
      <c r="B617" s="38" t="n"/>
      <c r="C617" s="21" t="n"/>
      <c r="D617" s="38" t="n"/>
      <c r="E617" s="38" t="n"/>
      <c r="F617" s="16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22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8" t="n"/>
      <c r="B618" s="38" t="n"/>
      <c r="C618" s="21" t="n"/>
      <c r="D618" s="38" t="n"/>
      <c r="E618" s="38" t="n"/>
      <c r="F618" s="16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22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8" t="n"/>
      <c r="B619" s="38" t="n"/>
      <c r="C619" s="21" t="n"/>
      <c r="D619" s="38" t="n"/>
      <c r="E619" s="38" t="n"/>
      <c r="F619" s="16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22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8" t="n"/>
      <c r="B620" s="38" t="n"/>
      <c r="C620" s="21" t="n"/>
      <c r="D620" s="38" t="n"/>
      <c r="E620" s="38" t="n"/>
      <c r="F620" s="16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22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8" t="n"/>
      <c r="B621" s="38" t="n"/>
      <c r="C621" s="21" t="n"/>
      <c r="D621" s="38" t="n"/>
      <c r="E621" s="38" t="n"/>
      <c r="F621" s="16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22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8" t="n"/>
      <c r="B622" s="38" t="n"/>
      <c r="C622" s="21" t="n"/>
      <c r="D622" s="38" t="n"/>
      <c r="E622" s="38" t="n"/>
      <c r="F622" s="16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22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8" t="n"/>
      <c r="B623" s="38" t="n"/>
      <c r="C623" s="21" t="n"/>
      <c r="D623" s="38" t="n"/>
      <c r="E623" s="38" t="n"/>
      <c r="F623" s="16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22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8" t="n"/>
      <c r="B624" s="38" t="n"/>
      <c r="C624" s="21" t="n"/>
      <c r="D624" s="38" t="n"/>
      <c r="E624" s="38" t="n"/>
      <c r="F624" s="16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22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8" t="n"/>
      <c r="B625" s="38" t="n"/>
      <c r="C625" s="21" t="n"/>
      <c r="D625" s="38" t="n"/>
      <c r="E625" s="38" t="n"/>
      <c r="F625" s="16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22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8" t="n"/>
      <c r="B626" s="38" t="n"/>
      <c r="C626" s="21" t="n"/>
      <c r="D626" s="38" t="n"/>
      <c r="E626" s="38" t="n"/>
      <c r="F626" s="16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22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8" t="n"/>
      <c r="B627" s="38" t="n"/>
      <c r="C627" s="21" t="n"/>
      <c r="D627" s="38" t="n"/>
      <c r="E627" s="38" t="n"/>
      <c r="F627" s="16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22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8" t="n"/>
      <c r="B628" s="38" t="n"/>
      <c r="C628" s="21" t="n"/>
      <c r="D628" s="38" t="n"/>
      <c r="E628" s="38" t="n"/>
      <c r="F628" s="16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22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8" t="n"/>
      <c r="B629" s="38" t="n"/>
      <c r="C629" s="21" t="n"/>
      <c r="D629" s="38" t="n"/>
      <c r="E629" s="38" t="n"/>
      <c r="F629" s="16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22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8" t="n"/>
      <c r="B630" s="38" t="n"/>
      <c r="C630" s="21" t="n"/>
      <c r="D630" s="38" t="n"/>
      <c r="E630" s="38" t="n"/>
      <c r="F630" s="16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22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8" t="n"/>
      <c r="B631" s="38" t="n"/>
      <c r="C631" s="21" t="n"/>
      <c r="D631" s="38" t="n"/>
      <c r="E631" s="38" t="n"/>
      <c r="F631" s="16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22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8" t="n"/>
      <c r="B632" s="38" t="n"/>
      <c r="C632" s="21" t="n"/>
      <c r="D632" s="38" t="n"/>
      <c r="E632" s="38" t="n"/>
      <c r="F632" s="16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22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8" t="n"/>
      <c r="B633" s="38" t="n"/>
      <c r="C633" s="21" t="n"/>
      <c r="D633" s="38" t="n"/>
      <c r="E633" s="38" t="n"/>
      <c r="F633" s="16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22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8" t="n"/>
      <c r="B634" s="38" t="n"/>
      <c r="C634" s="21" t="n"/>
      <c r="D634" s="38" t="n"/>
      <c r="E634" s="38" t="n"/>
      <c r="F634" s="16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22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8" t="n"/>
      <c r="B635" s="38" t="n"/>
      <c r="C635" s="21" t="n"/>
      <c r="D635" s="38" t="n"/>
      <c r="E635" s="38" t="n"/>
      <c r="F635" s="16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22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8" t="n"/>
      <c r="B636" s="38" t="n"/>
      <c r="C636" s="21" t="n"/>
      <c r="D636" s="38" t="n"/>
      <c r="E636" s="38" t="n"/>
      <c r="F636" s="16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22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8" t="n"/>
      <c r="B637" s="38" t="n"/>
      <c r="C637" s="21" t="n"/>
      <c r="D637" s="38" t="n"/>
      <c r="E637" s="38" t="n"/>
      <c r="F637" s="16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22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8" t="n"/>
      <c r="B638" s="38" t="n"/>
      <c r="C638" s="21" t="n"/>
      <c r="D638" s="38" t="n"/>
      <c r="E638" s="38" t="n"/>
      <c r="F638" s="16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22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8" t="n"/>
      <c r="B639" s="38" t="n"/>
      <c r="C639" s="21" t="n"/>
      <c r="D639" s="38" t="n"/>
      <c r="E639" s="38" t="n"/>
      <c r="F639" s="16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22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8" t="n"/>
      <c r="B640" s="38" t="n"/>
      <c r="C640" s="21" t="n"/>
      <c r="D640" s="38" t="n"/>
      <c r="E640" s="38" t="n"/>
      <c r="F640" s="16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22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8" t="n"/>
      <c r="B641" s="38" t="n"/>
      <c r="C641" s="21" t="n"/>
      <c r="D641" s="38" t="n"/>
      <c r="E641" s="38" t="n"/>
      <c r="F641" s="16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22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8" t="n"/>
      <c r="B642" s="38" t="n"/>
      <c r="C642" s="21" t="n"/>
      <c r="D642" s="38" t="n"/>
      <c r="E642" s="38" t="n"/>
      <c r="F642" s="16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22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8" t="n"/>
      <c r="B643" s="38" t="n"/>
      <c r="C643" s="21" t="n"/>
      <c r="D643" s="38" t="n"/>
      <c r="E643" s="38" t="n"/>
      <c r="F643" s="16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22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8" t="n"/>
      <c r="B644" s="38" t="n"/>
      <c r="C644" s="21" t="n"/>
      <c r="D644" s="38" t="n"/>
      <c r="E644" s="38" t="n"/>
      <c r="F644" s="16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22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8" t="n"/>
      <c r="B645" s="38" t="n"/>
      <c r="C645" s="21" t="n"/>
      <c r="D645" s="38" t="n"/>
      <c r="E645" s="38" t="n"/>
      <c r="F645" s="16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22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8" t="n"/>
      <c r="B646" s="38" t="n"/>
      <c r="C646" s="21" t="n"/>
      <c r="D646" s="38" t="n"/>
      <c r="E646" s="38" t="n"/>
      <c r="F646" s="16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22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8" t="n"/>
      <c r="B647" s="38" t="n"/>
      <c r="C647" s="21" t="n"/>
      <c r="D647" s="38" t="n"/>
      <c r="E647" s="38" t="n"/>
      <c r="F647" s="16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22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8" t="n"/>
      <c r="B648" s="38" t="n"/>
      <c r="C648" s="21" t="n"/>
      <c r="D648" s="38" t="n"/>
      <c r="E648" s="38" t="n"/>
      <c r="F648" s="16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22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8" t="n"/>
      <c r="B649" s="38" t="n"/>
      <c r="C649" s="21" t="n"/>
      <c r="D649" s="38" t="n"/>
      <c r="E649" s="38" t="n"/>
      <c r="F649" s="16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22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8" t="n"/>
      <c r="B650" s="38" t="n"/>
      <c r="C650" s="21" t="n"/>
      <c r="D650" s="38" t="n"/>
      <c r="E650" s="38" t="n"/>
      <c r="F650" s="16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22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8" t="n"/>
      <c r="B651" s="38" t="n"/>
      <c r="C651" s="21" t="n"/>
      <c r="D651" s="38" t="n"/>
      <c r="E651" s="38" t="n"/>
      <c r="F651" s="16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22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8" t="n"/>
      <c r="B652" s="38" t="n"/>
      <c r="C652" s="21" t="n"/>
      <c r="D652" s="38" t="n"/>
      <c r="E652" s="38" t="n"/>
      <c r="F652" s="16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22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8" t="n"/>
      <c r="B653" s="38" t="n"/>
      <c r="C653" s="21" t="n"/>
      <c r="D653" s="38" t="n"/>
      <c r="E653" s="38" t="n"/>
      <c r="F653" s="16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22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8" t="n"/>
      <c r="B654" s="38" t="n"/>
      <c r="C654" s="21" t="n"/>
      <c r="D654" s="38" t="n"/>
      <c r="E654" s="38" t="n"/>
      <c r="F654" s="16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22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8" t="n"/>
      <c r="B655" s="38" t="n"/>
      <c r="C655" s="21" t="n"/>
      <c r="D655" s="38" t="n"/>
      <c r="E655" s="38" t="n"/>
      <c r="F655" s="16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22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8" t="n"/>
      <c r="B656" s="38" t="n"/>
      <c r="C656" s="21" t="n"/>
      <c r="D656" s="38" t="n"/>
      <c r="E656" s="38" t="n"/>
      <c r="F656" s="16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22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8" t="n"/>
      <c r="B657" s="38" t="n"/>
      <c r="C657" s="21" t="n"/>
      <c r="D657" s="38" t="n"/>
      <c r="E657" s="38" t="n"/>
      <c r="F657" s="16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22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8" t="n"/>
      <c r="B658" s="38" t="n"/>
      <c r="C658" s="21" t="n"/>
      <c r="D658" s="38" t="n"/>
      <c r="E658" s="38" t="n"/>
      <c r="F658" s="16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22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8" t="n"/>
      <c r="B659" s="38" t="n"/>
      <c r="C659" s="21" t="n"/>
      <c r="D659" s="38" t="n"/>
      <c r="E659" s="38" t="n"/>
      <c r="F659" s="16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22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8" t="n"/>
      <c r="B660" s="38" t="n"/>
      <c r="C660" s="21" t="n"/>
      <c r="D660" s="38" t="n"/>
      <c r="E660" s="38" t="n"/>
      <c r="F660" s="16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22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8" t="n"/>
      <c r="B661" s="38" t="n"/>
      <c r="C661" s="21" t="n"/>
      <c r="D661" s="38" t="n"/>
      <c r="E661" s="38" t="n"/>
      <c r="F661" s="16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22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8" t="n"/>
      <c r="B662" s="38" t="n"/>
      <c r="C662" s="21" t="n"/>
      <c r="D662" s="38" t="n"/>
      <c r="E662" s="38" t="n"/>
      <c r="F662" s="16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22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8" t="n"/>
      <c r="B663" s="38" t="n"/>
      <c r="C663" s="21" t="n"/>
      <c r="D663" s="38" t="n"/>
      <c r="E663" s="38" t="n"/>
      <c r="F663" s="16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22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8" t="n"/>
      <c r="B664" s="38" t="n"/>
      <c r="C664" s="21" t="n"/>
      <c r="D664" s="38" t="n"/>
      <c r="E664" s="38" t="n"/>
      <c r="F664" s="16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22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8" t="n"/>
      <c r="B665" s="38" t="n"/>
      <c r="C665" s="21" t="n"/>
      <c r="D665" s="38" t="n"/>
      <c r="E665" s="38" t="n"/>
      <c r="F665" s="16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22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8" t="n"/>
      <c r="B666" s="38" t="n"/>
      <c r="C666" s="21" t="n"/>
      <c r="D666" s="38" t="n"/>
      <c r="E666" s="38" t="n"/>
      <c r="F666" s="16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22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8" t="n"/>
      <c r="B667" s="38" t="n"/>
      <c r="C667" s="21" t="n"/>
      <c r="D667" s="38" t="n"/>
      <c r="E667" s="38" t="n"/>
      <c r="F667" s="16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22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8" t="n"/>
      <c r="B668" s="38" t="n"/>
      <c r="C668" s="21" t="n"/>
      <c r="D668" s="38" t="n"/>
      <c r="E668" s="38" t="n"/>
      <c r="F668" s="16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22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8" t="n"/>
      <c r="B669" s="38" t="n"/>
      <c r="C669" s="21" t="n"/>
      <c r="D669" s="38" t="n"/>
      <c r="E669" s="38" t="n"/>
      <c r="F669" s="16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22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8" t="n"/>
      <c r="B670" s="38" t="n"/>
      <c r="C670" s="21" t="n"/>
      <c r="D670" s="38" t="n"/>
      <c r="E670" s="38" t="n"/>
      <c r="F670" s="16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22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8" t="n"/>
      <c r="B671" s="38" t="n"/>
      <c r="C671" s="21" t="n"/>
      <c r="D671" s="38" t="n"/>
      <c r="E671" s="38" t="n"/>
      <c r="F671" s="16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22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8" t="n"/>
      <c r="B672" s="38" t="n"/>
      <c r="C672" s="21" t="n"/>
      <c r="D672" s="38" t="n"/>
      <c r="E672" s="38" t="n"/>
      <c r="F672" s="16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22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8" t="n"/>
      <c r="B673" s="38" t="n"/>
      <c r="C673" s="21" t="n"/>
      <c r="D673" s="38" t="n"/>
      <c r="E673" s="38" t="n"/>
      <c r="F673" s="16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22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8" t="n"/>
      <c r="B674" s="38" t="n"/>
      <c r="C674" s="21" t="n"/>
      <c r="D674" s="38" t="n"/>
      <c r="E674" s="38" t="n"/>
      <c r="F674" s="16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22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8" t="n"/>
      <c r="B675" s="38" t="n"/>
      <c r="C675" s="21" t="n"/>
      <c r="D675" s="38" t="n"/>
      <c r="E675" s="38" t="n"/>
      <c r="F675" s="16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22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8" t="n"/>
      <c r="B676" s="38" t="n"/>
      <c r="C676" s="21" t="n"/>
      <c r="D676" s="38" t="n"/>
      <c r="E676" s="38" t="n"/>
      <c r="F676" s="16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22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8" t="n"/>
      <c r="B677" s="38" t="n"/>
      <c r="C677" s="21" t="n"/>
      <c r="D677" s="38" t="n"/>
      <c r="E677" s="38" t="n"/>
      <c r="F677" s="16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22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8" t="n"/>
      <c r="B678" s="38" t="n"/>
      <c r="C678" s="21" t="n"/>
      <c r="D678" s="38" t="n"/>
      <c r="E678" s="38" t="n"/>
      <c r="F678" s="16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22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8" t="n"/>
      <c r="B679" s="38" t="n"/>
      <c r="C679" s="21" t="n"/>
      <c r="D679" s="38" t="n"/>
      <c r="E679" s="38" t="n"/>
      <c r="F679" s="16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22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8" t="n"/>
      <c r="B680" s="38" t="n"/>
      <c r="C680" s="21" t="n"/>
      <c r="D680" s="38" t="n"/>
      <c r="E680" s="38" t="n"/>
      <c r="F680" s="16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22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8" t="n"/>
      <c r="B681" s="38" t="n"/>
      <c r="C681" s="21" t="n"/>
      <c r="D681" s="38" t="n"/>
      <c r="E681" s="38" t="n"/>
      <c r="F681" s="16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22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8" t="n"/>
      <c r="B682" s="38" t="n"/>
      <c r="C682" s="21" t="n"/>
      <c r="D682" s="38" t="n"/>
      <c r="E682" s="38" t="n"/>
      <c r="F682" s="16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22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8" t="n"/>
      <c r="B683" s="38" t="n"/>
      <c r="C683" s="21" t="n"/>
      <c r="D683" s="38" t="n"/>
      <c r="E683" s="38" t="n"/>
      <c r="F683" s="16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22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8" t="n"/>
      <c r="B684" s="38" t="n"/>
      <c r="C684" s="21" t="n"/>
      <c r="D684" s="38" t="n"/>
      <c r="E684" s="38" t="n"/>
      <c r="F684" s="16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22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8" t="n"/>
      <c r="B685" s="38" t="n"/>
      <c r="C685" s="21" t="n"/>
      <c r="D685" s="38" t="n"/>
      <c r="E685" s="38" t="n"/>
      <c r="F685" s="16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22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8" t="n"/>
      <c r="B686" s="38" t="n"/>
      <c r="C686" s="21" t="n"/>
      <c r="D686" s="38" t="n"/>
      <c r="E686" s="38" t="n"/>
      <c r="F686" s="16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22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8" t="n"/>
      <c r="B687" s="38" t="n"/>
      <c r="C687" s="21" t="n"/>
      <c r="D687" s="38" t="n"/>
      <c r="E687" s="38" t="n"/>
      <c r="F687" s="16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22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8" t="n"/>
      <c r="B688" s="38" t="n"/>
      <c r="C688" s="21" t="n"/>
      <c r="D688" s="38" t="n"/>
      <c r="E688" s="38" t="n"/>
      <c r="F688" s="16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22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8" t="n"/>
      <c r="B689" s="38" t="n"/>
      <c r="C689" s="21" t="n"/>
      <c r="D689" s="38" t="n"/>
      <c r="E689" s="38" t="n"/>
      <c r="F689" s="16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22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8" t="n"/>
      <c r="B690" s="38" t="n"/>
      <c r="C690" s="21" t="n"/>
      <c r="D690" s="38" t="n"/>
      <c r="E690" s="38" t="n"/>
      <c r="F690" s="16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22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8" t="n"/>
      <c r="B691" s="38" t="n"/>
      <c r="C691" s="21" t="n"/>
      <c r="D691" s="38" t="n"/>
      <c r="E691" s="38" t="n"/>
      <c r="F691" s="16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22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8" t="n"/>
      <c r="B692" s="38" t="n"/>
      <c r="C692" s="21" t="n"/>
      <c r="D692" s="38" t="n"/>
      <c r="E692" s="38" t="n"/>
      <c r="F692" s="16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22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8" t="n"/>
      <c r="B693" s="38" t="n"/>
      <c r="C693" s="21" t="n"/>
      <c r="D693" s="38" t="n"/>
      <c r="E693" s="38" t="n"/>
      <c r="F693" s="16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22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8" t="n"/>
      <c r="B694" s="38" t="n"/>
      <c r="C694" s="21" t="n"/>
      <c r="D694" s="38" t="n"/>
      <c r="E694" s="38" t="n"/>
      <c r="F694" s="16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22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8" t="n"/>
      <c r="B695" s="38" t="n"/>
      <c r="C695" s="21" t="n"/>
      <c r="D695" s="38" t="n"/>
      <c r="E695" s="38" t="n"/>
      <c r="F695" s="16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22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8" t="n"/>
      <c r="B696" s="38" t="n"/>
      <c r="C696" s="21" t="n"/>
      <c r="D696" s="38" t="n"/>
      <c r="E696" s="38" t="n"/>
      <c r="F696" s="16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22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8" t="n"/>
      <c r="B697" s="38" t="n"/>
      <c r="C697" s="21" t="n"/>
      <c r="D697" s="38" t="n"/>
      <c r="E697" s="38" t="n"/>
      <c r="F697" s="16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22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8" t="n"/>
      <c r="B698" s="38" t="n"/>
      <c r="C698" s="21" t="n"/>
      <c r="D698" s="38" t="n"/>
      <c r="E698" s="38" t="n"/>
      <c r="F698" s="16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22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8" t="n"/>
      <c r="B699" s="38" t="n"/>
      <c r="C699" s="21" t="n"/>
      <c r="D699" s="38" t="n"/>
      <c r="E699" s="38" t="n"/>
      <c r="F699" s="16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22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8" t="n"/>
      <c r="B700" s="38" t="n"/>
      <c r="C700" s="21" t="n"/>
      <c r="D700" s="38" t="n"/>
      <c r="E700" s="38" t="n"/>
      <c r="F700" s="16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22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8" t="n"/>
      <c r="B701" s="38" t="n"/>
      <c r="C701" s="21" t="n"/>
      <c r="D701" s="38" t="n"/>
      <c r="E701" s="38" t="n"/>
      <c r="F701" s="16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22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8" t="n"/>
      <c r="B702" s="38" t="n"/>
      <c r="C702" s="21" t="n"/>
      <c r="D702" s="38" t="n"/>
      <c r="E702" s="38" t="n"/>
      <c r="F702" s="16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22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8" t="n"/>
      <c r="B703" s="38" t="n"/>
      <c r="C703" s="21" t="n"/>
      <c r="D703" s="38" t="n"/>
      <c r="E703" s="38" t="n"/>
      <c r="F703" s="16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22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8" t="n"/>
      <c r="B704" s="38" t="n"/>
      <c r="C704" s="21" t="n"/>
      <c r="D704" s="38" t="n"/>
      <c r="E704" s="38" t="n"/>
      <c r="F704" s="16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22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8" t="n"/>
      <c r="B705" s="38" t="n"/>
      <c r="C705" s="21" t="n"/>
      <c r="D705" s="38" t="n"/>
      <c r="E705" s="38" t="n"/>
      <c r="F705" s="16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22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8" t="n"/>
      <c r="B706" s="38" t="n"/>
      <c r="C706" s="21" t="n"/>
      <c r="D706" s="38" t="n"/>
      <c r="E706" s="38" t="n"/>
      <c r="F706" s="16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22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8" t="n"/>
      <c r="B707" s="38" t="n"/>
      <c r="C707" s="21" t="n"/>
      <c r="D707" s="38" t="n"/>
      <c r="E707" s="38" t="n"/>
      <c r="F707" s="16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22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8" t="n"/>
      <c r="B708" s="38" t="n"/>
      <c r="C708" s="21" t="n"/>
      <c r="D708" s="38" t="n"/>
      <c r="E708" s="38" t="n"/>
      <c r="F708" s="16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22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8" t="n"/>
      <c r="B709" s="38" t="n"/>
      <c r="C709" s="21" t="n"/>
      <c r="D709" s="38" t="n"/>
      <c r="E709" s="38" t="n"/>
      <c r="F709" s="16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22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8" t="n"/>
      <c r="B710" s="38" t="n"/>
      <c r="C710" s="21" t="n"/>
      <c r="D710" s="38" t="n"/>
      <c r="E710" s="38" t="n"/>
      <c r="F710" s="16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22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8" t="n"/>
      <c r="B711" s="38" t="n"/>
      <c r="C711" s="21" t="n"/>
      <c r="D711" s="38" t="n"/>
      <c r="E711" s="38" t="n"/>
      <c r="F711" s="16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22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8" t="n"/>
      <c r="B712" s="38" t="n"/>
      <c r="C712" s="21" t="n"/>
      <c r="D712" s="38" t="n"/>
      <c r="E712" s="38" t="n"/>
      <c r="F712" s="16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22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8" t="n"/>
      <c r="B713" s="38" t="n"/>
      <c r="C713" s="21" t="n"/>
      <c r="D713" s="38" t="n"/>
      <c r="E713" s="38" t="n"/>
      <c r="F713" s="16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22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8" t="n"/>
      <c r="B714" s="38" t="n"/>
      <c r="C714" s="21" t="n"/>
      <c r="D714" s="38" t="n"/>
      <c r="E714" s="38" t="n"/>
      <c r="F714" s="16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22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8" t="n"/>
      <c r="B715" s="38" t="n"/>
      <c r="C715" s="21" t="n"/>
      <c r="D715" s="38" t="n"/>
      <c r="E715" s="38" t="n"/>
      <c r="F715" s="16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22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8" t="n"/>
      <c r="B716" s="38" t="n"/>
      <c r="C716" s="21" t="n"/>
      <c r="D716" s="38" t="n"/>
      <c r="E716" s="38" t="n"/>
      <c r="F716" s="16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22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8" t="n"/>
      <c r="B717" s="38" t="n"/>
      <c r="C717" s="21" t="n"/>
      <c r="D717" s="38" t="n"/>
      <c r="E717" s="38" t="n"/>
      <c r="F717" s="16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22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8" t="n"/>
      <c r="B718" s="38" t="n"/>
      <c r="C718" s="21" t="n"/>
      <c r="D718" s="38" t="n"/>
      <c r="E718" s="38" t="n"/>
      <c r="F718" s="16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22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8" t="n"/>
      <c r="B719" s="38" t="n"/>
      <c r="C719" s="21" t="n"/>
      <c r="D719" s="38" t="n"/>
      <c r="E719" s="38" t="n"/>
      <c r="F719" s="16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22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8" t="n"/>
      <c r="B720" s="38" t="n"/>
      <c r="C720" s="21" t="n"/>
      <c r="D720" s="38" t="n"/>
      <c r="E720" s="38" t="n"/>
      <c r="F720" s="16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22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8" t="n"/>
      <c r="B721" s="38" t="n"/>
      <c r="C721" s="21" t="n"/>
      <c r="D721" s="38" t="n"/>
      <c r="E721" s="38" t="n"/>
      <c r="F721" s="16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22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8" t="n"/>
      <c r="B722" s="38" t="n"/>
      <c r="C722" s="21" t="n"/>
      <c r="D722" s="38" t="n"/>
      <c r="E722" s="38" t="n"/>
      <c r="F722" s="16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22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8" t="n"/>
      <c r="B723" s="38" t="n"/>
      <c r="C723" s="21" t="n"/>
      <c r="D723" s="38" t="n"/>
      <c r="E723" s="38" t="n"/>
      <c r="F723" s="16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22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8" t="n"/>
      <c r="B724" s="38" t="n"/>
      <c r="C724" s="21" t="n"/>
      <c r="D724" s="38" t="n"/>
      <c r="E724" s="38" t="n"/>
      <c r="F724" s="16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22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8" t="n"/>
      <c r="B725" s="38" t="n"/>
      <c r="C725" s="21" t="n"/>
      <c r="D725" s="38" t="n"/>
      <c r="E725" s="38" t="n"/>
      <c r="F725" s="16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22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8" t="n"/>
      <c r="B726" s="38" t="n"/>
      <c r="C726" s="21" t="n"/>
      <c r="D726" s="38" t="n"/>
      <c r="E726" s="38" t="n"/>
      <c r="F726" s="16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22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8" t="n"/>
      <c r="B727" s="38" t="n"/>
      <c r="C727" s="21" t="n"/>
      <c r="D727" s="38" t="n"/>
      <c r="E727" s="38" t="n"/>
      <c r="F727" s="16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22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8" t="n"/>
      <c r="B728" s="38" t="n"/>
      <c r="C728" s="21" t="n"/>
      <c r="D728" s="38" t="n"/>
      <c r="E728" s="38" t="n"/>
      <c r="F728" s="16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22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8" t="n"/>
      <c r="B729" s="38" t="n"/>
      <c r="C729" s="21" t="n"/>
      <c r="D729" s="38" t="n"/>
      <c r="E729" s="38" t="n"/>
      <c r="F729" s="16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22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8" t="n"/>
      <c r="B730" s="38" t="n"/>
      <c r="C730" s="21" t="n"/>
      <c r="D730" s="38" t="n"/>
      <c r="E730" s="38" t="n"/>
      <c r="F730" s="16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22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8" t="n"/>
      <c r="B731" s="38" t="n"/>
      <c r="C731" s="21" t="n"/>
      <c r="D731" s="38" t="n"/>
      <c r="E731" s="38" t="n"/>
      <c r="F731" s="16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22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8" t="n"/>
      <c r="B732" s="38" t="n"/>
      <c r="C732" s="21" t="n"/>
      <c r="D732" s="38" t="n"/>
      <c r="E732" s="38" t="n"/>
      <c r="F732" s="16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22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8" t="n"/>
      <c r="B733" s="38" t="n"/>
      <c r="C733" s="21" t="n"/>
      <c r="D733" s="38" t="n"/>
      <c r="E733" s="38" t="n"/>
      <c r="F733" s="16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22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8" t="n"/>
      <c r="B734" s="38" t="n"/>
      <c r="C734" s="21" t="n"/>
      <c r="D734" s="38" t="n"/>
      <c r="E734" s="38" t="n"/>
      <c r="F734" s="16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22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8" t="n"/>
      <c r="B735" s="38" t="n"/>
      <c r="C735" s="21" t="n"/>
      <c r="D735" s="38" t="n"/>
      <c r="E735" s="38" t="n"/>
      <c r="F735" s="16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22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8" t="n"/>
      <c r="B736" s="38" t="n"/>
      <c r="C736" s="21" t="n"/>
      <c r="D736" s="38" t="n"/>
      <c r="E736" s="38" t="n"/>
      <c r="F736" s="16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22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8" t="n"/>
      <c r="B737" s="38" t="n"/>
      <c r="C737" s="21" t="n"/>
      <c r="D737" s="38" t="n"/>
      <c r="E737" s="38" t="n"/>
      <c r="F737" s="16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22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8" t="n"/>
      <c r="B738" s="38" t="n"/>
      <c r="C738" s="21" t="n"/>
      <c r="D738" s="38" t="n"/>
      <c r="E738" s="38" t="n"/>
      <c r="F738" s="16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22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8" t="n"/>
      <c r="B739" s="38" t="n"/>
      <c r="C739" s="21" t="n"/>
      <c r="D739" s="38" t="n"/>
      <c r="E739" s="38" t="n"/>
      <c r="F739" s="16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22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8" t="n"/>
      <c r="B740" s="38" t="n"/>
      <c r="C740" s="21" t="n"/>
      <c r="D740" s="38" t="n"/>
      <c r="E740" s="38" t="n"/>
      <c r="F740" s="16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22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8" t="n"/>
      <c r="B741" s="38" t="n"/>
      <c r="C741" s="21" t="n"/>
      <c r="D741" s="38" t="n"/>
      <c r="E741" s="38" t="n"/>
      <c r="F741" s="16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22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8" t="n"/>
      <c r="B742" s="38" t="n"/>
      <c r="C742" s="21" t="n"/>
      <c r="D742" s="38" t="n"/>
      <c r="E742" s="38" t="n"/>
      <c r="F742" s="16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22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8" t="n"/>
      <c r="B743" s="38" t="n"/>
      <c r="C743" s="21" t="n"/>
      <c r="D743" s="38" t="n"/>
      <c r="E743" s="38" t="n"/>
      <c r="F743" s="16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22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8" t="n"/>
      <c r="B744" s="38" t="n"/>
      <c r="C744" s="21" t="n"/>
      <c r="D744" s="38" t="n"/>
      <c r="E744" s="38" t="n"/>
      <c r="F744" s="16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22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8" t="n"/>
      <c r="B745" s="38" t="n"/>
      <c r="C745" s="21" t="n"/>
      <c r="D745" s="38" t="n"/>
      <c r="E745" s="38" t="n"/>
      <c r="F745" s="16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22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8" t="n"/>
      <c r="B746" s="38" t="n"/>
      <c r="C746" s="21" t="n"/>
      <c r="D746" s="38" t="n"/>
      <c r="E746" s="38" t="n"/>
      <c r="F746" s="16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22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8" t="n"/>
      <c r="B747" s="38" t="n"/>
      <c r="C747" s="21" t="n"/>
      <c r="D747" s="38" t="n"/>
      <c r="E747" s="38" t="n"/>
      <c r="F747" s="16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22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8" t="n"/>
      <c r="B748" s="38" t="n"/>
      <c r="C748" s="21" t="n"/>
      <c r="D748" s="38" t="n"/>
      <c r="E748" s="38" t="n"/>
      <c r="F748" s="16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22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8" t="n"/>
      <c r="B749" s="38" t="n"/>
      <c r="C749" s="21" t="n"/>
      <c r="D749" s="38" t="n"/>
      <c r="E749" s="38" t="n"/>
      <c r="F749" s="16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22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8" t="n"/>
      <c r="B750" s="38" t="n"/>
      <c r="C750" s="21" t="n"/>
      <c r="D750" s="38" t="n"/>
      <c r="E750" s="38" t="n"/>
      <c r="F750" s="16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22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8" t="n"/>
      <c r="B751" s="38" t="n"/>
      <c r="C751" s="21" t="n"/>
      <c r="D751" s="38" t="n"/>
      <c r="E751" s="38" t="n"/>
      <c r="F751" s="16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22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8" t="n"/>
      <c r="B752" s="38" t="n"/>
      <c r="C752" s="21" t="n"/>
      <c r="D752" s="38" t="n"/>
      <c r="E752" s="38" t="n"/>
      <c r="F752" s="16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22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8" t="n"/>
      <c r="B753" s="38" t="n"/>
      <c r="C753" s="21" t="n"/>
      <c r="D753" s="38" t="n"/>
      <c r="E753" s="38" t="n"/>
      <c r="F753" s="16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22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8" t="n"/>
      <c r="B754" s="38" t="n"/>
      <c r="C754" s="21" t="n"/>
      <c r="D754" s="38" t="n"/>
      <c r="E754" s="38" t="n"/>
      <c r="F754" s="16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22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8" t="n"/>
      <c r="B755" s="38" t="n"/>
      <c r="C755" s="21" t="n"/>
      <c r="D755" s="38" t="n"/>
      <c r="E755" s="38" t="n"/>
      <c r="F755" s="16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22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8" t="n"/>
      <c r="B756" s="38" t="n"/>
      <c r="C756" s="21" t="n"/>
      <c r="D756" s="38" t="n"/>
      <c r="E756" s="38" t="n"/>
      <c r="F756" s="16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22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8" t="n"/>
      <c r="B757" s="38" t="n"/>
      <c r="C757" s="21" t="n"/>
      <c r="D757" s="38" t="n"/>
      <c r="E757" s="38" t="n"/>
      <c r="F757" s="16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22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8" t="n"/>
      <c r="B758" s="38" t="n"/>
      <c r="C758" s="21" t="n"/>
      <c r="D758" s="38" t="n"/>
      <c r="E758" s="38" t="n"/>
      <c r="F758" s="16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22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8" t="n"/>
      <c r="B759" s="38" t="n"/>
      <c r="C759" s="21" t="n"/>
      <c r="D759" s="38" t="n"/>
      <c r="E759" s="38" t="n"/>
      <c r="F759" s="16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22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8" t="n"/>
      <c r="B760" s="38" t="n"/>
      <c r="C760" s="21" t="n"/>
      <c r="D760" s="38" t="n"/>
      <c r="E760" s="38" t="n"/>
      <c r="F760" s="16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22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8" t="n"/>
      <c r="B761" s="38" t="n"/>
      <c r="C761" s="21" t="n"/>
      <c r="D761" s="38" t="n"/>
      <c r="E761" s="38" t="n"/>
      <c r="F761" s="16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22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8" t="n"/>
      <c r="B762" s="38" t="n"/>
      <c r="C762" s="21" t="n"/>
      <c r="D762" s="38" t="n"/>
      <c r="E762" s="38" t="n"/>
      <c r="F762" s="16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22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8" t="n"/>
      <c r="B763" s="38" t="n"/>
      <c r="C763" s="21" t="n"/>
      <c r="D763" s="38" t="n"/>
      <c r="E763" s="38" t="n"/>
      <c r="F763" s="16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22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8" t="n"/>
      <c r="B764" s="38" t="n"/>
      <c r="C764" s="21" t="n"/>
      <c r="D764" s="38" t="n"/>
      <c r="E764" s="38" t="n"/>
      <c r="F764" s="16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22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8" t="n"/>
      <c r="B765" s="38" t="n"/>
      <c r="C765" s="21" t="n"/>
      <c r="D765" s="38" t="n"/>
      <c r="E765" s="38" t="n"/>
      <c r="F765" s="16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22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8" t="n"/>
      <c r="B766" s="38" t="n"/>
      <c r="C766" s="21" t="n"/>
      <c r="D766" s="38" t="n"/>
      <c r="E766" s="38" t="n"/>
      <c r="F766" s="16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22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8" t="n"/>
      <c r="B767" s="38" t="n"/>
      <c r="C767" s="21" t="n"/>
      <c r="D767" s="38" t="n"/>
      <c r="E767" s="38" t="n"/>
      <c r="F767" s="16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22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8" t="n"/>
      <c r="B768" s="38" t="n"/>
      <c r="C768" s="21" t="n"/>
      <c r="D768" s="38" t="n"/>
      <c r="E768" s="38" t="n"/>
      <c r="F768" s="16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22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8" t="n"/>
      <c r="B769" s="38" t="n"/>
      <c r="C769" s="21" t="n"/>
      <c r="D769" s="38" t="n"/>
      <c r="E769" s="38" t="n"/>
      <c r="F769" s="16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22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8" t="n"/>
      <c r="B770" s="38" t="n"/>
      <c r="C770" s="21" t="n"/>
      <c r="D770" s="38" t="n"/>
      <c r="E770" s="38" t="n"/>
      <c r="F770" s="16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22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8" t="n"/>
      <c r="B771" s="38" t="n"/>
      <c r="C771" s="21" t="n"/>
      <c r="D771" s="38" t="n"/>
      <c r="E771" s="38" t="n"/>
      <c r="F771" s="16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22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8" t="n"/>
      <c r="B772" s="38" t="n"/>
      <c r="C772" s="21" t="n"/>
      <c r="D772" s="38" t="n"/>
      <c r="E772" s="38" t="n"/>
      <c r="F772" s="16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22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8" t="n"/>
      <c r="B773" s="38" t="n"/>
      <c r="C773" s="21" t="n"/>
      <c r="D773" s="38" t="n"/>
      <c r="E773" s="38" t="n"/>
      <c r="F773" s="16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22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8" t="n"/>
      <c r="B774" s="38" t="n"/>
      <c r="C774" s="21" t="n"/>
      <c r="D774" s="38" t="n"/>
      <c r="E774" s="38" t="n"/>
      <c r="F774" s="16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22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8" t="n"/>
      <c r="B775" s="38" t="n"/>
      <c r="C775" s="21" t="n"/>
      <c r="D775" s="38" t="n"/>
      <c r="E775" s="38" t="n"/>
      <c r="F775" s="16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22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8" t="n"/>
      <c r="B776" s="38" t="n"/>
      <c r="C776" s="21" t="n"/>
      <c r="D776" s="38" t="n"/>
      <c r="E776" s="38" t="n"/>
      <c r="F776" s="16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22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8" t="n"/>
      <c r="B777" s="38" t="n"/>
      <c r="C777" s="21" t="n"/>
      <c r="D777" s="38" t="n"/>
      <c r="E777" s="38" t="n"/>
      <c r="F777" s="16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22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8" t="n"/>
      <c r="B778" s="38" t="n"/>
      <c r="C778" s="21" t="n"/>
      <c r="D778" s="38" t="n"/>
      <c r="E778" s="38" t="n"/>
      <c r="F778" s="16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22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8" t="n"/>
      <c r="B779" s="38" t="n"/>
      <c r="C779" s="21" t="n"/>
      <c r="D779" s="38" t="n"/>
      <c r="E779" s="38" t="n"/>
      <c r="F779" s="16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22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8" t="n"/>
      <c r="B780" s="38" t="n"/>
      <c r="C780" s="21" t="n"/>
      <c r="D780" s="38" t="n"/>
      <c r="E780" s="38" t="n"/>
      <c r="F780" s="16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22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8" t="n"/>
      <c r="B781" s="38" t="n"/>
      <c r="C781" s="21" t="n"/>
      <c r="D781" s="38" t="n"/>
      <c r="E781" s="38" t="n"/>
      <c r="F781" s="16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22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8" t="n"/>
      <c r="B782" s="38" t="n"/>
      <c r="C782" s="21" t="n"/>
      <c r="D782" s="38" t="n"/>
      <c r="E782" s="38" t="n"/>
      <c r="F782" s="16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22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8" t="n"/>
      <c r="B783" s="38" t="n"/>
      <c r="C783" s="21" t="n"/>
      <c r="D783" s="38" t="n"/>
      <c r="E783" s="38" t="n"/>
      <c r="F783" s="16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22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8" t="n"/>
      <c r="B784" s="38" t="n"/>
      <c r="C784" s="21" t="n"/>
      <c r="D784" s="38" t="n"/>
      <c r="E784" s="38" t="n"/>
      <c r="F784" s="16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22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8" t="n"/>
      <c r="B785" s="38" t="n"/>
      <c r="C785" s="21" t="n"/>
      <c r="D785" s="38" t="n"/>
      <c r="E785" s="38" t="n"/>
      <c r="F785" s="16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22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8" t="n"/>
      <c r="B786" s="38" t="n"/>
      <c r="C786" s="21" t="n"/>
      <c r="D786" s="38" t="n"/>
      <c r="E786" s="38" t="n"/>
      <c r="F786" s="16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22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8" t="n"/>
      <c r="B787" s="38" t="n"/>
      <c r="C787" s="21" t="n"/>
      <c r="D787" s="38" t="n"/>
      <c r="E787" s="38" t="n"/>
      <c r="F787" s="16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22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8" t="n"/>
      <c r="B788" s="38" t="n"/>
      <c r="C788" s="21" t="n"/>
      <c r="D788" s="38" t="n"/>
      <c r="E788" s="38" t="n"/>
      <c r="F788" s="16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22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8" t="n"/>
      <c r="B789" s="38" t="n"/>
      <c r="C789" s="21" t="n"/>
      <c r="D789" s="38" t="n"/>
      <c r="E789" s="38" t="n"/>
      <c r="F789" s="16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22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8" t="n"/>
      <c r="B790" s="38" t="n"/>
      <c r="C790" s="21" t="n"/>
      <c r="D790" s="38" t="n"/>
      <c r="E790" s="38" t="n"/>
      <c r="F790" s="16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22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8" t="n"/>
      <c r="B791" s="38" t="n"/>
      <c r="C791" s="21" t="n"/>
      <c r="D791" s="38" t="n"/>
      <c r="E791" s="38" t="n"/>
      <c r="F791" s="16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22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8" t="n"/>
      <c r="B792" s="38" t="n"/>
      <c r="C792" s="21" t="n"/>
      <c r="D792" s="38" t="n"/>
      <c r="E792" s="38" t="n"/>
      <c r="F792" s="16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22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8" t="n"/>
      <c r="B793" s="38" t="n"/>
      <c r="C793" s="21" t="n"/>
      <c r="D793" s="38" t="n"/>
      <c r="E793" s="38" t="n"/>
      <c r="F793" s="16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22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8" t="n"/>
      <c r="B794" s="38" t="n"/>
      <c r="C794" s="21" t="n"/>
      <c r="D794" s="38" t="n"/>
      <c r="E794" s="38" t="n"/>
      <c r="F794" s="16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22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8" t="n"/>
      <c r="B795" s="38" t="n"/>
      <c r="C795" s="21" t="n"/>
      <c r="D795" s="38" t="n"/>
      <c r="E795" s="38" t="n"/>
      <c r="F795" s="16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22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8" t="n"/>
      <c r="B796" s="38" t="n"/>
      <c r="C796" s="21" t="n"/>
      <c r="D796" s="38" t="n"/>
      <c r="E796" s="38" t="n"/>
      <c r="F796" s="16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22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8" t="n"/>
      <c r="B797" s="38" t="n"/>
      <c r="C797" s="21" t="n"/>
      <c r="D797" s="38" t="n"/>
      <c r="E797" s="38" t="n"/>
      <c r="F797" s="16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22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8" t="n"/>
      <c r="B798" s="38" t="n"/>
      <c r="C798" s="21" t="n"/>
      <c r="D798" s="38" t="n"/>
      <c r="E798" s="38" t="n"/>
      <c r="F798" s="16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22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8" t="n"/>
      <c r="B799" s="38" t="n"/>
      <c r="C799" s="21" t="n"/>
      <c r="D799" s="38" t="n"/>
      <c r="E799" s="38" t="n"/>
      <c r="F799" s="16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22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8" t="n"/>
      <c r="B800" s="38" t="n"/>
      <c r="C800" s="21" t="n"/>
      <c r="D800" s="38" t="n"/>
      <c r="E800" s="38" t="n"/>
      <c r="F800" s="16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22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8" t="n"/>
      <c r="B801" s="38" t="n"/>
      <c r="C801" s="21" t="n"/>
      <c r="D801" s="38" t="n"/>
      <c r="E801" s="38" t="n"/>
      <c r="F801" s="16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22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8" t="n"/>
      <c r="B802" s="38" t="n"/>
      <c r="C802" s="21" t="n"/>
      <c r="D802" s="38" t="n"/>
      <c r="E802" s="38" t="n"/>
      <c r="F802" s="16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22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8" t="n"/>
      <c r="B803" s="38" t="n"/>
      <c r="C803" s="21" t="n"/>
      <c r="D803" s="38" t="n"/>
      <c r="E803" s="38" t="n"/>
      <c r="F803" s="16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22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8" t="n"/>
      <c r="B804" s="38" t="n"/>
      <c r="C804" s="21" t="n"/>
      <c r="D804" s="38" t="n"/>
      <c r="E804" s="38" t="n"/>
      <c r="F804" s="16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22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8" t="n"/>
      <c r="B805" s="38" t="n"/>
      <c r="C805" s="21" t="n"/>
      <c r="D805" s="38" t="n"/>
      <c r="E805" s="38" t="n"/>
      <c r="F805" s="16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22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8" t="n"/>
      <c r="B806" s="38" t="n"/>
      <c r="C806" s="21" t="n"/>
      <c r="D806" s="38" t="n"/>
      <c r="E806" s="38" t="n"/>
      <c r="F806" s="16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22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8" t="n"/>
      <c r="B807" s="38" t="n"/>
      <c r="C807" s="21" t="n"/>
      <c r="D807" s="38" t="n"/>
      <c r="E807" s="38" t="n"/>
      <c r="F807" s="16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22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8" t="n"/>
      <c r="B808" s="38" t="n"/>
      <c r="C808" s="21" t="n"/>
      <c r="D808" s="38" t="n"/>
      <c r="E808" s="38" t="n"/>
      <c r="F808" s="16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22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8" t="n"/>
      <c r="B809" s="38" t="n"/>
      <c r="C809" s="21" t="n"/>
      <c r="D809" s="38" t="n"/>
      <c r="E809" s="38" t="n"/>
      <c r="F809" s="16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22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8" t="n"/>
      <c r="B810" s="38" t="n"/>
      <c r="C810" s="21" t="n"/>
      <c r="D810" s="38" t="n"/>
      <c r="E810" s="38" t="n"/>
      <c r="F810" s="16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22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8" t="n"/>
      <c r="B811" s="38" t="n"/>
      <c r="C811" s="21" t="n"/>
      <c r="D811" s="38" t="n"/>
      <c r="E811" s="38" t="n"/>
      <c r="F811" s="16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22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8" t="n"/>
      <c r="B812" s="38" t="n"/>
      <c r="C812" s="21" t="n"/>
      <c r="D812" s="38" t="n"/>
      <c r="E812" s="38" t="n"/>
      <c r="F812" s="16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22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8" t="n"/>
      <c r="B813" s="38" t="n"/>
      <c r="C813" s="21" t="n"/>
      <c r="D813" s="38" t="n"/>
      <c r="E813" s="38" t="n"/>
      <c r="F813" s="16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22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8" t="n"/>
      <c r="B814" s="38" t="n"/>
      <c r="C814" s="21" t="n"/>
      <c r="D814" s="38" t="n"/>
      <c r="E814" s="38" t="n"/>
      <c r="F814" s="16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22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8" t="n"/>
      <c r="B815" s="38" t="n"/>
      <c r="C815" s="21" t="n"/>
      <c r="D815" s="38" t="n"/>
      <c r="E815" s="38" t="n"/>
      <c r="F815" s="16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22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8" t="n"/>
      <c r="B816" s="38" t="n"/>
      <c r="C816" s="21" t="n"/>
      <c r="D816" s="38" t="n"/>
      <c r="E816" s="38" t="n"/>
      <c r="F816" s="16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22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8" t="n"/>
      <c r="B817" s="38" t="n"/>
      <c r="C817" s="21" t="n"/>
      <c r="D817" s="38" t="n"/>
      <c r="E817" s="38" t="n"/>
      <c r="F817" s="16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22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8" t="n"/>
      <c r="B818" s="38" t="n"/>
      <c r="C818" s="21" t="n"/>
      <c r="D818" s="38" t="n"/>
      <c r="E818" s="38" t="n"/>
      <c r="F818" s="16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22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8" t="n"/>
      <c r="B819" s="38" t="n"/>
      <c r="C819" s="21" t="n"/>
      <c r="D819" s="38" t="n"/>
      <c r="E819" s="38" t="n"/>
      <c r="F819" s="16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22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8" t="n"/>
      <c r="B820" s="38" t="n"/>
      <c r="C820" s="21" t="n"/>
      <c r="D820" s="38" t="n"/>
      <c r="E820" s="38" t="n"/>
      <c r="F820" s="16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22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8" t="n"/>
      <c r="B821" s="38" t="n"/>
      <c r="C821" s="21" t="n"/>
      <c r="D821" s="38" t="n"/>
      <c r="E821" s="38" t="n"/>
      <c r="F821" s="16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22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8" t="n"/>
      <c r="B822" s="38" t="n"/>
      <c r="C822" s="21" t="n"/>
      <c r="D822" s="38" t="n"/>
      <c r="E822" s="38" t="n"/>
      <c r="F822" s="16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22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8" t="n"/>
      <c r="B823" s="38" t="n"/>
      <c r="C823" s="21" t="n"/>
      <c r="D823" s="38" t="n"/>
      <c r="E823" s="38" t="n"/>
      <c r="F823" s="16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22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8" t="n"/>
      <c r="B824" s="38" t="n"/>
      <c r="C824" s="21" t="n"/>
      <c r="D824" s="38" t="n"/>
      <c r="E824" s="38" t="n"/>
      <c r="F824" s="16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22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8" t="n"/>
      <c r="B825" s="38" t="n"/>
      <c r="C825" s="21" t="n"/>
      <c r="D825" s="38" t="n"/>
      <c r="E825" s="38" t="n"/>
      <c r="F825" s="16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22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8" t="n"/>
      <c r="B826" s="38" t="n"/>
      <c r="C826" s="21" t="n"/>
      <c r="D826" s="38" t="n"/>
      <c r="E826" s="38" t="n"/>
      <c r="F826" s="16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22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8" t="n"/>
      <c r="B827" s="38" t="n"/>
      <c r="C827" s="21" t="n"/>
      <c r="D827" s="38" t="n"/>
      <c r="E827" s="38" t="n"/>
      <c r="F827" s="16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22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8" t="n"/>
      <c r="B828" s="38" t="n"/>
      <c r="C828" s="21" t="n"/>
      <c r="D828" s="38" t="n"/>
      <c r="E828" s="38" t="n"/>
      <c r="F828" s="16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22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8" t="n"/>
      <c r="B829" s="38" t="n"/>
      <c r="C829" s="21" t="n"/>
      <c r="D829" s="38" t="n"/>
      <c r="E829" s="38" t="n"/>
      <c r="F829" s="16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22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8" t="n"/>
      <c r="B830" s="38" t="n"/>
      <c r="C830" s="21" t="n"/>
      <c r="D830" s="38" t="n"/>
      <c r="E830" s="38" t="n"/>
      <c r="F830" s="16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22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8" t="n"/>
      <c r="B831" s="38" t="n"/>
      <c r="C831" s="21" t="n"/>
      <c r="D831" s="38" t="n"/>
      <c r="E831" s="38" t="n"/>
      <c r="F831" s="16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22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8" t="n"/>
      <c r="B832" s="38" t="n"/>
      <c r="C832" s="21" t="n"/>
      <c r="D832" s="38" t="n"/>
      <c r="E832" s="38" t="n"/>
      <c r="F832" s="16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22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8" t="n"/>
      <c r="B833" s="38" t="n"/>
      <c r="C833" s="21" t="n"/>
      <c r="D833" s="38" t="n"/>
      <c r="E833" s="38" t="n"/>
      <c r="F833" s="16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22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8" t="n"/>
      <c r="B834" s="38" t="n"/>
      <c r="C834" s="21" t="n"/>
      <c r="D834" s="38" t="n"/>
      <c r="E834" s="38" t="n"/>
      <c r="F834" s="16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22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8" t="n"/>
      <c r="B835" s="38" t="n"/>
      <c r="C835" s="21" t="n"/>
      <c r="D835" s="38" t="n"/>
      <c r="E835" s="38" t="n"/>
      <c r="F835" s="16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22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8" t="n"/>
      <c r="B836" s="38" t="n"/>
      <c r="C836" s="21" t="n"/>
      <c r="D836" s="38" t="n"/>
      <c r="E836" s="38" t="n"/>
      <c r="F836" s="16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22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8" t="n"/>
      <c r="B837" s="38" t="n"/>
      <c r="C837" s="21" t="n"/>
      <c r="D837" s="38" t="n"/>
      <c r="E837" s="38" t="n"/>
      <c r="F837" s="16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22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8" t="n"/>
      <c r="B838" s="38" t="n"/>
      <c r="C838" s="21" t="n"/>
      <c r="D838" s="38" t="n"/>
      <c r="E838" s="38" t="n"/>
      <c r="F838" s="16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22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8" t="n"/>
      <c r="B839" s="38" t="n"/>
      <c r="C839" s="21" t="n"/>
      <c r="D839" s="38" t="n"/>
      <c r="E839" s="38" t="n"/>
      <c r="F839" s="16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22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8" t="n"/>
      <c r="B840" s="38" t="n"/>
      <c r="C840" s="21" t="n"/>
      <c r="D840" s="38" t="n"/>
      <c r="E840" s="38" t="n"/>
      <c r="F840" s="16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22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8" t="n"/>
      <c r="B841" s="38" t="n"/>
      <c r="C841" s="21" t="n"/>
      <c r="D841" s="38" t="n"/>
      <c r="E841" s="38" t="n"/>
      <c r="F841" s="16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22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8" t="n"/>
      <c r="B842" s="38" t="n"/>
      <c r="C842" s="21" t="n"/>
      <c r="D842" s="38" t="n"/>
      <c r="E842" s="38" t="n"/>
      <c r="F842" s="16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22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8" t="n"/>
      <c r="B843" s="38" t="n"/>
      <c r="C843" s="21" t="n"/>
      <c r="D843" s="38" t="n"/>
      <c r="E843" s="38" t="n"/>
      <c r="F843" s="16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22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8" t="n"/>
      <c r="B844" s="38" t="n"/>
      <c r="C844" s="21" t="n"/>
      <c r="D844" s="38" t="n"/>
      <c r="E844" s="38" t="n"/>
      <c r="F844" s="16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22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8" t="n"/>
      <c r="B845" s="38" t="n"/>
      <c r="C845" s="21" t="n"/>
      <c r="D845" s="38" t="n"/>
      <c r="E845" s="38" t="n"/>
      <c r="F845" s="16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22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8" t="n"/>
      <c r="B846" s="38" t="n"/>
      <c r="C846" s="21" t="n"/>
      <c r="D846" s="38" t="n"/>
      <c r="E846" s="38" t="n"/>
      <c r="F846" s="16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22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8" t="n"/>
      <c r="B847" s="38" t="n"/>
      <c r="C847" s="21" t="n"/>
      <c r="D847" s="38" t="n"/>
      <c r="E847" s="38" t="n"/>
      <c r="F847" s="16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22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8" t="n"/>
      <c r="B848" s="38" t="n"/>
      <c r="C848" s="21" t="n"/>
      <c r="D848" s="38" t="n"/>
      <c r="E848" s="38" t="n"/>
      <c r="F848" s="16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22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8" t="n"/>
      <c r="B849" s="38" t="n"/>
      <c r="C849" s="21" t="n"/>
      <c r="D849" s="38" t="n"/>
      <c r="E849" s="38" t="n"/>
      <c r="F849" s="16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22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8" t="n"/>
      <c r="B850" s="38" t="n"/>
      <c r="C850" s="21" t="n"/>
      <c r="D850" s="38" t="n"/>
      <c r="E850" s="38" t="n"/>
      <c r="F850" s="16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22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8" t="n"/>
      <c r="B851" s="38" t="n"/>
      <c r="C851" s="21" t="n"/>
      <c r="D851" s="38" t="n"/>
      <c r="E851" s="38" t="n"/>
      <c r="F851" s="16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22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8" t="n"/>
      <c r="B852" s="38" t="n"/>
      <c r="C852" s="21" t="n"/>
      <c r="D852" s="38" t="n"/>
      <c r="E852" s="38" t="n"/>
      <c r="F852" s="16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22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8" t="n"/>
      <c r="B853" s="38" t="n"/>
      <c r="C853" s="21" t="n"/>
      <c r="D853" s="38" t="n"/>
      <c r="E853" s="38" t="n"/>
      <c r="F853" s="16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22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8" t="n"/>
      <c r="B854" s="38" t="n"/>
      <c r="C854" s="21" t="n"/>
      <c r="D854" s="38" t="n"/>
      <c r="E854" s="38" t="n"/>
      <c r="F854" s="16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22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8" t="n"/>
      <c r="B855" s="38" t="n"/>
      <c r="C855" s="21" t="n"/>
      <c r="D855" s="38" t="n"/>
      <c r="E855" s="38" t="n"/>
      <c r="F855" s="16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22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8" t="n"/>
      <c r="B856" s="38" t="n"/>
      <c r="C856" s="21" t="n"/>
      <c r="D856" s="38" t="n"/>
      <c r="E856" s="38" t="n"/>
      <c r="F856" s="16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22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8" t="n"/>
      <c r="B857" s="38" t="n"/>
      <c r="C857" s="21" t="n"/>
      <c r="D857" s="38" t="n"/>
      <c r="E857" s="38" t="n"/>
      <c r="F857" s="16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22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8" t="n"/>
      <c r="B858" s="38" t="n"/>
      <c r="C858" s="21" t="n"/>
      <c r="D858" s="38" t="n"/>
      <c r="E858" s="38" t="n"/>
      <c r="F858" s="16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22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8" t="n"/>
      <c r="B859" s="38" t="n"/>
      <c r="C859" s="21" t="n"/>
      <c r="D859" s="38" t="n"/>
      <c r="E859" s="38" t="n"/>
      <c r="F859" s="16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22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8" t="n"/>
      <c r="B860" s="38" t="n"/>
      <c r="C860" s="21" t="n"/>
      <c r="D860" s="38" t="n"/>
      <c r="E860" s="38" t="n"/>
      <c r="F860" s="16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22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8" t="n"/>
      <c r="B861" s="38" t="n"/>
      <c r="C861" s="21" t="n"/>
      <c r="D861" s="38" t="n"/>
      <c r="E861" s="38" t="n"/>
      <c r="F861" s="16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22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8" t="n"/>
      <c r="B862" s="38" t="n"/>
      <c r="C862" s="21" t="n"/>
      <c r="D862" s="38" t="n"/>
      <c r="E862" s="38" t="n"/>
      <c r="F862" s="16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22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8" t="n"/>
      <c r="B863" s="38" t="n"/>
      <c r="C863" s="21" t="n"/>
      <c r="D863" s="38" t="n"/>
      <c r="E863" s="38" t="n"/>
      <c r="F863" s="16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22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8" t="n"/>
      <c r="B864" s="38" t="n"/>
      <c r="C864" s="21" t="n"/>
      <c r="D864" s="38" t="n"/>
      <c r="E864" s="38" t="n"/>
      <c r="F864" s="16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22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8" t="n"/>
      <c r="B865" s="38" t="n"/>
      <c r="C865" s="21" t="n"/>
      <c r="D865" s="38" t="n"/>
      <c r="E865" s="38" t="n"/>
      <c r="F865" s="16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22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8" t="n"/>
      <c r="B866" s="38" t="n"/>
      <c r="C866" s="21" t="n"/>
      <c r="D866" s="38" t="n"/>
      <c r="E866" s="38" t="n"/>
      <c r="F866" s="16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22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8" t="n"/>
      <c r="B867" s="38" t="n"/>
      <c r="C867" s="21" t="n"/>
      <c r="D867" s="38" t="n"/>
      <c r="E867" s="38" t="n"/>
      <c r="F867" s="16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22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8" t="n"/>
      <c r="B868" s="38" t="n"/>
      <c r="C868" s="21" t="n"/>
      <c r="D868" s="38" t="n"/>
      <c r="E868" s="38" t="n"/>
      <c r="F868" s="16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22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8" t="n"/>
      <c r="B869" s="38" t="n"/>
      <c r="C869" s="21" t="n"/>
      <c r="D869" s="38" t="n"/>
      <c r="E869" s="38" t="n"/>
      <c r="F869" s="16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22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8" t="n"/>
      <c r="B870" s="38" t="n"/>
      <c r="C870" s="21" t="n"/>
      <c r="D870" s="38" t="n"/>
      <c r="E870" s="38" t="n"/>
      <c r="F870" s="16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22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8" t="n"/>
      <c r="B871" s="38" t="n"/>
      <c r="C871" s="21" t="n"/>
      <c r="D871" s="38" t="n"/>
      <c r="E871" s="38" t="n"/>
      <c r="F871" s="16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22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8" t="n"/>
      <c r="B872" s="38" t="n"/>
      <c r="C872" s="21" t="n"/>
      <c r="D872" s="38" t="n"/>
      <c r="E872" s="38" t="n"/>
      <c r="F872" s="16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22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8" t="n"/>
      <c r="B873" s="38" t="n"/>
      <c r="C873" s="21" t="n"/>
      <c r="D873" s="38" t="n"/>
      <c r="E873" s="38" t="n"/>
      <c r="F873" s="16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22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8" t="n"/>
      <c r="B874" s="38" t="n"/>
      <c r="C874" s="21" t="n"/>
      <c r="D874" s="38" t="n"/>
      <c r="E874" s="38" t="n"/>
      <c r="F874" s="16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22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8" t="n"/>
      <c r="B875" s="38" t="n"/>
      <c r="C875" s="21" t="n"/>
      <c r="D875" s="38" t="n"/>
      <c r="E875" s="38" t="n"/>
      <c r="F875" s="16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22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8" t="n"/>
      <c r="B876" s="38" t="n"/>
      <c r="C876" s="21" t="n"/>
      <c r="D876" s="38" t="n"/>
      <c r="E876" s="38" t="n"/>
      <c r="F876" s="16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22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8" t="n"/>
      <c r="B877" s="38" t="n"/>
      <c r="C877" s="21" t="n"/>
      <c r="D877" s="38" t="n"/>
      <c r="E877" s="38" t="n"/>
      <c r="F877" s="16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22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8" t="n"/>
      <c r="B878" s="38" t="n"/>
      <c r="C878" s="21" t="n"/>
      <c r="D878" s="38" t="n"/>
      <c r="E878" s="38" t="n"/>
      <c r="F878" s="16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22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8" t="n"/>
      <c r="B879" s="38" t="n"/>
      <c r="C879" s="21" t="n"/>
      <c r="D879" s="38" t="n"/>
      <c r="E879" s="38" t="n"/>
      <c r="F879" s="16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22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8" t="n"/>
      <c r="B880" s="38" t="n"/>
      <c r="C880" s="21" t="n"/>
      <c r="D880" s="38" t="n"/>
      <c r="E880" s="38" t="n"/>
      <c r="F880" s="16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22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8" t="n"/>
      <c r="B881" s="38" t="n"/>
      <c r="C881" s="21" t="n"/>
      <c r="D881" s="38" t="n"/>
      <c r="E881" s="38" t="n"/>
      <c r="F881" s="16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22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8" t="n"/>
      <c r="B882" s="38" t="n"/>
      <c r="C882" s="21" t="n"/>
      <c r="D882" s="38" t="n"/>
      <c r="E882" s="38" t="n"/>
      <c r="F882" s="16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22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8" t="n"/>
      <c r="B883" s="38" t="n"/>
      <c r="C883" s="21" t="n"/>
      <c r="D883" s="38" t="n"/>
      <c r="E883" s="38" t="n"/>
      <c r="F883" s="16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22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8" t="n"/>
      <c r="B884" s="38" t="n"/>
      <c r="C884" s="21" t="n"/>
      <c r="D884" s="38" t="n"/>
      <c r="E884" s="38" t="n"/>
      <c r="F884" s="16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22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8" t="n"/>
      <c r="B885" s="38" t="n"/>
      <c r="C885" s="21" t="n"/>
      <c r="D885" s="38" t="n"/>
      <c r="E885" s="38" t="n"/>
      <c r="F885" s="16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22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8" t="n"/>
      <c r="B886" s="38" t="n"/>
      <c r="C886" s="21" t="n"/>
      <c r="D886" s="38" t="n"/>
      <c r="E886" s="38" t="n"/>
      <c r="F886" s="16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22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8" t="n"/>
      <c r="B887" s="38" t="n"/>
      <c r="C887" s="21" t="n"/>
      <c r="D887" s="38" t="n"/>
      <c r="E887" s="38" t="n"/>
      <c r="F887" s="16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22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8" t="n"/>
      <c r="B888" s="38" t="n"/>
      <c r="C888" s="21" t="n"/>
      <c r="D888" s="38" t="n"/>
      <c r="E888" s="38" t="n"/>
      <c r="F888" s="16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22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8" t="n"/>
      <c r="B889" s="38" t="n"/>
      <c r="C889" s="21" t="n"/>
      <c r="D889" s="38" t="n"/>
      <c r="E889" s="38" t="n"/>
      <c r="F889" s="16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22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8" t="n"/>
      <c r="B890" s="38" t="n"/>
      <c r="C890" s="21" t="n"/>
      <c r="D890" s="38" t="n"/>
      <c r="E890" s="38" t="n"/>
      <c r="F890" s="16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22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8" t="n"/>
      <c r="B891" s="38" t="n"/>
      <c r="C891" s="21" t="n"/>
      <c r="D891" s="38" t="n"/>
      <c r="E891" s="38" t="n"/>
      <c r="F891" s="16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22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8" t="n"/>
      <c r="B892" s="38" t="n"/>
      <c r="C892" s="21" t="n"/>
      <c r="D892" s="38" t="n"/>
      <c r="E892" s="38" t="n"/>
      <c r="F892" s="16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22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8" t="n"/>
      <c r="B893" s="38" t="n"/>
      <c r="C893" s="21" t="n"/>
      <c r="D893" s="38" t="n"/>
      <c r="E893" s="38" t="n"/>
      <c r="F893" s="16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22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8" t="n"/>
      <c r="B894" s="38" t="n"/>
      <c r="C894" s="21" t="n"/>
      <c r="D894" s="38" t="n"/>
      <c r="E894" s="38" t="n"/>
      <c r="F894" s="16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22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8" t="n"/>
      <c r="B895" s="38" t="n"/>
      <c r="C895" s="21" t="n"/>
      <c r="D895" s="38" t="n"/>
      <c r="E895" s="38" t="n"/>
      <c r="F895" s="16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22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8" t="n"/>
      <c r="B896" s="38" t="n"/>
      <c r="C896" s="21" t="n"/>
      <c r="D896" s="38" t="n"/>
      <c r="E896" s="38" t="n"/>
      <c r="F896" s="16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22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8" t="n"/>
      <c r="B897" s="38" t="n"/>
      <c r="C897" s="21" t="n"/>
      <c r="D897" s="38" t="n"/>
      <c r="E897" s="38" t="n"/>
      <c r="F897" s="16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22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8" t="n"/>
      <c r="B898" s="38" t="n"/>
      <c r="C898" s="21" t="n"/>
      <c r="D898" s="38" t="n"/>
      <c r="E898" s="38" t="n"/>
      <c r="F898" s="16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22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8" t="n"/>
      <c r="B899" s="38" t="n"/>
      <c r="C899" s="21" t="n"/>
      <c r="D899" s="38" t="n"/>
      <c r="E899" s="38" t="n"/>
      <c r="F899" s="16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22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8" t="n"/>
      <c r="B900" s="38" t="n"/>
      <c r="C900" s="21" t="n"/>
      <c r="D900" s="38" t="n"/>
      <c r="E900" s="38" t="n"/>
      <c r="F900" s="16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22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8" t="n"/>
      <c r="B901" s="38" t="n"/>
      <c r="C901" s="21" t="n"/>
      <c r="D901" s="38" t="n"/>
      <c r="E901" s="38" t="n"/>
      <c r="F901" s="16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22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8" t="n"/>
      <c r="B902" s="38" t="n"/>
      <c r="C902" s="21" t="n"/>
      <c r="D902" s="38" t="n"/>
      <c r="E902" s="38" t="n"/>
      <c r="F902" s="16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22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8" t="n"/>
      <c r="B903" s="38" t="n"/>
      <c r="C903" s="21" t="n"/>
      <c r="D903" s="38" t="n"/>
      <c r="E903" s="38" t="n"/>
      <c r="F903" s="16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22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8" t="n"/>
      <c r="B904" s="38" t="n"/>
      <c r="C904" s="21" t="n"/>
      <c r="D904" s="38" t="n"/>
      <c r="E904" s="38" t="n"/>
      <c r="F904" s="16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22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8" t="n"/>
      <c r="B905" s="38" t="n"/>
      <c r="C905" s="21" t="n"/>
      <c r="D905" s="38" t="n"/>
      <c r="E905" s="38" t="n"/>
      <c r="F905" s="16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22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8" t="n"/>
      <c r="B906" s="38" t="n"/>
      <c r="C906" s="21" t="n"/>
      <c r="D906" s="38" t="n"/>
      <c r="E906" s="38" t="n"/>
      <c r="F906" s="16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22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8" t="n"/>
      <c r="B907" s="38" t="n"/>
      <c r="C907" s="21" t="n"/>
      <c r="D907" s="38" t="n"/>
      <c r="E907" s="38" t="n"/>
      <c r="F907" s="16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22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8" t="n"/>
      <c r="B908" s="38" t="n"/>
      <c r="C908" s="21" t="n"/>
      <c r="D908" s="38" t="n"/>
      <c r="E908" s="38" t="n"/>
      <c r="F908" s="16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22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8" t="n"/>
      <c r="B909" s="38" t="n"/>
      <c r="C909" s="21" t="n"/>
      <c r="D909" s="38" t="n"/>
      <c r="E909" s="38" t="n"/>
      <c r="F909" s="16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22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8" t="n"/>
      <c r="B910" s="38" t="n"/>
      <c r="C910" s="21" t="n"/>
      <c r="D910" s="38" t="n"/>
      <c r="E910" s="38" t="n"/>
      <c r="F910" s="16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22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8" t="n"/>
      <c r="B911" s="38" t="n"/>
      <c r="C911" s="21" t="n"/>
      <c r="D911" s="38" t="n"/>
      <c r="E911" s="38" t="n"/>
      <c r="F911" s="16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22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8" t="n"/>
      <c r="B912" s="38" t="n"/>
      <c r="C912" s="21" t="n"/>
      <c r="D912" s="38" t="n"/>
      <c r="E912" s="38" t="n"/>
      <c r="F912" s="16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22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8" t="n"/>
      <c r="B913" s="38" t="n"/>
      <c r="C913" s="21" t="n"/>
      <c r="D913" s="38" t="n"/>
      <c r="E913" s="38" t="n"/>
      <c r="F913" s="16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22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8" t="n"/>
      <c r="B914" s="38" t="n"/>
      <c r="C914" s="21" t="n"/>
      <c r="D914" s="38" t="n"/>
      <c r="E914" s="38" t="n"/>
      <c r="F914" s="16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22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8" t="n"/>
      <c r="B915" s="38" t="n"/>
      <c r="C915" s="21" t="n"/>
      <c r="D915" s="38" t="n"/>
      <c r="E915" s="38" t="n"/>
      <c r="F915" s="16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22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8" t="n"/>
      <c r="B916" s="38" t="n"/>
      <c r="C916" s="21" t="n"/>
      <c r="D916" s="38" t="n"/>
      <c r="E916" s="38" t="n"/>
      <c r="F916" s="16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22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8" t="n"/>
      <c r="B917" s="38" t="n"/>
      <c r="C917" s="21" t="n"/>
      <c r="D917" s="38" t="n"/>
      <c r="E917" s="38" t="n"/>
      <c r="F917" s="16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22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8" t="n"/>
      <c r="B918" s="38" t="n"/>
      <c r="C918" s="21" t="n"/>
      <c r="D918" s="38" t="n"/>
      <c r="E918" s="38" t="n"/>
      <c r="F918" s="16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22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8" t="n"/>
      <c r="B919" s="38" t="n"/>
      <c r="C919" s="21" t="n"/>
      <c r="D919" s="38" t="n"/>
      <c r="E919" s="38" t="n"/>
      <c r="F919" s="16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22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8" t="n"/>
      <c r="B920" s="38" t="n"/>
      <c r="C920" s="21" t="n"/>
      <c r="D920" s="38" t="n"/>
      <c r="E920" s="38" t="n"/>
      <c r="F920" s="16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22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8" t="n"/>
      <c r="B921" s="38" t="n"/>
      <c r="C921" s="21" t="n"/>
      <c r="D921" s="38" t="n"/>
      <c r="E921" s="38" t="n"/>
      <c r="F921" s="16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22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8" t="n"/>
      <c r="B922" s="38" t="n"/>
      <c r="C922" s="21" t="n"/>
      <c r="D922" s="38" t="n"/>
      <c r="E922" s="38" t="n"/>
      <c r="F922" s="16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22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8" t="n"/>
      <c r="B923" s="38" t="n"/>
      <c r="C923" s="21" t="n"/>
      <c r="D923" s="38" t="n"/>
      <c r="E923" s="38" t="n"/>
      <c r="F923" s="16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22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8" t="n"/>
      <c r="B924" s="38" t="n"/>
      <c r="C924" s="21" t="n"/>
      <c r="D924" s="38" t="n"/>
      <c r="E924" s="38" t="n"/>
      <c r="F924" s="16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22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8" t="n"/>
      <c r="B925" s="38" t="n"/>
      <c r="C925" s="21" t="n"/>
      <c r="D925" s="38" t="n"/>
      <c r="E925" s="38" t="n"/>
      <c r="F925" s="16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22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8" t="n"/>
      <c r="B926" s="38" t="n"/>
      <c r="C926" s="21" t="n"/>
      <c r="D926" s="38" t="n"/>
      <c r="E926" s="38" t="n"/>
      <c r="F926" s="16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22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8" t="n"/>
      <c r="B927" s="38" t="n"/>
      <c r="C927" s="21" t="n"/>
      <c r="D927" s="38" t="n"/>
      <c r="E927" s="38" t="n"/>
      <c r="F927" s="16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22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8" t="n"/>
      <c r="B928" s="38" t="n"/>
      <c r="C928" s="21" t="n"/>
      <c r="D928" s="38" t="n"/>
      <c r="E928" s="38" t="n"/>
      <c r="F928" s="16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22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8" t="n"/>
      <c r="B929" s="38" t="n"/>
      <c r="C929" s="21" t="n"/>
      <c r="D929" s="38" t="n"/>
      <c r="E929" s="38" t="n"/>
      <c r="F929" s="16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22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8" t="n"/>
      <c r="B930" s="38" t="n"/>
      <c r="C930" s="21" t="n"/>
      <c r="D930" s="38" t="n"/>
      <c r="E930" s="38" t="n"/>
      <c r="F930" s="16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22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8" t="n"/>
      <c r="B931" s="38" t="n"/>
      <c r="C931" s="21" t="n"/>
      <c r="D931" s="38" t="n"/>
      <c r="E931" s="38" t="n"/>
      <c r="F931" s="16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22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8" t="n"/>
      <c r="B932" s="38" t="n"/>
      <c r="C932" s="21" t="n"/>
      <c r="D932" s="38" t="n"/>
      <c r="E932" s="38" t="n"/>
      <c r="F932" s="16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22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8" t="n"/>
      <c r="B933" s="38" t="n"/>
      <c r="C933" s="21" t="n"/>
      <c r="D933" s="38" t="n"/>
      <c r="E933" s="38" t="n"/>
      <c r="F933" s="16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22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8" t="n"/>
      <c r="B934" s="38" t="n"/>
      <c r="C934" s="21" t="n"/>
      <c r="D934" s="38" t="n"/>
      <c r="E934" s="38" t="n"/>
      <c r="F934" s="16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22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8" t="n"/>
      <c r="B935" s="38" t="n"/>
      <c r="C935" s="21" t="n"/>
      <c r="D935" s="38" t="n"/>
      <c r="E935" s="38" t="n"/>
      <c r="F935" s="16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22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8" t="n"/>
      <c r="B936" s="38" t="n"/>
      <c r="C936" s="21" t="n"/>
      <c r="D936" s="38" t="n"/>
      <c r="E936" s="38" t="n"/>
      <c r="F936" s="16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22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8" t="n"/>
      <c r="B937" s="38" t="n"/>
      <c r="C937" s="21" t="n"/>
      <c r="D937" s="38" t="n"/>
      <c r="E937" s="38" t="n"/>
      <c r="F937" s="16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22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8" t="n"/>
      <c r="B938" s="38" t="n"/>
      <c r="C938" s="21" t="n"/>
      <c r="D938" s="38" t="n"/>
      <c r="E938" s="38" t="n"/>
      <c r="F938" s="16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22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8" t="n"/>
      <c r="B939" s="38" t="n"/>
      <c r="C939" s="21" t="n"/>
      <c r="D939" s="38" t="n"/>
      <c r="E939" s="38" t="n"/>
      <c r="F939" s="16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22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8" t="n"/>
      <c r="B940" s="38" t="n"/>
      <c r="C940" s="21" t="n"/>
      <c r="D940" s="38" t="n"/>
      <c r="E940" s="38" t="n"/>
      <c r="F940" s="16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22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8" t="n"/>
      <c r="B941" s="38" t="n"/>
      <c r="C941" s="21" t="n"/>
      <c r="D941" s="38" t="n"/>
      <c r="E941" s="38" t="n"/>
      <c r="F941" s="16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22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8" t="n"/>
      <c r="B942" s="38" t="n"/>
      <c r="C942" s="21" t="n"/>
      <c r="D942" s="38" t="n"/>
      <c r="E942" s="38" t="n"/>
      <c r="F942" s="16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22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8" t="n"/>
      <c r="B943" s="38" t="n"/>
      <c r="C943" s="21" t="n"/>
      <c r="D943" s="38" t="n"/>
      <c r="E943" s="38" t="n"/>
      <c r="F943" s="16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22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8" t="n"/>
      <c r="B944" s="38" t="n"/>
      <c r="C944" s="21" t="n"/>
      <c r="D944" s="38" t="n"/>
      <c r="E944" s="38" t="n"/>
      <c r="F944" s="16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22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8" t="n"/>
      <c r="B945" s="38" t="n"/>
      <c r="C945" s="21" t="n"/>
      <c r="D945" s="38" t="n"/>
      <c r="E945" s="38" t="n"/>
      <c r="F945" s="16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22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8" t="n"/>
      <c r="B946" s="38" t="n"/>
      <c r="C946" s="21" t="n"/>
      <c r="D946" s="38" t="n"/>
      <c r="E946" s="38" t="n"/>
      <c r="F946" s="16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22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8" t="n"/>
      <c r="B947" s="38" t="n"/>
      <c r="C947" s="21" t="n"/>
      <c r="D947" s="38" t="n"/>
      <c r="E947" s="38" t="n"/>
      <c r="F947" s="16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22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8" t="n"/>
      <c r="B948" s="38" t="n"/>
      <c r="C948" s="21" t="n"/>
      <c r="D948" s="38" t="n"/>
      <c r="E948" s="38" t="n"/>
      <c r="F948" s="16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22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8" t="n"/>
      <c r="B949" s="38" t="n"/>
      <c r="C949" s="21" t="n"/>
      <c r="D949" s="38" t="n"/>
      <c r="E949" s="38" t="n"/>
      <c r="F949" s="16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22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8" t="n"/>
      <c r="B950" s="38" t="n"/>
      <c r="C950" s="21" t="n"/>
      <c r="D950" s="38" t="n"/>
      <c r="E950" s="38" t="n"/>
      <c r="F950" s="16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22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8" t="n"/>
      <c r="B951" s="38" t="n"/>
      <c r="C951" s="21" t="n"/>
      <c r="D951" s="38" t="n"/>
      <c r="E951" s="38" t="n"/>
      <c r="F951" s="16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22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8" t="n"/>
      <c r="B952" s="38" t="n"/>
      <c r="C952" s="21" t="n"/>
      <c r="D952" s="38" t="n"/>
      <c r="E952" s="38" t="n"/>
      <c r="F952" s="16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22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8" t="n"/>
      <c r="B953" s="38" t="n"/>
      <c r="C953" s="21" t="n"/>
      <c r="D953" s="38" t="n"/>
      <c r="E953" s="38" t="n"/>
      <c r="F953" s="16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22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8" t="n"/>
      <c r="B954" s="38" t="n"/>
      <c r="C954" s="21" t="n"/>
      <c r="D954" s="38" t="n"/>
      <c r="E954" s="38" t="n"/>
      <c r="F954" s="16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22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8" t="n"/>
      <c r="B955" s="38" t="n"/>
      <c r="C955" s="21" t="n"/>
      <c r="D955" s="38" t="n"/>
      <c r="E955" s="38" t="n"/>
      <c r="F955" s="16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22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8" t="n"/>
      <c r="B956" s="38" t="n"/>
      <c r="C956" s="21" t="n"/>
      <c r="D956" s="38" t="n"/>
      <c r="E956" s="38" t="n"/>
      <c r="F956" s="16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22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8" t="n"/>
      <c r="B957" s="38" t="n"/>
      <c r="C957" s="21" t="n"/>
      <c r="D957" s="38" t="n"/>
      <c r="E957" s="38" t="n"/>
      <c r="F957" s="16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22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8" t="n"/>
      <c r="B958" s="38" t="n"/>
      <c r="C958" s="21" t="n"/>
      <c r="D958" s="38" t="n"/>
      <c r="E958" s="38" t="n"/>
      <c r="F958" s="16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22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8" t="n"/>
      <c r="B959" s="38" t="n"/>
      <c r="C959" s="21" t="n"/>
      <c r="D959" s="38" t="n"/>
      <c r="E959" s="38" t="n"/>
      <c r="F959" s="16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22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8" t="n"/>
      <c r="B960" s="38" t="n"/>
      <c r="C960" s="21" t="n"/>
      <c r="D960" s="38" t="n"/>
      <c r="E960" s="38" t="n"/>
      <c r="F960" s="16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22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8" t="n"/>
      <c r="B961" s="38" t="n"/>
      <c r="C961" s="21" t="n"/>
      <c r="D961" s="38" t="n"/>
      <c r="E961" s="38" t="n"/>
      <c r="F961" s="16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22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8" t="n"/>
      <c r="B962" s="38" t="n"/>
      <c r="C962" s="21" t="n"/>
      <c r="D962" s="38" t="n"/>
      <c r="E962" s="38" t="n"/>
      <c r="F962" s="16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22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8" t="n"/>
      <c r="B963" s="38" t="n"/>
      <c r="C963" s="21" t="n"/>
      <c r="D963" s="38" t="n"/>
      <c r="E963" s="38" t="n"/>
      <c r="F963" s="16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22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8" t="n"/>
      <c r="B964" s="38" t="n"/>
      <c r="C964" s="21" t="n"/>
      <c r="D964" s="38" t="n"/>
      <c r="E964" s="38" t="n"/>
      <c r="F964" s="16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22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8" t="n"/>
      <c r="B965" s="38" t="n"/>
      <c r="C965" s="21" t="n"/>
      <c r="D965" s="38" t="n"/>
      <c r="E965" s="38" t="n"/>
      <c r="F965" s="16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22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8" t="n"/>
      <c r="B966" s="38" t="n"/>
      <c r="C966" s="21" t="n"/>
      <c r="D966" s="38" t="n"/>
      <c r="E966" s="38" t="n"/>
      <c r="F966" s="16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22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8" t="n"/>
      <c r="B967" s="38" t="n"/>
      <c r="C967" s="21" t="n"/>
      <c r="D967" s="38" t="n"/>
      <c r="E967" s="38" t="n"/>
      <c r="F967" s="16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22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8" t="n"/>
      <c r="B968" s="38" t="n"/>
      <c r="C968" s="21" t="n"/>
      <c r="D968" s="38" t="n"/>
      <c r="E968" s="38" t="n"/>
      <c r="F968" s="16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22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8" t="n"/>
      <c r="B969" s="38" t="n"/>
      <c r="C969" s="21" t="n"/>
      <c r="D969" s="38" t="n"/>
      <c r="E969" s="38" t="n"/>
      <c r="F969" s="16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22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8" t="n"/>
      <c r="B970" s="38" t="n"/>
      <c r="C970" s="21" t="n"/>
      <c r="D970" s="38" t="n"/>
      <c r="E970" s="38" t="n"/>
      <c r="F970" s="16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22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8" t="n"/>
      <c r="B971" s="38" t="n"/>
      <c r="C971" s="21" t="n"/>
      <c r="D971" s="38" t="n"/>
      <c r="E971" s="38" t="n"/>
      <c r="F971" s="16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22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8" t="n"/>
      <c r="B972" s="38" t="n"/>
      <c r="C972" s="21" t="n"/>
      <c r="D972" s="38" t="n"/>
      <c r="E972" s="38" t="n"/>
      <c r="F972" s="16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22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8" t="n"/>
      <c r="B973" s="38" t="n"/>
      <c r="C973" s="21" t="n"/>
      <c r="D973" s="38" t="n"/>
      <c r="E973" s="38" t="n"/>
      <c r="F973" s="16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22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8" t="n"/>
      <c r="B974" s="38" t="n"/>
      <c r="C974" s="21" t="n"/>
      <c r="D974" s="38" t="n"/>
      <c r="E974" s="38" t="n"/>
      <c r="F974" s="16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22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8" t="n"/>
      <c r="B975" s="38" t="n"/>
      <c r="C975" s="21" t="n"/>
      <c r="D975" s="38" t="n"/>
      <c r="E975" s="38" t="n"/>
      <c r="F975" s="16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22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8" t="n"/>
      <c r="B976" s="38" t="n"/>
      <c r="C976" s="21" t="n"/>
      <c r="D976" s="38" t="n"/>
      <c r="E976" s="38" t="n"/>
      <c r="F976" s="16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22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8" t="n"/>
      <c r="B977" s="38" t="n"/>
      <c r="C977" s="21" t="n"/>
      <c r="D977" s="38" t="n"/>
      <c r="E977" s="38" t="n"/>
      <c r="F977" s="16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22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8" t="n"/>
      <c r="B978" s="38" t="n"/>
      <c r="C978" s="21" t="n"/>
      <c r="D978" s="38" t="n"/>
      <c r="E978" s="38" t="n"/>
      <c r="F978" s="16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22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8" t="n"/>
      <c r="B979" s="38" t="n"/>
      <c r="C979" s="21" t="n"/>
      <c r="D979" s="38" t="n"/>
      <c r="E979" s="38" t="n"/>
      <c r="F979" s="16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22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8" t="n"/>
      <c r="B980" s="38" t="n"/>
      <c r="C980" s="21" t="n"/>
      <c r="D980" s="38" t="n"/>
      <c r="E980" s="38" t="n"/>
      <c r="F980" s="16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22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8" t="n"/>
      <c r="B981" s="38" t="n"/>
      <c r="C981" s="21" t="n"/>
      <c r="D981" s="38" t="n"/>
      <c r="E981" s="38" t="n"/>
      <c r="F981" s="16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22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8" t="n"/>
      <c r="B982" s="38" t="n"/>
      <c r="C982" s="21" t="n"/>
      <c r="D982" s="38" t="n"/>
      <c r="E982" s="38" t="n"/>
      <c r="F982" s="16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22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8" t="n"/>
      <c r="B983" s="38" t="n"/>
      <c r="C983" s="21" t="n"/>
      <c r="D983" s="38" t="n"/>
      <c r="E983" s="38" t="n"/>
      <c r="F983" s="16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22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8" t="n"/>
      <c r="B984" s="38" t="n"/>
      <c r="C984" s="21" t="n"/>
      <c r="D984" s="38" t="n"/>
      <c r="E984" s="38" t="n"/>
      <c r="F984" s="16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22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8" t="n"/>
      <c r="B985" s="38" t="n"/>
      <c r="C985" s="21" t="n"/>
      <c r="D985" s="38" t="n"/>
      <c r="E985" s="38" t="n"/>
      <c r="F985" s="16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22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8" t="n"/>
      <c r="B986" s="38" t="n"/>
      <c r="C986" s="21" t="n"/>
      <c r="D986" s="38" t="n"/>
      <c r="E986" s="38" t="n"/>
      <c r="F986" s="16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22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8" t="n"/>
      <c r="B987" s="38" t="n"/>
      <c r="C987" s="21" t="n"/>
      <c r="D987" s="38" t="n"/>
      <c r="E987" s="38" t="n"/>
      <c r="F987" s="16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22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8" t="n"/>
      <c r="B988" s="38" t="n"/>
      <c r="C988" s="21" t="n"/>
      <c r="D988" s="38" t="n"/>
      <c r="E988" s="38" t="n"/>
      <c r="F988" s="16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22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8" t="n"/>
      <c r="B989" s="38" t="n"/>
      <c r="C989" s="21" t="n"/>
      <c r="D989" s="38" t="n"/>
      <c r="E989" s="38" t="n"/>
      <c r="F989" s="16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22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8" t="n"/>
      <c r="B990" s="38" t="n"/>
      <c r="C990" s="21" t="n"/>
      <c r="D990" s="38" t="n"/>
      <c r="E990" s="38" t="n"/>
      <c r="F990" s="16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22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8" t="n"/>
      <c r="B991" s="38" t="n"/>
      <c r="C991" s="21" t="n"/>
      <c r="D991" s="38" t="n"/>
      <c r="E991" s="38" t="n"/>
      <c r="F991" s="16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22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8" t="n"/>
      <c r="B992" s="38" t="n"/>
      <c r="C992" s="21" t="n"/>
      <c r="D992" s="38" t="n"/>
      <c r="E992" s="38" t="n"/>
      <c r="F992" s="16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22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8" t="n"/>
      <c r="B993" s="38" t="n"/>
      <c r="C993" s="21" t="n"/>
      <c r="D993" s="38" t="n"/>
      <c r="E993" s="38" t="n"/>
      <c r="F993" s="16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22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8" t="n"/>
      <c r="B994" s="38" t="n"/>
      <c r="C994" s="21" t="n"/>
      <c r="D994" s="38" t="n"/>
      <c r="E994" s="38" t="n"/>
      <c r="F994" s="16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22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8" t="n"/>
      <c r="B995" s="38" t="n"/>
      <c r="C995" s="21" t="n"/>
      <c r="D995" s="38" t="n"/>
      <c r="E995" s="38" t="n"/>
      <c r="F995" s="16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22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8" t="n"/>
      <c r="B996" s="38" t="n"/>
      <c r="C996" s="21" t="n"/>
      <c r="D996" s="38" t="n"/>
      <c r="E996" s="38" t="n"/>
      <c r="F996" s="16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22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8" t="n"/>
      <c r="B997" s="38" t="n"/>
      <c r="C997" s="21" t="n"/>
      <c r="D997" s="38" t="n"/>
      <c r="E997" s="38" t="n"/>
      <c r="F997" s="16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22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8" t="n"/>
      <c r="B998" s="38" t="n"/>
      <c r="C998" s="21" t="n"/>
      <c r="D998" s="38" t="n"/>
      <c r="E998" s="38" t="n"/>
      <c r="F998" s="16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22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8" t="n"/>
      <c r="B999" s="38" t="n"/>
      <c r="C999" s="21" t="n"/>
      <c r="D999" s="38" t="n"/>
      <c r="E999" s="38" t="n"/>
      <c r="F999" s="16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22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8" t="n"/>
      <c r="B1000" s="38" t="n"/>
      <c r="C1000" s="21" t="n"/>
      <c r="D1000" s="38" t="n"/>
      <c r="E1000" s="38" t="n"/>
      <c r="F1000" s="16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22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8" t="n"/>
      <c r="B1001" s="38" t="n"/>
      <c r="C1001" s="21" t="n"/>
      <c r="D1001" s="38" t="n"/>
      <c r="E1001" s="38" t="n"/>
      <c r="F1001" s="16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22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5" t="inlineStr">
        <is>
          <t>받은 가족</t>
        </is>
      </c>
      <c r="B1" s="15" t="inlineStr">
        <is>
          <t>보낸 분</t>
        </is>
      </c>
      <c r="C1" s="15" t="inlineStr">
        <is>
          <t>종류</t>
        </is>
      </c>
      <c r="D1" s="15" t="inlineStr">
        <is>
          <t>소속·관계</t>
        </is>
      </c>
      <c r="E1" s="15" t="inlineStr">
        <is>
          <t>메모</t>
        </is>
      </c>
      <c r="F1" s="39" t="inlineStr">
        <is>
          <t>확인 필요</t>
        </is>
      </c>
      <c r="G1" s="39" t="inlineStr">
        <is>
          <t>가족별 순번</t>
        </is>
      </c>
      <c r="H1" s="39" t="inlineStr">
        <is>
          <t>기록 있음</t>
        </is>
      </c>
      <c r="I1" s="39" t="inlineStr">
        <is>
          <t>확인 표시</t>
        </is>
      </c>
    </row>
    <row r="2">
      <c r="A2" s="38" t="n"/>
      <c r="B2" s="38" t="n"/>
      <c r="C2" s="38" t="n"/>
      <c r="D2" s="38" t="n"/>
      <c r="E2" s="38" t="n"/>
      <c r="F2" s="16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8" t="n"/>
      <c r="B3" s="38" t="n"/>
      <c r="C3" s="38" t="n"/>
      <c r="D3" s="38" t="n"/>
      <c r="E3" s="38" t="n"/>
      <c r="F3" s="16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8" t="n"/>
      <c r="B4" s="38" t="n"/>
      <c r="C4" s="38" t="n"/>
      <c r="D4" s="38" t="n"/>
      <c r="E4" s="38" t="n"/>
      <c r="F4" s="16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8" t="n"/>
      <c r="B5" s="38" t="n"/>
      <c r="C5" s="38" t="n"/>
      <c r="D5" s="38" t="n"/>
      <c r="E5" s="38" t="n"/>
      <c r="F5" s="16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8" t="n"/>
      <c r="B6" s="38" t="n"/>
      <c r="C6" s="38" t="n"/>
      <c r="D6" s="38" t="n"/>
      <c r="E6" s="38" t="n"/>
      <c r="F6" s="16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8" t="n"/>
      <c r="B7" s="38" t="n"/>
      <c r="C7" s="38" t="n"/>
      <c r="D7" s="38" t="n"/>
      <c r="E7" s="38" t="n"/>
      <c r="F7" s="16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8" t="n"/>
      <c r="B8" s="38" t="n"/>
      <c r="C8" s="38" t="n"/>
      <c r="D8" s="38" t="n"/>
      <c r="E8" s="38" t="n"/>
      <c r="F8" s="16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8" t="n"/>
      <c r="B9" s="38" t="n"/>
      <c r="C9" s="38" t="n"/>
      <c r="D9" s="38" t="n"/>
      <c r="E9" s="38" t="n"/>
      <c r="F9" s="16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8" t="n"/>
      <c r="B10" s="38" t="n"/>
      <c r="C10" s="38" t="n"/>
      <c r="D10" s="38" t="n"/>
      <c r="E10" s="38" t="n"/>
      <c r="F10" s="16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8" t="n"/>
      <c r="B11" s="38" t="n"/>
      <c r="C11" s="38" t="n"/>
      <c r="D11" s="38" t="n"/>
      <c r="E11" s="38" t="n"/>
      <c r="F11" s="16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8" t="n"/>
      <c r="B12" s="38" t="n"/>
      <c r="C12" s="38" t="n"/>
      <c r="D12" s="38" t="n"/>
      <c r="E12" s="38" t="n"/>
      <c r="F12" s="16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8" t="n"/>
      <c r="B13" s="38" t="n"/>
      <c r="C13" s="38" t="n"/>
      <c r="D13" s="38" t="n"/>
      <c r="E13" s="38" t="n"/>
      <c r="F13" s="16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8" t="n"/>
      <c r="B14" s="38" t="n"/>
      <c r="C14" s="38" t="n"/>
      <c r="D14" s="38" t="n"/>
      <c r="E14" s="38" t="n"/>
      <c r="F14" s="16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8" t="n"/>
      <c r="B15" s="38" t="n"/>
      <c r="C15" s="38" t="n"/>
      <c r="D15" s="38" t="n"/>
      <c r="E15" s="38" t="n"/>
      <c r="F15" s="16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8" t="n"/>
      <c r="B16" s="38" t="n"/>
      <c r="C16" s="38" t="n"/>
      <c r="D16" s="38" t="n"/>
      <c r="E16" s="38" t="n"/>
      <c r="F16" s="16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8" t="n"/>
      <c r="B17" s="38" t="n"/>
      <c r="C17" s="38" t="n"/>
      <c r="D17" s="38" t="n"/>
      <c r="E17" s="38" t="n"/>
      <c r="F17" s="16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8" t="n"/>
      <c r="B18" s="38" t="n"/>
      <c r="C18" s="38" t="n"/>
      <c r="D18" s="38" t="n"/>
      <c r="E18" s="38" t="n"/>
      <c r="F18" s="16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8" t="n"/>
      <c r="B19" s="38" t="n"/>
      <c r="C19" s="38" t="n"/>
      <c r="D19" s="38" t="n"/>
      <c r="E19" s="38" t="n"/>
      <c r="F19" s="16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8" t="n"/>
      <c r="B20" s="38" t="n"/>
      <c r="C20" s="38" t="n"/>
      <c r="D20" s="38" t="n"/>
      <c r="E20" s="38" t="n"/>
      <c r="F20" s="16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8" t="n"/>
      <c r="B21" s="38" t="n"/>
      <c r="C21" s="38" t="n"/>
      <c r="D21" s="38" t="n"/>
      <c r="E21" s="38" t="n"/>
      <c r="F21" s="16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8" t="n"/>
      <c r="B22" s="38" t="n"/>
      <c r="C22" s="38" t="n"/>
      <c r="D22" s="38" t="n"/>
      <c r="E22" s="38" t="n"/>
      <c r="F22" s="16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8" t="n"/>
      <c r="B23" s="38" t="n"/>
      <c r="C23" s="38" t="n"/>
      <c r="D23" s="38" t="n"/>
      <c r="E23" s="38" t="n"/>
      <c r="F23" s="16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8" t="n"/>
      <c r="B24" s="38" t="n"/>
      <c r="C24" s="38" t="n"/>
      <c r="D24" s="38" t="n"/>
      <c r="E24" s="38" t="n"/>
      <c r="F24" s="16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8" t="n"/>
      <c r="B25" s="38" t="n"/>
      <c r="C25" s="38" t="n"/>
      <c r="D25" s="38" t="n"/>
      <c r="E25" s="38" t="n"/>
      <c r="F25" s="16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8" t="n"/>
      <c r="B26" s="38" t="n"/>
      <c r="C26" s="38" t="n"/>
      <c r="D26" s="38" t="n"/>
      <c r="E26" s="38" t="n"/>
      <c r="F26" s="16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8" t="n"/>
      <c r="B27" s="38" t="n"/>
      <c r="C27" s="38" t="n"/>
      <c r="D27" s="38" t="n"/>
      <c r="E27" s="38" t="n"/>
      <c r="F27" s="16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8" t="n"/>
      <c r="B28" s="38" t="n"/>
      <c r="C28" s="38" t="n"/>
      <c r="D28" s="38" t="n"/>
      <c r="E28" s="38" t="n"/>
      <c r="F28" s="16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8" t="n"/>
      <c r="B29" s="38" t="n"/>
      <c r="C29" s="38" t="n"/>
      <c r="D29" s="38" t="n"/>
      <c r="E29" s="38" t="n"/>
      <c r="F29" s="16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8" t="n"/>
      <c r="B30" s="38" t="n"/>
      <c r="C30" s="38" t="n"/>
      <c r="D30" s="38" t="n"/>
      <c r="E30" s="38" t="n"/>
      <c r="F30" s="16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8" t="n"/>
      <c r="B31" s="38" t="n"/>
      <c r="C31" s="38" t="n"/>
      <c r="D31" s="38" t="n"/>
      <c r="E31" s="38" t="n"/>
      <c r="F31" s="16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8" t="n"/>
      <c r="B32" s="38" t="n"/>
      <c r="C32" s="38" t="n"/>
      <c r="D32" s="38" t="n"/>
      <c r="E32" s="38" t="n"/>
      <c r="F32" s="16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8" t="n"/>
      <c r="B33" s="38" t="n"/>
      <c r="C33" s="38" t="n"/>
      <c r="D33" s="38" t="n"/>
      <c r="E33" s="38" t="n"/>
      <c r="F33" s="16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8" t="n"/>
      <c r="B34" s="38" t="n"/>
      <c r="C34" s="38" t="n"/>
      <c r="D34" s="38" t="n"/>
      <c r="E34" s="38" t="n"/>
      <c r="F34" s="16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8" t="n"/>
      <c r="B35" s="38" t="n"/>
      <c r="C35" s="38" t="n"/>
      <c r="D35" s="38" t="n"/>
      <c r="E35" s="38" t="n"/>
      <c r="F35" s="16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8" t="n"/>
      <c r="B36" s="38" t="n"/>
      <c r="C36" s="38" t="n"/>
      <c r="D36" s="38" t="n"/>
      <c r="E36" s="38" t="n"/>
      <c r="F36" s="16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8" t="n"/>
      <c r="B37" s="38" t="n"/>
      <c r="C37" s="38" t="n"/>
      <c r="D37" s="38" t="n"/>
      <c r="E37" s="38" t="n"/>
      <c r="F37" s="16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8" t="n"/>
      <c r="B38" s="38" t="n"/>
      <c r="C38" s="38" t="n"/>
      <c r="D38" s="38" t="n"/>
      <c r="E38" s="38" t="n"/>
      <c r="F38" s="16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8" t="n"/>
      <c r="B39" s="38" t="n"/>
      <c r="C39" s="38" t="n"/>
      <c r="D39" s="38" t="n"/>
      <c r="E39" s="38" t="n"/>
      <c r="F39" s="16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8" t="n"/>
      <c r="B40" s="38" t="n"/>
      <c r="C40" s="38" t="n"/>
      <c r="D40" s="38" t="n"/>
      <c r="E40" s="38" t="n"/>
      <c r="F40" s="16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8" t="n"/>
      <c r="B41" s="38" t="n"/>
      <c r="C41" s="38" t="n"/>
      <c r="D41" s="38" t="n"/>
      <c r="E41" s="38" t="n"/>
      <c r="F41" s="16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8" t="n"/>
      <c r="B42" s="38" t="n"/>
      <c r="C42" s="38" t="n"/>
      <c r="D42" s="38" t="n"/>
      <c r="E42" s="38" t="n"/>
      <c r="F42" s="16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8" t="n"/>
      <c r="B43" s="38" t="n"/>
      <c r="C43" s="38" t="n"/>
      <c r="D43" s="38" t="n"/>
      <c r="E43" s="38" t="n"/>
      <c r="F43" s="16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8" t="n"/>
      <c r="B44" s="38" t="n"/>
      <c r="C44" s="38" t="n"/>
      <c r="D44" s="38" t="n"/>
      <c r="E44" s="38" t="n"/>
      <c r="F44" s="16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8" t="n"/>
      <c r="B45" s="38" t="n"/>
      <c r="C45" s="38" t="n"/>
      <c r="D45" s="38" t="n"/>
      <c r="E45" s="38" t="n"/>
      <c r="F45" s="16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8" t="n"/>
      <c r="B46" s="38" t="n"/>
      <c r="C46" s="38" t="n"/>
      <c r="D46" s="38" t="n"/>
      <c r="E46" s="38" t="n"/>
      <c r="F46" s="16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8" t="n"/>
      <c r="B47" s="38" t="n"/>
      <c r="C47" s="38" t="n"/>
      <c r="D47" s="38" t="n"/>
      <c r="E47" s="38" t="n"/>
      <c r="F47" s="16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8" t="n"/>
      <c r="B48" s="38" t="n"/>
      <c r="C48" s="38" t="n"/>
      <c r="D48" s="38" t="n"/>
      <c r="E48" s="38" t="n"/>
      <c r="F48" s="16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8" t="n"/>
      <c r="B49" s="38" t="n"/>
      <c r="C49" s="38" t="n"/>
      <c r="D49" s="38" t="n"/>
      <c r="E49" s="38" t="n"/>
      <c r="F49" s="16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8" t="n"/>
      <c r="B50" s="38" t="n"/>
      <c r="C50" s="38" t="n"/>
      <c r="D50" s="38" t="n"/>
      <c r="E50" s="38" t="n"/>
      <c r="F50" s="16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8" t="n"/>
      <c r="B51" s="38" t="n"/>
      <c r="C51" s="38" t="n"/>
      <c r="D51" s="38" t="n"/>
      <c r="E51" s="38" t="n"/>
      <c r="F51" s="16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8" t="n"/>
      <c r="B52" s="38" t="n"/>
      <c r="C52" s="38" t="n"/>
      <c r="D52" s="38" t="n"/>
      <c r="E52" s="38" t="n"/>
      <c r="F52" s="16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8" t="n"/>
      <c r="B53" s="38" t="n"/>
      <c r="C53" s="38" t="n"/>
      <c r="D53" s="38" t="n"/>
      <c r="E53" s="38" t="n"/>
      <c r="F53" s="16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8" t="n"/>
      <c r="B54" s="38" t="n"/>
      <c r="C54" s="38" t="n"/>
      <c r="D54" s="38" t="n"/>
      <c r="E54" s="38" t="n"/>
      <c r="F54" s="16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8" t="n"/>
      <c r="B55" s="38" t="n"/>
      <c r="C55" s="38" t="n"/>
      <c r="D55" s="38" t="n"/>
      <c r="E55" s="38" t="n"/>
      <c r="F55" s="16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8" t="n"/>
      <c r="B56" s="38" t="n"/>
      <c r="C56" s="38" t="n"/>
      <c r="D56" s="38" t="n"/>
      <c r="E56" s="38" t="n"/>
      <c r="F56" s="16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8" t="n"/>
      <c r="B57" s="38" t="n"/>
      <c r="C57" s="38" t="n"/>
      <c r="D57" s="38" t="n"/>
      <c r="E57" s="38" t="n"/>
      <c r="F57" s="16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8" t="n"/>
      <c r="B58" s="38" t="n"/>
      <c r="C58" s="38" t="n"/>
      <c r="D58" s="38" t="n"/>
      <c r="E58" s="38" t="n"/>
      <c r="F58" s="16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8" t="n"/>
      <c r="B59" s="38" t="n"/>
      <c r="C59" s="38" t="n"/>
      <c r="D59" s="38" t="n"/>
      <c r="E59" s="38" t="n"/>
      <c r="F59" s="16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8" t="n"/>
      <c r="B60" s="38" t="n"/>
      <c r="C60" s="38" t="n"/>
      <c r="D60" s="38" t="n"/>
      <c r="E60" s="38" t="n"/>
      <c r="F60" s="16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8" t="n"/>
      <c r="B61" s="38" t="n"/>
      <c r="C61" s="38" t="n"/>
      <c r="D61" s="38" t="n"/>
      <c r="E61" s="38" t="n"/>
      <c r="F61" s="16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8" t="n"/>
      <c r="B62" s="38" t="n"/>
      <c r="C62" s="38" t="n"/>
      <c r="D62" s="38" t="n"/>
      <c r="E62" s="38" t="n"/>
      <c r="F62" s="16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8" t="n"/>
      <c r="B63" s="38" t="n"/>
      <c r="C63" s="38" t="n"/>
      <c r="D63" s="38" t="n"/>
      <c r="E63" s="38" t="n"/>
      <c r="F63" s="16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8" t="n"/>
      <c r="B64" s="38" t="n"/>
      <c r="C64" s="38" t="n"/>
      <c r="D64" s="38" t="n"/>
      <c r="E64" s="38" t="n"/>
      <c r="F64" s="16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8" t="n"/>
      <c r="B65" s="38" t="n"/>
      <c r="C65" s="38" t="n"/>
      <c r="D65" s="38" t="n"/>
      <c r="E65" s="38" t="n"/>
      <c r="F65" s="16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8" t="n"/>
      <c r="B66" s="38" t="n"/>
      <c r="C66" s="38" t="n"/>
      <c r="D66" s="38" t="n"/>
      <c r="E66" s="38" t="n"/>
      <c r="F66" s="16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8" t="n"/>
      <c r="B67" s="38" t="n"/>
      <c r="C67" s="38" t="n"/>
      <c r="D67" s="38" t="n"/>
      <c r="E67" s="38" t="n"/>
      <c r="F67" s="16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8" t="n"/>
      <c r="B68" s="38" t="n"/>
      <c r="C68" s="38" t="n"/>
      <c r="D68" s="38" t="n"/>
      <c r="E68" s="38" t="n"/>
      <c r="F68" s="16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8" t="n"/>
      <c r="B69" s="38" t="n"/>
      <c r="C69" s="38" t="n"/>
      <c r="D69" s="38" t="n"/>
      <c r="E69" s="38" t="n"/>
      <c r="F69" s="16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8" t="n"/>
      <c r="B70" s="38" t="n"/>
      <c r="C70" s="38" t="n"/>
      <c r="D70" s="38" t="n"/>
      <c r="E70" s="38" t="n"/>
      <c r="F70" s="16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8" t="n"/>
      <c r="B71" s="38" t="n"/>
      <c r="C71" s="38" t="n"/>
      <c r="D71" s="38" t="n"/>
      <c r="E71" s="38" t="n"/>
      <c r="F71" s="16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8" t="n"/>
      <c r="B72" s="38" t="n"/>
      <c r="C72" s="38" t="n"/>
      <c r="D72" s="38" t="n"/>
      <c r="E72" s="38" t="n"/>
      <c r="F72" s="16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8" t="n"/>
      <c r="B73" s="38" t="n"/>
      <c r="C73" s="38" t="n"/>
      <c r="D73" s="38" t="n"/>
      <c r="E73" s="38" t="n"/>
      <c r="F73" s="16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8" t="n"/>
      <c r="B74" s="38" t="n"/>
      <c r="C74" s="38" t="n"/>
      <c r="D74" s="38" t="n"/>
      <c r="E74" s="38" t="n"/>
      <c r="F74" s="16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8" t="n"/>
      <c r="B75" s="38" t="n"/>
      <c r="C75" s="38" t="n"/>
      <c r="D75" s="38" t="n"/>
      <c r="E75" s="38" t="n"/>
      <c r="F75" s="16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8" t="n"/>
      <c r="B76" s="38" t="n"/>
      <c r="C76" s="38" t="n"/>
      <c r="D76" s="38" t="n"/>
      <c r="E76" s="38" t="n"/>
      <c r="F76" s="16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8" t="n"/>
      <c r="B77" s="38" t="n"/>
      <c r="C77" s="38" t="n"/>
      <c r="D77" s="38" t="n"/>
      <c r="E77" s="38" t="n"/>
      <c r="F77" s="16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8" t="n"/>
      <c r="B78" s="38" t="n"/>
      <c r="C78" s="38" t="n"/>
      <c r="D78" s="38" t="n"/>
      <c r="E78" s="38" t="n"/>
      <c r="F78" s="16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8" t="n"/>
      <c r="B79" s="38" t="n"/>
      <c r="C79" s="38" t="n"/>
      <c r="D79" s="38" t="n"/>
      <c r="E79" s="38" t="n"/>
      <c r="F79" s="16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8" t="n"/>
      <c r="B80" s="38" t="n"/>
      <c r="C80" s="38" t="n"/>
      <c r="D80" s="38" t="n"/>
      <c r="E80" s="38" t="n"/>
      <c r="F80" s="16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8" t="n"/>
      <c r="B81" s="38" t="n"/>
      <c r="C81" s="38" t="n"/>
      <c r="D81" s="38" t="n"/>
      <c r="E81" s="38" t="n"/>
      <c r="F81" s="16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8" t="n"/>
      <c r="B82" s="38" t="n"/>
      <c r="C82" s="38" t="n"/>
      <c r="D82" s="38" t="n"/>
      <c r="E82" s="38" t="n"/>
      <c r="F82" s="16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8" t="n"/>
      <c r="B83" s="38" t="n"/>
      <c r="C83" s="38" t="n"/>
      <c r="D83" s="38" t="n"/>
      <c r="E83" s="38" t="n"/>
      <c r="F83" s="16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8" t="n"/>
      <c r="B84" s="38" t="n"/>
      <c r="C84" s="38" t="n"/>
      <c r="D84" s="38" t="n"/>
      <c r="E84" s="38" t="n"/>
      <c r="F84" s="16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8" t="n"/>
      <c r="B85" s="38" t="n"/>
      <c r="C85" s="38" t="n"/>
      <c r="D85" s="38" t="n"/>
      <c r="E85" s="38" t="n"/>
      <c r="F85" s="16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8" t="n"/>
      <c r="B86" s="38" t="n"/>
      <c r="C86" s="38" t="n"/>
      <c r="D86" s="38" t="n"/>
      <c r="E86" s="38" t="n"/>
      <c r="F86" s="16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8" t="n"/>
      <c r="B87" s="38" t="n"/>
      <c r="C87" s="38" t="n"/>
      <c r="D87" s="38" t="n"/>
      <c r="E87" s="38" t="n"/>
      <c r="F87" s="16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8" t="n"/>
      <c r="B88" s="38" t="n"/>
      <c r="C88" s="38" t="n"/>
      <c r="D88" s="38" t="n"/>
      <c r="E88" s="38" t="n"/>
      <c r="F88" s="16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8" t="n"/>
      <c r="B89" s="38" t="n"/>
      <c r="C89" s="38" t="n"/>
      <c r="D89" s="38" t="n"/>
      <c r="E89" s="38" t="n"/>
      <c r="F89" s="16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8" t="n"/>
      <c r="B90" s="38" t="n"/>
      <c r="C90" s="38" t="n"/>
      <c r="D90" s="38" t="n"/>
      <c r="E90" s="38" t="n"/>
      <c r="F90" s="16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8" t="n"/>
      <c r="B91" s="38" t="n"/>
      <c r="C91" s="38" t="n"/>
      <c r="D91" s="38" t="n"/>
      <c r="E91" s="38" t="n"/>
      <c r="F91" s="16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8" t="n"/>
      <c r="B92" s="38" t="n"/>
      <c r="C92" s="38" t="n"/>
      <c r="D92" s="38" t="n"/>
      <c r="E92" s="38" t="n"/>
      <c r="F92" s="16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8" t="n"/>
      <c r="B93" s="38" t="n"/>
      <c r="C93" s="38" t="n"/>
      <c r="D93" s="38" t="n"/>
      <c r="E93" s="38" t="n"/>
      <c r="F93" s="16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8" t="n"/>
      <c r="B94" s="38" t="n"/>
      <c r="C94" s="38" t="n"/>
      <c r="D94" s="38" t="n"/>
      <c r="E94" s="38" t="n"/>
      <c r="F94" s="16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8" t="n"/>
      <c r="B95" s="38" t="n"/>
      <c r="C95" s="38" t="n"/>
      <c r="D95" s="38" t="n"/>
      <c r="E95" s="38" t="n"/>
      <c r="F95" s="16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8" t="n"/>
      <c r="B96" s="38" t="n"/>
      <c r="C96" s="38" t="n"/>
      <c r="D96" s="38" t="n"/>
      <c r="E96" s="38" t="n"/>
      <c r="F96" s="16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8" t="n"/>
      <c r="B97" s="38" t="n"/>
      <c r="C97" s="38" t="n"/>
      <c r="D97" s="38" t="n"/>
      <c r="E97" s="38" t="n"/>
      <c r="F97" s="16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8" t="n"/>
      <c r="B98" s="38" t="n"/>
      <c r="C98" s="38" t="n"/>
      <c r="D98" s="38" t="n"/>
      <c r="E98" s="38" t="n"/>
      <c r="F98" s="16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8" t="n"/>
      <c r="B99" s="38" t="n"/>
      <c r="C99" s="38" t="n"/>
      <c r="D99" s="38" t="n"/>
      <c r="E99" s="38" t="n"/>
      <c r="F99" s="16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8" t="n"/>
      <c r="B100" s="38" t="n"/>
      <c r="C100" s="38" t="n"/>
      <c r="D100" s="38" t="n"/>
      <c r="E100" s="38" t="n"/>
      <c r="F100" s="16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8" t="n"/>
      <c r="B101" s="38" t="n"/>
      <c r="C101" s="38" t="n"/>
      <c r="D101" s="38" t="n"/>
      <c r="E101" s="38" t="n"/>
      <c r="F101" s="16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8" t="n"/>
      <c r="B102" s="38" t="n"/>
      <c r="C102" s="38" t="n"/>
      <c r="D102" s="38" t="n"/>
      <c r="E102" s="38" t="n"/>
      <c r="F102" s="16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8" t="n"/>
      <c r="B103" s="38" t="n"/>
      <c r="C103" s="38" t="n"/>
      <c r="D103" s="38" t="n"/>
      <c r="E103" s="38" t="n"/>
      <c r="F103" s="16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8" t="n"/>
      <c r="B104" s="38" t="n"/>
      <c r="C104" s="38" t="n"/>
      <c r="D104" s="38" t="n"/>
      <c r="E104" s="38" t="n"/>
      <c r="F104" s="16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8" t="n"/>
      <c r="B105" s="38" t="n"/>
      <c r="C105" s="38" t="n"/>
      <c r="D105" s="38" t="n"/>
      <c r="E105" s="38" t="n"/>
      <c r="F105" s="16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8" t="n"/>
      <c r="B106" s="38" t="n"/>
      <c r="C106" s="38" t="n"/>
      <c r="D106" s="38" t="n"/>
      <c r="E106" s="38" t="n"/>
      <c r="F106" s="16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8" t="n"/>
      <c r="B107" s="38" t="n"/>
      <c r="C107" s="38" t="n"/>
      <c r="D107" s="38" t="n"/>
      <c r="E107" s="38" t="n"/>
      <c r="F107" s="16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8" t="n"/>
      <c r="B108" s="38" t="n"/>
      <c r="C108" s="38" t="n"/>
      <c r="D108" s="38" t="n"/>
      <c r="E108" s="38" t="n"/>
      <c r="F108" s="16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8" t="n"/>
      <c r="B109" s="38" t="n"/>
      <c r="C109" s="38" t="n"/>
      <c r="D109" s="38" t="n"/>
      <c r="E109" s="38" t="n"/>
      <c r="F109" s="16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8" t="n"/>
      <c r="B110" s="38" t="n"/>
      <c r="C110" s="38" t="n"/>
      <c r="D110" s="38" t="n"/>
      <c r="E110" s="38" t="n"/>
      <c r="F110" s="16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8" t="n"/>
      <c r="B111" s="38" t="n"/>
      <c r="C111" s="38" t="n"/>
      <c r="D111" s="38" t="n"/>
      <c r="E111" s="38" t="n"/>
      <c r="F111" s="16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8" t="n"/>
      <c r="B112" s="38" t="n"/>
      <c r="C112" s="38" t="n"/>
      <c r="D112" s="38" t="n"/>
      <c r="E112" s="38" t="n"/>
      <c r="F112" s="16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8" t="n"/>
      <c r="B113" s="38" t="n"/>
      <c r="C113" s="38" t="n"/>
      <c r="D113" s="38" t="n"/>
      <c r="E113" s="38" t="n"/>
      <c r="F113" s="16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8" t="n"/>
      <c r="B114" s="38" t="n"/>
      <c r="C114" s="38" t="n"/>
      <c r="D114" s="38" t="n"/>
      <c r="E114" s="38" t="n"/>
      <c r="F114" s="16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8" t="n"/>
      <c r="B115" s="38" t="n"/>
      <c r="C115" s="38" t="n"/>
      <c r="D115" s="38" t="n"/>
      <c r="E115" s="38" t="n"/>
      <c r="F115" s="16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8" t="n"/>
      <c r="B116" s="38" t="n"/>
      <c r="C116" s="38" t="n"/>
      <c r="D116" s="38" t="n"/>
      <c r="E116" s="38" t="n"/>
      <c r="F116" s="16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8" t="n"/>
      <c r="B117" s="38" t="n"/>
      <c r="C117" s="38" t="n"/>
      <c r="D117" s="38" t="n"/>
      <c r="E117" s="38" t="n"/>
      <c r="F117" s="16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8" t="n"/>
      <c r="B118" s="38" t="n"/>
      <c r="C118" s="38" t="n"/>
      <c r="D118" s="38" t="n"/>
      <c r="E118" s="38" t="n"/>
      <c r="F118" s="16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8" t="n"/>
      <c r="B119" s="38" t="n"/>
      <c r="C119" s="38" t="n"/>
      <c r="D119" s="38" t="n"/>
      <c r="E119" s="38" t="n"/>
      <c r="F119" s="16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8" t="n"/>
      <c r="B120" s="38" t="n"/>
      <c r="C120" s="38" t="n"/>
      <c r="D120" s="38" t="n"/>
      <c r="E120" s="38" t="n"/>
      <c r="F120" s="16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8" t="n"/>
      <c r="B121" s="38" t="n"/>
      <c r="C121" s="38" t="n"/>
      <c r="D121" s="38" t="n"/>
      <c r="E121" s="38" t="n"/>
      <c r="F121" s="16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8" t="n"/>
      <c r="B122" s="38" t="n"/>
      <c r="C122" s="38" t="n"/>
      <c r="D122" s="38" t="n"/>
      <c r="E122" s="38" t="n"/>
      <c r="F122" s="16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8" t="n"/>
      <c r="B123" s="38" t="n"/>
      <c r="C123" s="38" t="n"/>
      <c r="D123" s="38" t="n"/>
      <c r="E123" s="38" t="n"/>
      <c r="F123" s="16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8" t="n"/>
      <c r="B124" s="38" t="n"/>
      <c r="C124" s="38" t="n"/>
      <c r="D124" s="38" t="n"/>
      <c r="E124" s="38" t="n"/>
      <c r="F124" s="16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8" t="n"/>
      <c r="B125" s="38" t="n"/>
      <c r="C125" s="38" t="n"/>
      <c r="D125" s="38" t="n"/>
      <c r="E125" s="38" t="n"/>
      <c r="F125" s="16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8" t="n"/>
      <c r="B126" s="38" t="n"/>
      <c r="C126" s="38" t="n"/>
      <c r="D126" s="38" t="n"/>
      <c r="E126" s="38" t="n"/>
      <c r="F126" s="16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8" t="n"/>
      <c r="B127" s="38" t="n"/>
      <c r="C127" s="38" t="n"/>
      <c r="D127" s="38" t="n"/>
      <c r="E127" s="38" t="n"/>
      <c r="F127" s="16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8" t="n"/>
      <c r="B128" s="38" t="n"/>
      <c r="C128" s="38" t="n"/>
      <c r="D128" s="38" t="n"/>
      <c r="E128" s="38" t="n"/>
      <c r="F128" s="16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8" t="n"/>
      <c r="B129" s="38" t="n"/>
      <c r="C129" s="38" t="n"/>
      <c r="D129" s="38" t="n"/>
      <c r="E129" s="38" t="n"/>
      <c r="F129" s="16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8" t="n"/>
      <c r="B130" s="38" t="n"/>
      <c r="C130" s="38" t="n"/>
      <c r="D130" s="38" t="n"/>
      <c r="E130" s="38" t="n"/>
      <c r="F130" s="16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8" t="n"/>
      <c r="B131" s="38" t="n"/>
      <c r="C131" s="38" t="n"/>
      <c r="D131" s="38" t="n"/>
      <c r="E131" s="38" t="n"/>
      <c r="F131" s="16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8" t="n"/>
      <c r="B132" s="38" t="n"/>
      <c r="C132" s="38" t="n"/>
      <c r="D132" s="38" t="n"/>
      <c r="E132" s="38" t="n"/>
      <c r="F132" s="16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8" t="n"/>
      <c r="B133" s="38" t="n"/>
      <c r="C133" s="38" t="n"/>
      <c r="D133" s="38" t="n"/>
      <c r="E133" s="38" t="n"/>
      <c r="F133" s="16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8" t="n"/>
      <c r="B134" s="38" t="n"/>
      <c r="C134" s="38" t="n"/>
      <c r="D134" s="38" t="n"/>
      <c r="E134" s="38" t="n"/>
      <c r="F134" s="16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8" t="n"/>
      <c r="B135" s="38" t="n"/>
      <c r="C135" s="38" t="n"/>
      <c r="D135" s="38" t="n"/>
      <c r="E135" s="38" t="n"/>
      <c r="F135" s="16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8" t="n"/>
      <c r="B136" s="38" t="n"/>
      <c r="C136" s="38" t="n"/>
      <c r="D136" s="38" t="n"/>
      <c r="E136" s="38" t="n"/>
      <c r="F136" s="16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8" t="n"/>
      <c r="B137" s="38" t="n"/>
      <c r="C137" s="38" t="n"/>
      <c r="D137" s="38" t="n"/>
      <c r="E137" s="38" t="n"/>
      <c r="F137" s="16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8" t="n"/>
      <c r="B138" s="38" t="n"/>
      <c r="C138" s="38" t="n"/>
      <c r="D138" s="38" t="n"/>
      <c r="E138" s="38" t="n"/>
      <c r="F138" s="16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8" t="n"/>
      <c r="B139" s="38" t="n"/>
      <c r="C139" s="38" t="n"/>
      <c r="D139" s="38" t="n"/>
      <c r="E139" s="38" t="n"/>
      <c r="F139" s="16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8" t="n"/>
      <c r="B140" s="38" t="n"/>
      <c r="C140" s="38" t="n"/>
      <c r="D140" s="38" t="n"/>
      <c r="E140" s="38" t="n"/>
      <c r="F140" s="16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8" t="n"/>
      <c r="B141" s="38" t="n"/>
      <c r="C141" s="38" t="n"/>
      <c r="D141" s="38" t="n"/>
      <c r="E141" s="38" t="n"/>
      <c r="F141" s="16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8" t="n"/>
      <c r="B142" s="38" t="n"/>
      <c r="C142" s="38" t="n"/>
      <c r="D142" s="38" t="n"/>
      <c r="E142" s="38" t="n"/>
      <c r="F142" s="16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8" t="n"/>
      <c r="B143" s="38" t="n"/>
      <c r="C143" s="38" t="n"/>
      <c r="D143" s="38" t="n"/>
      <c r="E143" s="38" t="n"/>
      <c r="F143" s="16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8" t="n"/>
      <c r="B144" s="38" t="n"/>
      <c r="C144" s="38" t="n"/>
      <c r="D144" s="38" t="n"/>
      <c r="E144" s="38" t="n"/>
      <c r="F144" s="16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8" t="n"/>
      <c r="B145" s="38" t="n"/>
      <c r="C145" s="38" t="n"/>
      <c r="D145" s="38" t="n"/>
      <c r="E145" s="38" t="n"/>
      <c r="F145" s="16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8" t="n"/>
      <c r="B146" s="38" t="n"/>
      <c r="C146" s="38" t="n"/>
      <c r="D146" s="38" t="n"/>
      <c r="E146" s="38" t="n"/>
      <c r="F146" s="16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8" t="n"/>
      <c r="B147" s="38" t="n"/>
      <c r="C147" s="38" t="n"/>
      <c r="D147" s="38" t="n"/>
      <c r="E147" s="38" t="n"/>
      <c r="F147" s="16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8" t="n"/>
      <c r="B148" s="38" t="n"/>
      <c r="C148" s="38" t="n"/>
      <c r="D148" s="38" t="n"/>
      <c r="E148" s="38" t="n"/>
      <c r="F148" s="16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8" t="n"/>
      <c r="B149" s="38" t="n"/>
      <c r="C149" s="38" t="n"/>
      <c r="D149" s="38" t="n"/>
      <c r="E149" s="38" t="n"/>
      <c r="F149" s="16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8" t="n"/>
      <c r="B150" s="38" t="n"/>
      <c r="C150" s="38" t="n"/>
      <c r="D150" s="38" t="n"/>
      <c r="E150" s="38" t="n"/>
      <c r="F150" s="16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8" t="n"/>
      <c r="B151" s="38" t="n"/>
      <c r="C151" s="38" t="n"/>
      <c r="D151" s="38" t="n"/>
      <c r="E151" s="38" t="n"/>
      <c r="F151" s="16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8" t="n"/>
      <c r="B152" s="38" t="n"/>
      <c r="C152" s="38" t="n"/>
      <c r="D152" s="38" t="n"/>
      <c r="E152" s="38" t="n"/>
      <c r="F152" s="16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8" t="n"/>
      <c r="B153" s="38" t="n"/>
      <c r="C153" s="38" t="n"/>
      <c r="D153" s="38" t="n"/>
      <c r="E153" s="38" t="n"/>
      <c r="F153" s="16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8" t="n"/>
      <c r="B154" s="38" t="n"/>
      <c r="C154" s="38" t="n"/>
      <c r="D154" s="38" t="n"/>
      <c r="E154" s="38" t="n"/>
      <c r="F154" s="16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8" t="n"/>
      <c r="B155" s="38" t="n"/>
      <c r="C155" s="38" t="n"/>
      <c r="D155" s="38" t="n"/>
      <c r="E155" s="38" t="n"/>
      <c r="F155" s="16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8" t="n"/>
      <c r="B156" s="38" t="n"/>
      <c r="C156" s="38" t="n"/>
      <c r="D156" s="38" t="n"/>
      <c r="E156" s="38" t="n"/>
      <c r="F156" s="16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8" t="n"/>
      <c r="B157" s="38" t="n"/>
      <c r="C157" s="38" t="n"/>
      <c r="D157" s="38" t="n"/>
      <c r="E157" s="38" t="n"/>
      <c r="F157" s="16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8" t="n"/>
      <c r="B158" s="38" t="n"/>
      <c r="C158" s="38" t="n"/>
      <c r="D158" s="38" t="n"/>
      <c r="E158" s="38" t="n"/>
      <c r="F158" s="16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8" t="n"/>
      <c r="B159" s="38" t="n"/>
      <c r="C159" s="38" t="n"/>
      <c r="D159" s="38" t="n"/>
      <c r="E159" s="38" t="n"/>
      <c r="F159" s="16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8" t="n"/>
      <c r="B160" s="38" t="n"/>
      <c r="C160" s="38" t="n"/>
      <c r="D160" s="38" t="n"/>
      <c r="E160" s="38" t="n"/>
      <c r="F160" s="16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8" t="n"/>
      <c r="B161" s="38" t="n"/>
      <c r="C161" s="38" t="n"/>
      <c r="D161" s="38" t="n"/>
      <c r="E161" s="38" t="n"/>
      <c r="F161" s="16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8" t="n"/>
      <c r="B162" s="38" t="n"/>
      <c r="C162" s="38" t="n"/>
      <c r="D162" s="38" t="n"/>
      <c r="E162" s="38" t="n"/>
      <c r="F162" s="16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8" t="n"/>
      <c r="B163" s="38" t="n"/>
      <c r="C163" s="38" t="n"/>
      <c r="D163" s="38" t="n"/>
      <c r="E163" s="38" t="n"/>
      <c r="F163" s="16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8" t="n"/>
      <c r="B164" s="38" t="n"/>
      <c r="C164" s="38" t="n"/>
      <c r="D164" s="38" t="n"/>
      <c r="E164" s="38" t="n"/>
      <c r="F164" s="16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8" t="n"/>
      <c r="B165" s="38" t="n"/>
      <c r="C165" s="38" t="n"/>
      <c r="D165" s="38" t="n"/>
      <c r="E165" s="38" t="n"/>
      <c r="F165" s="16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8" t="n"/>
      <c r="B166" s="38" t="n"/>
      <c r="C166" s="38" t="n"/>
      <c r="D166" s="38" t="n"/>
      <c r="E166" s="38" t="n"/>
      <c r="F166" s="16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8" t="n"/>
      <c r="B167" s="38" t="n"/>
      <c r="C167" s="38" t="n"/>
      <c r="D167" s="38" t="n"/>
      <c r="E167" s="38" t="n"/>
      <c r="F167" s="16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8" t="n"/>
      <c r="B168" s="38" t="n"/>
      <c r="C168" s="38" t="n"/>
      <c r="D168" s="38" t="n"/>
      <c r="E168" s="38" t="n"/>
      <c r="F168" s="16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8" t="n"/>
      <c r="B169" s="38" t="n"/>
      <c r="C169" s="38" t="n"/>
      <c r="D169" s="38" t="n"/>
      <c r="E169" s="38" t="n"/>
      <c r="F169" s="16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8" t="n"/>
      <c r="B170" s="38" t="n"/>
      <c r="C170" s="38" t="n"/>
      <c r="D170" s="38" t="n"/>
      <c r="E170" s="38" t="n"/>
      <c r="F170" s="16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8" t="n"/>
      <c r="B171" s="38" t="n"/>
      <c r="C171" s="38" t="n"/>
      <c r="D171" s="38" t="n"/>
      <c r="E171" s="38" t="n"/>
      <c r="F171" s="16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8" t="n"/>
      <c r="B172" s="38" t="n"/>
      <c r="C172" s="38" t="n"/>
      <c r="D172" s="38" t="n"/>
      <c r="E172" s="38" t="n"/>
      <c r="F172" s="16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8" t="n"/>
      <c r="B173" s="38" t="n"/>
      <c r="C173" s="38" t="n"/>
      <c r="D173" s="38" t="n"/>
      <c r="E173" s="38" t="n"/>
      <c r="F173" s="16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8" t="n"/>
      <c r="B174" s="38" t="n"/>
      <c r="C174" s="38" t="n"/>
      <c r="D174" s="38" t="n"/>
      <c r="E174" s="38" t="n"/>
      <c r="F174" s="16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8" t="n"/>
      <c r="B175" s="38" t="n"/>
      <c r="C175" s="38" t="n"/>
      <c r="D175" s="38" t="n"/>
      <c r="E175" s="38" t="n"/>
      <c r="F175" s="16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8" t="n"/>
      <c r="B176" s="38" t="n"/>
      <c r="C176" s="38" t="n"/>
      <c r="D176" s="38" t="n"/>
      <c r="E176" s="38" t="n"/>
      <c r="F176" s="16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8" t="n"/>
      <c r="B177" s="38" t="n"/>
      <c r="C177" s="38" t="n"/>
      <c r="D177" s="38" t="n"/>
      <c r="E177" s="38" t="n"/>
      <c r="F177" s="16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8" t="n"/>
      <c r="B178" s="38" t="n"/>
      <c r="C178" s="38" t="n"/>
      <c r="D178" s="38" t="n"/>
      <c r="E178" s="38" t="n"/>
      <c r="F178" s="16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8" t="n"/>
      <c r="B179" s="38" t="n"/>
      <c r="C179" s="38" t="n"/>
      <c r="D179" s="38" t="n"/>
      <c r="E179" s="38" t="n"/>
      <c r="F179" s="16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8" t="n"/>
      <c r="B180" s="38" t="n"/>
      <c r="C180" s="38" t="n"/>
      <c r="D180" s="38" t="n"/>
      <c r="E180" s="38" t="n"/>
      <c r="F180" s="16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8" t="n"/>
      <c r="B181" s="38" t="n"/>
      <c r="C181" s="38" t="n"/>
      <c r="D181" s="38" t="n"/>
      <c r="E181" s="38" t="n"/>
      <c r="F181" s="16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8" t="n"/>
      <c r="B182" s="38" t="n"/>
      <c r="C182" s="38" t="n"/>
      <c r="D182" s="38" t="n"/>
      <c r="E182" s="38" t="n"/>
      <c r="F182" s="16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8" t="n"/>
      <c r="B183" s="38" t="n"/>
      <c r="C183" s="38" t="n"/>
      <c r="D183" s="38" t="n"/>
      <c r="E183" s="38" t="n"/>
      <c r="F183" s="16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8" t="n"/>
      <c r="B184" s="38" t="n"/>
      <c r="C184" s="38" t="n"/>
      <c r="D184" s="38" t="n"/>
      <c r="E184" s="38" t="n"/>
      <c r="F184" s="16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8" t="n"/>
      <c r="B185" s="38" t="n"/>
      <c r="C185" s="38" t="n"/>
      <c r="D185" s="38" t="n"/>
      <c r="E185" s="38" t="n"/>
      <c r="F185" s="16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8" t="n"/>
      <c r="B186" s="38" t="n"/>
      <c r="C186" s="38" t="n"/>
      <c r="D186" s="38" t="n"/>
      <c r="E186" s="38" t="n"/>
      <c r="F186" s="16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8" t="n"/>
      <c r="B187" s="38" t="n"/>
      <c r="C187" s="38" t="n"/>
      <c r="D187" s="38" t="n"/>
      <c r="E187" s="38" t="n"/>
      <c r="F187" s="16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8" t="n"/>
      <c r="B188" s="38" t="n"/>
      <c r="C188" s="38" t="n"/>
      <c r="D188" s="38" t="n"/>
      <c r="E188" s="38" t="n"/>
      <c r="F188" s="16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8" t="n"/>
      <c r="B189" s="38" t="n"/>
      <c r="C189" s="38" t="n"/>
      <c r="D189" s="38" t="n"/>
      <c r="E189" s="38" t="n"/>
      <c r="F189" s="16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8" t="n"/>
      <c r="B190" s="38" t="n"/>
      <c r="C190" s="38" t="n"/>
      <c r="D190" s="38" t="n"/>
      <c r="E190" s="38" t="n"/>
      <c r="F190" s="16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8" t="n"/>
      <c r="B191" s="38" t="n"/>
      <c r="C191" s="38" t="n"/>
      <c r="D191" s="38" t="n"/>
      <c r="E191" s="38" t="n"/>
      <c r="F191" s="16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8" t="n"/>
      <c r="B192" s="38" t="n"/>
      <c r="C192" s="38" t="n"/>
      <c r="D192" s="38" t="n"/>
      <c r="E192" s="38" t="n"/>
      <c r="F192" s="16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8" t="n"/>
      <c r="B193" s="38" t="n"/>
      <c r="C193" s="38" t="n"/>
      <c r="D193" s="38" t="n"/>
      <c r="E193" s="38" t="n"/>
      <c r="F193" s="16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8" t="n"/>
      <c r="B194" s="38" t="n"/>
      <c r="C194" s="38" t="n"/>
      <c r="D194" s="38" t="n"/>
      <c r="E194" s="38" t="n"/>
      <c r="F194" s="16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8" t="n"/>
      <c r="B195" s="38" t="n"/>
      <c r="C195" s="38" t="n"/>
      <c r="D195" s="38" t="n"/>
      <c r="E195" s="38" t="n"/>
      <c r="F195" s="16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8" t="n"/>
      <c r="B196" s="38" t="n"/>
      <c r="C196" s="38" t="n"/>
      <c r="D196" s="38" t="n"/>
      <c r="E196" s="38" t="n"/>
      <c r="F196" s="16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8" t="n"/>
      <c r="B197" s="38" t="n"/>
      <c r="C197" s="38" t="n"/>
      <c r="D197" s="38" t="n"/>
      <c r="E197" s="38" t="n"/>
      <c r="F197" s="16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8" t="n"/>
      <c r="B198" s="38" t="n"/>
      <c r="C198" s="38" t="n"/>
      <c r="D198" s="38" t="n"/>
      <c r="E198" s="38" t="n"/>
      <c r="F198" s="16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8" t="n"/>
      <c r="B199" s="38" t="n"/>
      <c r="C199" s="38" t="n"/>
      <c r="D199" s="38" t="n"/>
      <c r="E199" s="38" t="n"/>
      <c r="F199" s="16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8" t="n"/>
      <c r="B200" s="38" t="n"/>
      <c r="C200" s="38" t="n"/>
      <c r="D200" s="38" t="n"/>
      <c r="E200" s="38" t="n"/>
      <c r="F200" s="16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8" t="n"/>
      <c r="B201" s="38" t="n"/>
      <c r="C201" s="38" t="n"/>
      <c r="D201" s="38" t="n"/>
      <c r="E201" s="38" t="n"/>
      <c r="F201" s="16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8" t="n"/>
      <c r="B202" s="38" t="n"/>
      <c r="C202" s="38" t="n"/>
      <c r="D202" s="38" t="n"/>
      <c r="E202" s="38" t="n"/>
      <c r="F202" s="16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8" t="n"/>
      <c r="B203" s="38" t="n"/>
      <c r="C203" s="38" t="n"/>
      <c r="D203" s="38" t="n"/>
      <c r="E203" s="38" t="n"/>
      <c r="F203" s="16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8" t="n"/>
      <c r="B204" s="38" t="n"/>
      <c r="C204" s="38" t="n"/>
      <c r="D204" s="38" t="n"/>
      <c r="E204" s="38" t="n"/>
      <c r="F204" s="16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8" t="n"/>
      <c r="B205" s="38" t="n"/>
      <c r="C205" s="38" t="n"/>
      <c r="D205" s="38" t="n"/>
      <c r="E205" s="38" t="n"/>
      <c r="F205" s="16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8" t="n"/>
      <c r="B206" s="38" t="n"/>
      <c r="C206" s="38" t="n"/>
      <c r="D206" s="38" t="n"/>
      <c r="E206" s="38" t="n"/>
      <c r="F206" s="16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8" t="n"/>
      <c r="B207" s="38" t="n"/>
      <c r="C207" s="38" t="n"/>
      <c r="D207" s="38" t="n"/>
      <c r="E207" s="38" t="n"/>
      <c r="F207" s="16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8" t="n"/>
      <c r="B208" s="38" t="n"/>
      <c r="C208" s="38" t="n"/>
      <c r="D208" s="38" t="n"/>
      <c r="E208" s="38" t="n"/>
      <c r="F208" s="16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8" t="n"/>
      <c r="B209" s="38" t="n"/>
      <c r="C209" s="38" t="n"/>
      <c r="D209" s="38" t="n"/>
      <c r="E209" s="38" t="n"/>
      <c r="F209" s="16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8" t="n"/>
      <c r="B210" s="38" t="n"/>
      <c r="C210" s="38" t="n"/>
      <c r="D210" s="38" t="n"/>
      <c r="E210" s="38" t="n"/>
      <c r="F210" s="16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8" t="n"/>
      <c r="B211" s="38" t="n"/>
      <c r="C211" s="38" t="n"/>
      <c r="D211" s="38" t="n"/>
      <c r="E211" s="38" t="n"/>
      <c r="F211" s="16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8" t="n"/>
      <c r="B212" s="38" t="n"/>
      <c r="C212" s="38" t="n"/>
      <c r="D212" s="38" t="n"/>
      <c r="E212" s="38" t="n"/>
      <c r="F212" s="16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8" t="n"/>
      <c r="B213" s="38" t="n"/>
      <c r="C213" s="38" t="n"/>
      <c r="D213" s="38" t="n"/>
      <c r="E213" s="38" t="n"/>
      <c r="F213" s="16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8" t="n"/>
      <c r="B214" s="38" t="n"/>
      <c r="C214" s="38" t="n"/>
      <c r="D214" s="38" t="n"/>
      <c r="E214" s="38" t="n"/>
      <c r="F214" s="16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8" t="n"/>
      <c r="B215" s="38" t="n"/>
      <c r="C215" s="38" t="n"/>
      <c r="D215" s="38" t="n"/>
      <c r="E215" s="38" t="n"/>
      <c r="F215" s="16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8" t="n"/>
      <c r="B216" s="38" t="n"/>
      <c r="C216" s="38" t="n"/>
      <c r="D216" s="38" t="n"/>
      <c r="E216" s="38" t="n"/>
      <c r="F216" s="16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8" t="n"/>
      <c r="B217" s="38" t="n"/>
      <c r="C217" s="38" t="n"/>
      <c r="D217" s="38" t="n"/>
      <c r="E217" s="38" t="n"/>
      <c r="F217" s="16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8" t="n"/>
      <c r="B218" s="38" t="n"/>
      <c r="C218" s="38" t="n"/>
      <c r="D218" s="38" t="n"/>
      <c r="E218" s="38" t="n"/>
      <c r="F218" s="16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8" t="n"/>
      <c r="B219" s="38" t="n"/>
      <c r="C219" s="38" t="n"/>
      <c r="D219" s="38" t="n"/>
      <c r="E219" s="38" t="n"/>
      <c r="F219" s="16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8" t="n"/>
      <c r="B220" s="38" t="n"/>
      <c r="C220" s="38" t="n"/>
      <c r="D220" s="38" t="n"/>
      <c r="E220" s="38" t="n"/>
      <c r="F220" s="16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8" t="n"/>
      <c r="B221" s="38" t="n"/>
      <c r="C221" s="38" t="n"/>
      <c r="D221" s="38" t="n"/>
      <c r="E221" s="38" t="n"/>
      <c r="F221" s="16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8" t="n"/>
      <c r="B222" s="38" t="n"/>
      <c r="C222" s="38" t="n"/>
      <c r="D222" s="38" t="n"/>
      <c r="E222" s="38" t="n"/>
      <c r="F222" s="16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8" t="n"/>
      <c r="B223" s="38" t="n"/>
      <c r="C223" s="38" t="n"/>
      <c r="D223" s="38" t="n"/>
      <c r="E223" s="38" t="n"/>
      <c r="F223" s="16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8" t="n"/>
      <c r="B224" s="38" t="n"/>
      <c r="C224" s="38" t="n"/>
      <c r="D224" s="38" t="n"/>
      <c r="E224" s="38" t="n"/>
      <c r="F224" s="16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8" t="n"/>
      <c r="B225" s="38" t="n"/>
      <c r="C225" s="38" t="n"/>
      <c r="D225" s="38" t="n"/>
      <c r="E225" s="38" t="n"/>
      <c r="F225" s="16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8" t="n"/>
      <c r="B226" s="38" t="n"/>
      <c r="C226" s="38" t="n"/>
      <c r="D226" s="38" t="n"/>
      <c r="E226" s="38" t="n"/>
      <c r="F226" s="16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8" t="n"/>
      <c r="B227" s="38" t="n"/>
      <c r="C227" s="38" t="n"/>
      <c r="D227" s="38" t="n"/>
      <c r="E227" s="38" t="n"/>
      <c r="F227" s="16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8" t="n"/>
      <c r="B228" s="38" t="n"/>
      <c r="C228" s="38" t="n"/>
      <c r="D228" s="38" t="n"/>
      <c r="E228" s="38" t="n"/>
      <c r="F228" s="16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8" t="n"/>
      <c r="B229" s="38" t="n"/>
      <c r="C229" s="38" t="n"/>
      <c r="D229" s="38" t="n"/>
      <c r="E229" s="38" t="n"/>
      <c r="F229" s="16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8" t="n"/>
      <c r="B230" s="38" t="n"/>
      <c r="C230" s="38" t="n"/>
      <c r="D230" s="38" t="n"/>
      <c r="E230" s="38" t="n"/>
      <c r="F230" s="16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8" t="n"/>
      <c r="B231" s="38" t="n"/>
      <c r="C231" s="38" t="n"/>
      <c r="D231" s="38" t="n"/>
      <c r="E231" s="38" t="n"/>
      <c r="F231" s="16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8" t="n"/>
      <c r="B232" s="38" t="n"/>
      <c r="C232" s="38" t="n"/>
      <c r="D232" s="38" t="n"/>
      <c r="E232" s="38" t="n"/>
      <c r="F232" s="16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8" t="n"/>
      <c r="B233" s="38" t="n"/>
      <c r="C233" s="38" t="n"/>
      <c r="D233" s="38" t="n"/>
      <c r="E233" s="38" t="n"/>
      <c r="F233" s="16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8" t="n"/>
      <c r="B234" s="38" t="n"/>
      <c r="C234" s="38" t="n"/>
      <c r="D234" s="38" t="n"/>
      <c r="E234" s="38" t="n"/>
      <c r="F234" s="16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8" t="n"/>
      <c r="B235" s="38" t="n"/>
      <c r="C235" s="38" t="n"/>
      <c r="D235" s="38" t="n"/>
      <c r="E235" s="38" t="n"/>
      <c r="F235" s="16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8" t="n"/>
      <c r="B236" s="38" t="n"/>
      <c r="C236" s="38" t="n"/>
      <c r="D236" s="38" t="n"/>
      <c r="E236" s="38" t="n"/>
      <c r="F236" s="16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8" t="n"/>
      <c r="B237" s="38" t="n"/>
      <c r="C237" s="38" t="n"/>
      <c r="D237" s="38" t="n"/>
      <c r="E237" s="38" t="n"/>
      <c r="F237" s="16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8" t="n"/>
      <c r="B238" s="38" t="n"/>
      <c r="C238" s="38" t="n"/>
      <c r="D238" s="38" t="n"/>
      <c r="E238" s="38" t="n"/>
      <c r="F238" s="16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8" t="n"/>
      <c r="B239" s="38" t="n"/>
      <c r="C239" s="38" t="n"/>
      <c r="D239" s="38" t="n"/>
      <c r="E239" s="38" t="n"/>
      <c r="F239" s="16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8" t="n"/>
      <c r="B240" s="38" t="n"/>
      <c r="C240" s="38" t="n"/>
      <c r="D240" s="38" t="n"/>
      <c r="E240" s="38" t="n"/>
      <c r="F240" s="16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8" t="n"/>
      <c r="B241" s="38" t="n"/>
      <c r="C241" s="38" t="n"/>
      <c r="D241" s="38" t="n"/>
      <c r="E241" s="38" t="n"/>
      <c r="F241" s="16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8" t="n"/>
      <c r="B242" s="38" t="n"/>
      <c r="C242" s="38" t="n"/>
      <c r="D242" s="38" t="n"/>
      <c r="E242" s="38" t="n"/>
      <c r="F242" s="16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8" t="n"/>
      <c r="B243" s="38" t="n"/>
      <c r="C243" s="38" t="n"/>
      <c r="D243" s="38" t="n"/>
      <c r="E243" s="38" t="n"/>
      <c r="F243" s="16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8" t="n"/>
      <c r="B244" s="38" t="n"/>
      <c r="C244" s="38" t="n"/>
      <c r="D244" s="38" t="n"/>
      <c r="E244" s="38" t="n"/>
      <c r="F244" s="16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8" t="n"/>
      <c r="B245" s="38" t="n"/>
      <c r="C245" s="38" t="n"/>
      <c r="D245" s="38" t="n"/>
      <c r="E245" s="38" t="n"/>
      <c r="F245" s="16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8" t="n"/>
      <c r="B246" s="38" t="n"/>
      <c r="C246" s="38" t="n"/>
      <c r="D246" s="38" t="n"/>
      <c r="E246" s="38" t="n"/>
      <c r="F246" s="16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8" t="n"/>
      <c r="B247" s="38" t="n"/>
      <c r="C247" s="38" t="n"/>
      <c r="D247" s="38" t="n"/>
      <c r="E247" s="38" t="n"/>
      <c r="F247" s="16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8" t="n"/>
      <c r="B248" s="38" t="n"/>
      <c r="C248" s="38" t="n"/>
      <c r="D248" s="38" t="n"/>
      <c r="E248" s="38" t="n"/>
      <c r="F248" s="16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8" t="n"/>
      <c r="B249" s="38" t="n"/>
      <c r="C249" s="38" t="n"/>
      <c r="D249" s="38" t="n"/>
      <c r="E249" s="38" t="n"/>
      <c r="F249" s="16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8" t="n"/>
      <c r="B250" s="38" t="n"/>
      <c r="C250" s="38" t="n"/>
      <c r="D250" s="38" t="n"/>
      <c r="E250" s="38" t="n"/>
      <c r="F250" s="16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8" t="n"/>
      <c r="B251" s="38" t="n"/>
      <c r="C251" s="38" t="n"/>
      <c r="D251" s="38" t="n"/>
      <c r="E251" s="38" t="n"/>
      <c r="F251" s="16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8" t="n"/>
      <c r="B252" s="38" t="n"/>
      <c r="C252" s="38" t="n"/>
      <c r="D252" s="38" t="n"/>
      <c r="E252" s="38" t="n"/>
      <c r="F252" s="16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8" t="n"/>
      <c r="B253" s="38" t="n"/>
      <c r="C253" s="38" t="n"/>
      <c r="D253" s="38" t="n"/>
      <c r="E253" s="38" t="n"/>
      <c r="F253" s="16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8" t="n"/>
      <c r="B254" s="38" t="n"/>
      <c r="C254" s="38" t="n"/>
      <c r="D254" s="38" t="n"/>
      <c r="E254" s="38" t="n"/>
      <c r="F254" s="16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8" t="n"/>
      <c r="B255" s="38" t="n"/>
      <c r="C255" s="38" t="n"/>
      <c r="D255" s="38" t="n"/>
      <c r="E255" s="38" t="n"/>
      <c r="F255" s="16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8" t="n"/>
      <c r="B256" s="38" t="n"/>
      <c r="C256" s="38" t="n"/>
      <c r="D256" s="38" t="n"/>
      <c r="E256" s="38" t="n"/>
      <c r="F256" s="16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8" t="n"/>
      <c r="B257" s="38" t="n"/>
      <c r="C257" s="38" t="n"/>
      <c r="D257" s="38" t="n"/>
      <c r="E257" s="38" t="n"/>
      <c r="F257" s="16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8" t="n"/>
      <c r="B258" s="38" t="n"/>
      <c r="C258" s="38" t="n"/>
      <c r="D258" s="38" t="n"/>
      <c r="E258" s="38" t="n"/>
      <c r="F258" s="16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8" t="n"/>
      <c r="B259" s="38" t="n"/>
      <c r="C259" s="38" t="n"/>
      <c r="D259" s="38" t="n"/>
      <c r="E259" s="38" t="n"/>
      <c r="F259" s="16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8" t="n"/>
      <c r="B260" s="38" t="n"/>
      <c r="C260" s="38" t="n"/>
      <c r="D260" s="38" t="n"/>
      <c r="E260" s="38" t="n"/>
      <c r="F260" s="16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8" t="n"/>
      <c r="B261" s="38" t="n"/>
      <c r="C261" s="38" t="n"/>
      <c r="D261" s="38" t="n"/>
      <c r="E261" s="38" t="n"/>
      <c r="F261" s="16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8" t="n"/>
      <c r="B262" s="38" t="n"/>
      <c r="C262" s="38" t="n"/>
      <c r="D262" s="38" t="n"/>
      <c r="E262" s="38" t="n"/>
      <c r="F262" s="16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8" t="n"/>
      <c r="B263" s="38" t="n"/>
      <c r="C263" s="38" t="n"/>
      <c r="D263" s="38" t="n"/>
      <c r="E263" s="38" t="n"/>
      <c r="F263" s="16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8" t="n"/>
      <c r="B264" s="38" t="n"/>
      <c r="C264" s="38" t="n"/>
      <c r="D264" s="38" t="n"/>
      <c r="E264" s="38" t="n"/>
      <c r="F264" s="16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8" t="n"/>
      <c r="B265" s="38" t="n"/>
      <c r="C265" s="38" t="n"/>
      <c r="D265" s="38" t="n"/>
      <c r="E265" s="38" t="n"/>
      <c r="F265" s="16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8" t="n"/>
      <c r="B266" s="38" t="n"/>
      <c r="C266" s="38" t="n"/>
      <c r="D266" s="38" t="n"/>
      <c r="E266" s="38" t="n"/>
      <c r="F266" s="16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8" t="n"/>
      <c r="B267" s="38" t="n"/>
      <c r="C267" s="38" t="n"/>
      <c r="D267" s="38" t="n"/>
      <c r="E267" s="38" t="n"/>
      <c r="F267" s="16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8" t="n"/>
      <c r="B268" s="38" t="n"/>
      <c r="C268" s="38" t="n"/>
      <c r="D268" s="38" t="n"/>
      <c r="E268" s="38" t="n"/>
      <c r="F268" s="16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8" t="n"/>
      <c r="B269" s="38" t="n"/>
      <c r="C269" s="38" t="n"/>
      <c r="D269" s="38" t="n"/>
      <c r="E269" s="38" t="n"/>
      <c r="F269" s="16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8" t="n"/>
      <c r="B270" s="38" t="n"/>
      <c r="C270" s="38" t="n"/>
      <c r="D270" s="38" t="n"/>
      <c r="E270" s="38" t="n"/>
      <c r="F270" s="16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8" t="n"/>
      <c r="B271" s="38" t="n"/>
      <c r="C271" s="38" t="n"/>
      <c r="D271" s="38" t="n"/>
      <c r="E271" s="38" t="n"/>
      <c r="F271" s="16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8" t="n"/>
      <c r="B272" s="38" t="n"/>
      <c r="C272" s="38" t="n"/>
      <c r="D272" s="38" t="n"/>
      <c r="E272" s="38" t="n"/>
      <c r="F272" s="16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8" t="n"/>
      <c r="B273" s="38" t="n"/>
      <c r="C273" s="38" t="n"/>
      <c r="D273" s="38" t="n"/>
      <c r="E273" s="38" t="n"/>
      <c r="F273" s="16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8" t="n"/>
      <c r="B274" s="38" t="n"/>
      <c r="C274" s="38" t="n"/>
      <c r="D274" s="38" t="n"/>
      <c r="E274" s="38" t="n"/>
      <c r="F274" s="16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8" t="n"/>
      <c r="B275" s="38" t="n"/>
      <c r="C275" s="38" t="n"/>
      <c r="D275" s="38" t="n"/>
      <c r="E275" s="38" t="n"/>
      <c r="F275" s="16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8" t="n"/>
      <c r="B276" s="38" t="n"/>
      <c r="C276" s="38" t="n"/>
      <c r="D276" s="38" t="n"/>
      <c r="E276" s="38" t="n"/>
      <c r="F276" s="16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8" t="n"/>
      <c r="B277" s="38" t="n"/>
      <c r="C277" s="38" t="n"/>
      <c r="D277" s="38" t="n"/>
      <c r="E277" s="38" t="n"/>
      <c r="F277" s="16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8" t="n"/>
      <c r="B278" s="38" t="n"/>
      <c r="C278" s="38" t="n"/>
      <c r="D278" s="38" t="n"/>
      <c r="E278" s="38" t="n"/>
      <c r="F278" s="16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8" t="n"/>
      <c r="B279" s="38" t="n"/>
      <c r="C279" s="38" t="n"/>
      <c r="D279" s="38" t="n"/>
      <c r="E279" s="38" t="n"/>
      <c r="F279" s="16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8" t="n"/>
      <c r="B280" s="38" t="n"/>
      <c r="C280" s="38" t="n"/>
      <c r="D280" s="38" t="n"/>
      <c r="E280" s="38" t="n"/>
      <c r="F280" s="16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8" t="n"/>
      <c r="B281" s="38" t="n"/>
      <c r="C281" s="38" t="n"/>
      <c r="D281" s="38" t="n"/>
      <c r="E281" s="38" t="n"/>
      <c r="F281" s="16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8" t="n"/>
      <c r="B282" s="38" t="n"/>
      <c r="C282" s="38" t="n"/>
      <c r="D282" s="38" t="n"/>
      <c r="E282" s="38" t="n"/>
      <c r="F282" s="16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8" t="n"/>
      <c r="B283" s="38" t="n"/>
      <c r="C283" s="38" t="n"/>
      <c r="D283" s="38" t="n"/>
      <c r="E283" s="38" t="n"/>
      <c r="F283" s="16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8" t="n"/>
      <c r="B284" s="38" t="n"/>
      <c r="C284" s="38" t="n"/>
      <c r="D284" s="38" t="n"/>
      <c r="E284" s="38" t="n"/>
      <c r="F284" s="16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8" t="n"/>
      <c r="B285" s="38" t="n"/>
      <c r="C285" s="38" t="n"/>
      <c r="D285" s="38" t="n"/>
      <c r="E285" s="38" t="n"/>
      <c r="F285" s="16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8" t="n"/>
      <c r="B286" s="38" t="n"/>
      <c r="C286" s="38" t="n"/>
      <c r="D286" s="38" t="n"/>
      <c r="E286" s="38" t="n"/>
      <c r="F286" s="16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8" t="n"/>
      <c r="B287" s="38" t="n"/>
      <c r="C287" s="38" t="n"/>
      <c r="D287" s="38" t="n"/>
      <c r="E287" s="38" t="n"/>
      <c r="F287" s="16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8" t="n"/>
      <c r="B288" s="38" t="n"/>
      <c r="C288" s="38" t="n"/>
      <c r="D288" s="38" t="n"/>
      <c r="E288" s="38" t="n"/>
      <c r="F288" s="16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8" t="n"/>
      <c r="B289" s="38" t="n"/>
      <c r="C289" s="38" t="n"/>
      <c r="D289" s="38" t="n"/>
      <c r="E289" s="38" t="n"/>
      <c r="F289" s="16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8" t="n"/>
      <c r="B290" s="38" t="n"/>
      <c r="C290" s="38" t="n"/>
      <c r="D290" s="38" t="n"/>
      <c r="E290" s="38" t="n"/>
      <c r="F290" s="16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8" t="n"/>
      <c r="B291" s="38" t="n"/>
      <c r="C291" s="38" t="n"/>
      <c r="D291" s="38" t="n"/>
      <c r="E291" s="38" t="n"/>
      <c r="F291" s="16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8" t="n"/>
      <c r="B292" s="38" t="n"/>
      <c r="C292" s="38" t="n"/>
      <c r="D292" s="38" t="n"/>
      <c r="E292" s="38" t="n"/>
      <c r="F292" s="16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8" t="n"/>
      <c r="B293" s="38" t="n"/>
      <c r="C293" s="38" t="n"/>
      <c r="D293" s="38" t="n"/>
      <c r="E293" s="38" t="n"/>
      <c r="F293" s="16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8" t="n"/>
      <c r="B294" s="38" t="n"/>
      <c r="C294" s="38" t="n"/>
      <c r="D294" s="38" t="n"/>
      <c r="E294" s="38" t="n"/>
      <c r="F294" s="16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8" t="n"/>
      <c r="B295" s="38" t="n"/>
      <c r="C295" s="38" t="n"/>
      <c r="D295" s="38" t="n"/>
      <c r="E295" s="38" t="n"/>
      <c r="F295" s="16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8" t="n"/>
      <c r="B296" s="38" t="n"/>
      <c r="C296" s="38" t="n"/>
      <c r="D296" s="38" t="n"/>
      <c r="E296" s="38" t="n"/>
      <c r="F296" s="16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8" t="n"/>
      <c r="B297" s="38" t="n"/>
      <c r="C297" s="38" t="n"/>
      <c r="D297" s="38" t="n"/>
      <c r="E297" s="38" t="n"/>
      <c r="F297" s="16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8" t="n"/>
      <c r="B298" s="38" t="n"/>
      <c r="C298" s="38" t="n"/>
      <c r="D298" s="38" t="n"/>
      <c r="E298" s="38" t="n"/>
      <c r="F298" s="16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8" t="n"/>
      <c r="B299" s="38" t="n"/>
      <c r="C299" s="38" t="n"/>
      <c r="D299" s="38" t="n"/>
      <c r="E299" s="38" t="n"/>
      <c r="F299" s="16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8" t="n"/>
      <c r="B300" s="38" t="n"/>
      <c r="C300" s="38" t="n"/>
      <c r="D300" s="38" t="n"/>
      <c r="E300" s="38" t="n"/>
      <c r="F300" s="16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8" t="n"/>
      <c r="B301" s="38" t="n"/>
      <c r="C301" s="38" t="n"/>
      <c r="D301" s="38" t="n"/>
      <c r="E301" s="38" t="n"/>
      <c r="F301" s="16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8" t="n"/>
      <c r="B302" s="38" t="n"/>
      <c r="C302" s="38" t="n"/>
      <c r="D302" s="38" t="n"/>
      <c r="E302" s="38" t="n"/>
      <c r="F302" s="16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8" t="n"/>
      <c r="B303" s="38" t="n"/>
      <c r="C303" s="38" t="n"/>
      <c r="D303" s="38" t="n"/>
      <c r="E303" s="38" t="n"/>
      <c r="F303" s="16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8" t="n"/>
      <c r="B304" s="38" t="n"/>
      <c r="C304" s="38" t="n"/>
      <c r="D304" s="38" t="n"/>
      <c r="E304" s="38" t="n"/>
      <c r="F304" s="16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8" t="n"/>
      <c r="B305" s="38" t="n"/>
      <c r="C305" s="38" t="n"/>
      <c r="D305" s="38" t="n"/>
      <c r="E305" s="38" t="n"/>
      <c r="F305" s="16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8" t="n"/>
      <c r="B306" s="38" t="n"/>
      <c r="C306" s="38" t="n"/>
      <c r="D306" s="38" t="n"/>
      <c r="E306" s="38" t="n"/>
      <c r="F306" s="16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8" t="n"/>
      <c r="B307" s="38" t="n"/>
      <c r="C307" s="38" t="n"/>
      <c r="D307" s="38" t="n"/>
      <c r="E307" s="38" t="n"/>
      <c r="F307" s="16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8" t="n"/>
      <c r="B308" s="38" t="n"/>
      <c r="C308" s="38" t="n"/>
      <c r="D308" s="38" t="n"/>
      <c r="E308" s="38" t="n"/>
      <c r="F308" s="16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8" t="n"/>
      <c r="B309" s="38" t="n"/>
      <c r="C309" s="38" t="n"/>
      <c r="D309" s="38" t="n"/>
      <c r="E309" s="38" t="n"/>
      <c r="F309" s="16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8" t="n"/>
      <c r="B310" s="38" t="n"/>
      <c r="C310" s="38" t="n"/>
      <c r="D310" s="38" t="n"/>
      <c r="E310" s="38" t="n"/>
      <c r="F310" s="16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8" t="n"/>
      <c r="B311" s="38" t="n"/>
      <c r="C311" s="38" t="n"/>
      <c r="D311" s="38" t="n"/>
      <c r="E311" s="38" t="n"/>
      <c r="F311" s="16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8" t="n"/>
      <c r="B312" s="38" t="n"/>
      <c r="C312" s="38" t="n"/>
      <c r="D312" s="38" t="n"/>
      <c r="E312" s="38" t="n"/>
      <c r="F312" s="16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8" t="n"/>
      <c r="B313" s="38" t="n"/>
      <c r="C313" s="38" t="n"/>
      <c r="D313" s="38" t="n"/>
      <c r="E313" s="38" t="n"/>
      <c r="F313" s="16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8" t="n"/>
      <c r="B314" s="38" t="n"/>
      <c r="C314" s="38" t="n"/>
      <c r="D314" s="38" t="n"/>
      <c r="E314" s="38" t="n"/>
      <c r="F314" s="16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8" t="n"/>
      <c r="B315" s="38" t="n"/>
      <c r="C315" s="38" t="n"/>
      <c r="D315" s="38" t="n"/>
      <c r="E315" s="38" t="n"/>
      <c r="F315" s="16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8" t="n"/>
      <c r="B316" s="38" t="n"/>
      <c r="C316" s="38" t="n"/>
      <c r="D316" s="38" t="n"/>
      <c r="E316" s="38" t="n"/>
      <c r="F316" s="16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8" t="n"/>
      <c r="B317" s="38" t="n"/>
      <c r="C317" s="38" t="n"/>
      <c r="D317" s="38" t="n"/>
      <c r="E317" s="38" t="n"/>
      <c r="F317" s="16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8" t="n"/>
      <c r="B318" s="38" t="n"/>
      <c r="C318" s="38" t="n"/>
      <c r="D318" s="38" t="n"/>
      <c r="E318" s="38" t="n"/>
      <c r="F318" s="16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8" t="n"/>
      <c r="B319" s="38" t="n"/>
      <c r="C319" s="38" t="n"/>
      <c r="D319" s="38" t="n"/>
      <c r="E319" s="38" t="n"/>
      <c r="F319" s="16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8" t="n"/>
      <c r="B320" s="38" t="n"/>
      <c r="C320" s="38" t="n"/>
      <c r="D320" s="38" t="n"/>
      <c r="E320" s="38" t="n"/>
      <c r="F320" s="16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8" t="n"/>
      <c r="B321" s="38" t="n"/>
      <c r="C321" s="38" t="n"/>
      <c r="D321" s="38" t="n"/>
      <c r="E321" s="38" t="n"/>
      <c r="F321" s="16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8" t="n"/>
      <c r="B322" s="38" t="n"/>
      <c r="C322" s="38" t="n"/>
      <c r="D322" s="38" t="n"/>
      <c r="E322" s="38" t="n"/>
      <c r="F322" s="16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8" t="n"/>
      <c r="B323" s="38" t="n"/>
      <c r="C323" s="38" t="n"/>
      <c r="D323" s="38" t="n"/>
      <c r="E323" s="38" t="n"/>
      <c r="F323" s="16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8" t="n"/>
      <c r="B324" s="38" t="n"/>
      <c r="C324" s="38" t="n"/>
      <c r="D324" s="38" t="n"/>
      <c r="E324" s="38" t="n"/>
      <c r="F324" s="16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8" t="n"/>
      <c r="B325" s="38" t="n"/>
      <c r="C325" s="38" t="n"/>
      <c r="D325" s="38" t="n"/>
      <c r="E325" s="38" t="n"/>
      <c r="F325" s="16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8" t="n"/>
      <c r="B326" s="38" t="n"/>
      <c r="C326" s="38" t="n"/>
      <c r="D326" s="38" t="n"/>
      <c r="E326" s="38" t="n"/>
      <c r="F326" s="16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8" t="n"/>
      <c r="B327" s="38" t="n"/>
      <c r="C327" s="38" t="n"/>
      <c r="D327" s="38" t="n"/>
      <c r="E327" s="38" t="n"/>
      <c r="F327" s="16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8" t="n"/>
      <c r="B328" s="38" t="n"/>
      <c r="C328" s="38" t="n"/>
      <c r="D328" s="38" t="n"/>
      <c r="E328" s="38" t="n"/>
      <c r="F328" s="16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8" t="n"/>
      <c r="B329" s="38" t="n"/>
      <c r="C329" s="38" t="n"/>
      <c r="D329" s="38" t="n"/>
      <c r="E329" s="38" t="n"/>
      <c r="F329" s="16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8" t="n"/>
      <c r="B330" s="38" t="n"/>
      <c r="C330" s="38" t="n"/>
      <c r="D330" s="38" t="n"/>
      <c r="E330" s="38" t="n"/>
      <c r="F330" s="16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8" t="n"/>
      <c r="B331" s="38" t="n"/>
      <c r="C331" s="38" t="n"/>
      <c r="D331" s="38" t="n"/>
      <c r="E331" s="38" t="n"/>
      <c r="F331" s="16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8" t="n"/>
      <c r="B332" s="38" t="n"/>
      <c r="C332" s="38" t="n"/>
      <c r="D332" s="38" t="n"/>
      <c r="E332" s="38" t="n"/>
      <c r="F332" s="16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8" t="n"/>
      <c r="B333" s="38" t="n"/>
      <c r="C333" s="38" t="n"/>
      <c r="D333" s="38" t="n"/>
      <c r="E333" s="38" t="n"/>
      <c r="F333" s="16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8" t="n"/>
      <c r="B334" s="38" t="n"/>
      <c r="C334" s="38" t="n"/>
      <c r="D334" s="38" t="n"/>
      <c r="E334" s="38" t="n"/>
      <c r="F334" s="16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8" t="n"/>
      <c r="B335" s="38" t="n"/>
      <c r="C335" s="38" t="n"/>
      <c r="D335" s="38" t="n"/>
      <c r="E335" s="38" t="n"/>
      <c r="F335" s="16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8" t="n"/>
      <c r="B336" s="38" t="n"/>
      <c r="C336" s="38" t="n"/>
      <c r="D336" s="38" t="n"/>
      <c r="E336" s="38" t="n"/>
      <c r="F336" s="16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8" t="n"/>
      <c r="B337" s="38" t="n"/>
      <c r="C337" s="38" t="n"/>
      <c r="D337" s="38" t="n"/>
      <c r="E337" s="38" t="n"/>
      <c r="F337" s="16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8" t="n"/>
      <c r="B338" s="38" t="n"/>
      <c r="C338" s="38" t="n"/>
      <c r="D338" s="38" t="n"/>
      <c r="E338" s="38" t="n"/>
      <c r="F338" s="16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8" t="n"/>
      <c r="B339" s="38" t="n"/>
      <c r="C339" s="38" t="n"/>
      <c r="D339" s="38" t="n"/>
      <c r="E339" s="38" t="n"/>
      <c r="F339" s="16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8" t="n"/>
      <c r="B340" s="38" t="n"/>
      <c r="C340" s="38" t="n"/>
      <c r="D340" s="38" t="n"/>
      <c r="E340" s="38" t="n"/>
      <c r="F340" s="16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8" t="n"/>
      <c r="B341" s="38" t="n"/>
      <c r="C341" s="38" t="n"/>
      <c r="D341" s="38" t="n"/>
      <c r="E341" s="38" t="n"/>
      <c r="F341" s="16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8" t="n"/>
      <c r="B342" s="38" t="n"/>
      <c r="C342" s="38" t="n"/>
      <c r="D342" s="38" t="n"/>
      <c r="E342" s="38" t="n"/>
      <c r="F342" s="16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8" t="n"/>
      <c r="B343" s="38" t="n"/>
      <c r="C343" s="38" t="n"/>
      <c r="D343" s="38" t="n"/>
      <c r="E343" s="38" t="n"/>
      <c r="F343" s="16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8" t="n"/>
      <c r="B344" s="38" t="n"/>
      <c r="C344" s="38" t="n"/>
      <c r="D344" s="38" t="n"/>
      <c r="E344" s="38" t="n"/>
      <c r="F344" s="16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8" t="n"/>
      <c r="B345" s="38" t="n"/>
      <c r="C345" s="38" t="n"/>
      <c r="D345" s="38" t="n"/>
      <c r="E345" s="38" t="n"/>
      <c r="F345" s="16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8" t="n"/>
      <c r="B346" s="38" t="n"/>
      <c r="C346" s="38" t="n"/>
      <c r="D346" s="38" t="n"/>
      <c r="E346" s="38" t="n"/>
      <c r="F346" s="16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8" t="n"/>
      <c r="B347" s="38" t="n"/>
      <c r="C347" s="38" t="n"/>
      <c r="D347" s="38" t="n"/>
      <c r="E347" s="38" t="n"/>
      <c r="F347" s="16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8" t="n"/>
      <c r="B348" s="38" t="n"/>
      <c r="C348" s="38" t="n"/>
      <c r="D348" s="38" t="n"/>
      <c r="E348" s="38" t="n"/>
      <c r="F348" s="16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8" t="n"/>
      <c r="B349" s="38" t="n"/>
      <c r="C349" s="38" t="n"/>
      <c r="D349" s="38" t="n"/>
      <c r="E349" s="38" t="n"/>
      <c r="F349" s="16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8" t="n"/>
      <c r="B350" s="38" t="n"/>
      <c r="C350" s="38" t="n"/>
      <c r="D350" s="38" t="n"/>
      <c r="E350" s="38" t="n"/>
      <c r="F350" s="16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8" t="n"/>
      <c r="B351" s="38" t="n"/>
      <c r="C351" s="38" t="n"/>
      <c r="D351" s="38" t="n"/>
      <c r="E351" s="38" t="n"/>
      <c r="F351" s="16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8" t="n"/>
      <c r="B352" s="38" t="n"/>
      <c r="C352" s="38" t="n"/>
      <c r="D352" s="38" t="n"/>
      <c r="E352" s="38" t="n"/>
      <c r="F352" s="16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8" t="n"/>
      <c r="B353" s="38" t="n"/>
      <c r="C353" s="38" t="n"/>
      <c r="D353" s="38" t="n"/>
      <c r="E353" s="38" t="n"/>
      <c r="F353" s="16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8" t="n"/>
      <c r="B354" s="38" t="n"/>
      <c r="C354" s="38" t="n"/>
      <c r="D354" s="38" t="n"/>
      <c r="E354" s="38" t="n"/>
      <c r="F354" s="16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8" t="n"/>
      <c r="B355" s="38" t="n"/>
      <c r="C355" s="38" t="n"/>
      <c r="D355" s="38" t="n"/>
      <c r="E355" s="38" t="n"/>
      <c r="F355" s="16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8" t="n"/>
      <c r="B356" s="38" t="n"/>
      <c r="C356" s="38" t="n"/>
      <c r="D356" s="38" t="n"/>
      <c r="E356" s="38" t="n"/>
      <c r="F356" s="16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8" t="n"/>
      <c r="B357" s="38" t="n"/>
      <c r="C357" s="38" t="n"/>
      <c r="D357" s="38" t="n"/>
      <c r="E357" s="38" t="n"/>
      <c r="F357" s="16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8" t="n"/>
      <c r="B358" s="38" t="n"/>
      <c r="C358" s="38" t="n"/>
      <c r="D358" s="38" t="n"/>
      <c r="E358" s="38" t="n"/>
      <c r="F358" s="16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8" t="n"/>
      <c r="B359" s="38" t="n"/>
      <c r="C359" s="38" t="n"/>
      <c r="D359" s="38" t="n"/>
      <c r="E359" s="38" t="n"/>
      <c r="F359" s="16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8" t="n"/>
      <c r="B360" s="38" t="n"/>
      <c r="C360" s="38" t="n"/>
      <c r="D360" s="38" t="n"/>
      <c r="E360" s="38" t="n"/>
      <c r="F360" s="16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8" t="n"/>
      <c r="B361" s="38" t="n"/>
      <c r="C361" s="38" t="n"/>
      <c r="D361" s="38" t="n"/>
      <c r="E361" s="38" t="n"/>
      <c r="F361" s="16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8" t="n"/>
      <c r="B362" s="38" t="n"/>
      <c r="C362" s="38" t="n"/>
      <c r="D362" s="38" t="n"/>
      <c r="E362" s="38" t="n"/>
      <c r="F362" s="16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8" t="n"/>
      <c r="B363" s="38" t="n"/>
      <c r="C363" s="38" t="n"/>
      <c r="D363" s="38" t="n"/>
      <c r="E363" s="38" t="n"/>
      <c r="F363" s="16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8" t="n"/>
      <c r="B364" s="38" t="n"/>
      <c r="C364" s="38" t="n"/>
      <c r="D364" s="38" t="n"/>
      <c r="E364" s="38" t="n"/>
      <c r="F364" s="16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8" t="n"/>
      <c r="B365" s="38" t="n"/>
      <c r="C365" s="38" t="n"/>
      <c r="D365" s="38" t="n"/>
      <c r="E365" s="38" t="n"/>
      <c r="F365" s="16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8" t="n"/>
      <c r="B366" s="38" t="n"/>
      <c r="C366" s="38" t="n"/>
      <c r="D366" s="38" t="n"/>
      <c r="E366" s="38" t="n"/>
      <c r="F366" s="16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8" t="n"/>
      <c r="B367" s="38" t="n"/>
      <c r="C367" s="38" t="n"/>
      <c r="D367" s="38" t="n"/>
      <c r="E367" s="38" t="n"/>
      <c r="F367" s="16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8" t="n"/>
      <c r="B368" s="38" t="n"/>
      <c r="C368" s="38" t="n"/>
      <c r="D368" s="38" t="n"/>
      <c r="E368" s="38" t="n"/>
      <c r="F368" s="16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8" t="n"/>
      <c r="B369" s="38" t="n"/>
      <c r="C369" s="38" t="n"/>
      <c r="D369" s="38" t="n"/>
      <c r="E369" s="38" t="n"/>
      <c r="F369" s="16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8" t="n"/>
      <c r="B370" s="38" t="n"/>
      <c r="C370" s="38" t="n"/>
      <c r="D370" s="38" t="n"/>
      <c r="E370" s="38" t="n"/>
      <c r="F370" s="16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8" t="n"/>
      <c r="B371" s="38" t="n"/>
      <c r="C371" s="38" t="n"/>
      <c r="D371" s="38" t="n"/>
      <c r="E371" s="38" t="n"/>
      <c r="F371" s="16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8" t="n"/>
      <c r="B372" s="38" t="n"/>
      <c r="C372" s="38" t="n"/>
      <c r="D372" s="38" t="n"/>
      <c r="E372" s="38" t="n"/>
      <c r="F372" s="16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8" t="n"/>
      <c r="B373" s="38" t="n"/>
      <c r="C373" s="38" t="n"/>
      <c r="D373" s="38" t="n"/>
      <c r="E373" s="38" t="n"/>
      <c r="F373" s="16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8" t="n"/>
      <c r="B374" s="38" t="n"/>
      <c r="C374" s="38" t="n"/>
      <c r="D374" s="38" t="n"/>
      <c r="E374" s="38" t="n"/>
      <c r="F374" s="16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8" t="n"/>
      <c r="B375" s="38" t="n"/>
      <c r="C375" s="38" t="n"/>
      <c r="D375" s="38" t="n"/>
      <c r="E375" s="38" t="n"/>
      <c r="F375" s="16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8" t="n"/>
      <c r="B376" s="38" t="n"/>
      <c r="C376" s="38" t="n"/>
      <c r="D376" s="38" t="n"/>
      <c r="E376" s="38" t="n"/>
      <c r="F376" s="16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8" t="n"/>
      <c r="B377" s="38" t="n"/>
      <c r="C377" s="38" t="n"/>
      <c r="D377" s="38" t="n"/>
      <c r="E377" s="38" t="n"/>
      <c r="F377" s="16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8" t="n"/>
      <c r="B378" s="38" t="n"/>
      <c r="C378" s="38" t="n"/>
      <c r="D378" s="38" t="n"/>
      <c r="E378" s="38" t="n"/>
      <c r="F378" s="16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8" t="n"/>
      <c r="B379" s="38" t="n"/>
      <c r="C379" s="38" t="n"/>
      <c r="D379" s="38" t="n"/>
      <c r="E379" s="38" t="n"/>
      <c r="F379" s="16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8" t="n"/>
      <c r="B380" s="38" t="n"/>
      <c r="C380" s="38" t="n"/>
      <c r="D380" s="38" t="n"/>
      <c r="E380" s="38" t="n"/>
      <c r="F380" s="16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8" t="n"/>
      <c r="B381" s="38" t="n"/>
      <c r="C381" s="38" t="n"/>
      <c r="D381" s="38" t="n"/>
      <c r="E381" s="38" t="n"/>
      <c r="F381" s="16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8" t="n"/>
      <c r="B382" s="38" t="n"/>
      <c r="C382" s="38" t="n"/>
      <c r="D382" s="38" t="n"/>
      <c r="E382" s="38" t="n"/>
      <c r="F382" s="16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8" t="n"/>
      <c r="B383" s="38" t="n"/>
      <c r="C383" s="38" t="n"/>
      <c r="D383" s="38" t="n"/>
      <c r="E383" s="38" t="n"/>
      <c r="F383" s="16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8" t="n"/>
      <c r="B384" s="38" t="n"/>
      <c r="C384" s="38" t="n"/>
      <c r="D384" s="38" t="n"/>
      <c r="E384" s="38" t="n"/>
      <c r="F384" s="16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8" t="n"/>
      <c r="B385" s="38" t="n"/>
      <c r="C385" s="38" t="n"/>
      <c r="D385" s="38" t="n"/>
      <c r="E385" s="38" t="n"/>
      <c r="F385" s="16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8" t="n"/>
      <c r="B386" s="38" t="n"/>
      <c r="C386" s="38" t="n"/>
      <c r="D386" s="38" t="n"/>
      <c r="E386" s="38" t="n"/>
      <c r="F386" s="16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8" t="n"/>
      <c r="B387" s="38" t="n"/>
      <c r="C387" s="38" t="n"/>
      <c r="D387" s="38" t="n"/>
      <c r="E387" s="38" t="n"/>
      <c r="F387" s="16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8" t="n"/>
      <c r="B388" s="38" t="n"/>
      <c r="C388" s="38" t="n"/>
      <c r="D388" s="38" t="n"/>
      <c r="E388" s="38" t="n"/>
      <c r="F388" s="16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8" t="n"/>
      <c r="B389" s="38" t="n"/>
      <c r="C389" s="38" t="n"/>
      <c r="D389" s="38" t="n"/>
      <c r="E389" s="38" t="n"/>
      <c r="F389" s="16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8" t="n"/>
      <c r="B390" s="38" t="n"/>
      <c r="C390" s="38" t="n"/>
      <c r="D390" s="38" t="n"/>
      <c r="E390" s="38" t="n"/>
      <c r="F390" s="16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8" t="n"/>
      <c r="B391" s="38" t="n"/>
      <c r="C391" s="38" t="n"/>
      <c r="D391" s="38" t="n"/>
      <c r="E391" s="38" t="n"/>
      <c r="F391" s="16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8" t="n"/>
      <c r="B392" s="38" t="n"/>
      <c r="C392" s="38" t="n"/>
      <c r="D392" s="38" t="n"/>
      <c r="E392" s="38" t="n"/>
      <c r="F392" s="16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8" t="n"/>
      <c r="B393" s="38" t="n"/>
      <c r="C393" s="38" t="n"/>
      <c r="D393" s="38" t="n"/>
      <c r="E393" s="38" t="n"/>
      <c r="F393" s="16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8" t="n"/>
      <c r="B394" s="38" t="n"/>
      <c r="C394" s="38" t="n"/>
      <c r="D394" s="38" t="n"/>
      <c r="E394" s="38" t="n"/>
      <c r="F394" s="16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8" t="n"/>
      <c r="B395" s="38" t="n"/>
      <c r="C395" s="38" t="n"/>
      <c r="D395" s="38" t="n"/>
      <c r="E395" s="38" t="n"/>
      <c r="F395" s="16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8" t="n"/>
      <c r="B396" s="38" t="n"/>
      <c r="C396" s="38" t="n"/>
      <c r="D396" s="38" t="n"/>
      <c r="E396" s="38" t="n"/>
      <c r="F396" s="16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8" t="n"/>
      <c r="B397" s="38" t="n"/>
      <c r="C397" s="38" t="n"/>
      <c r="D397" s="38" t="n"/>
      <c r="E397" s="38" t="n"/>
      <c r="F397" s="16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8" t="n"/>
      <c r="B398" s="38" t="n"/>
      <c r="C398" s="38" t="n"/>
      <c r="D398" s="38" t="n"/>
      <c r="E398" s="38" t="n"/>
      <c r="F398" s="16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8" t="n"/>
      <c r="B399" s="38" t="n"/>
      <c r="C399" s="38" t="n"/>
      <c r="D399" s="38" t="n"/>
      <c r="E399" s="38" t="n"/>
      <c r="F399" s="16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8" t="n"/>
      <c r="B400" s="38" t="n"/>
      <c r="C400" s="38" t="n"/>
      <c r="D400" s="38" t="n"/>
      <c r="E400" s="38" t="n"/>
      <c r="F400" s="16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8" t="n"/>
      <c r="B401" s="38" t="n"/>
      <c r="C401" s="38" t="n"/>
      <c r="D401" s="38" t="n"/>
      <c r="E401" s="38" t="n"/>
      <c r="F401" s="16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8" t="n"/>
      <c r="B402" s="38" t="n"/>
      <c r="C402" s="38" t="n"/>
      <c r="D402" s="38" t="n"/>
      <c r="E402" s="38" t="n"/>
      <c r="F402" s="16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8" t="n"/>
      <c r="B403" s="38" t="n"/>
      <c r="C403" s="38" t="n"/>
      <c r="D403" s="38" t="n"/>
      <c r="E403" s="38" t="n"/>
      <c r="F403" s="16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8" t="n"/>
      <c r="B404" s="38" t="n"/>
      <c r="C404" s="38" t="n"/>
      <c r="D404" s="38" t="n"/>
      <c r="E404" s="38" t="n"/>
      <c r="F404" s="16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8" t="n"/>
      <c r="B405" s="38" t="n"/>
      <c r="C405" s="38" t="n"/>
      <c r="D405" s="38" t="n"/>
      <c r="E405" s="38" t="n"/>
      <c r="F405" s="16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8" t="n"/>
      <c r="B406" s="38" t="n"/>
      <c r="C406" s="38" t="n"/>
      <c r="D406" s="38" t="n"/>
      <c r="E406" s="38" t="n"/>
      <c r="F406" s="16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8" t="n"/>
      <c r="B407" s="38" t="n"/>
      <c r="C407" s="38" t="n"/>
      <c r="D407" s="38" t="n"/>
      <c r="E407" s="38" t="n"/>
      <c r="F407" s="16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8" t="n"/>
      <c r="B408" s="38" t="n"/>
      <c r="C408" s="38" t="n"/>
      <c r="D408" s="38" t="n"/>
      <c r="E408" s="38" t="n"/>
      <c r="F408" s="16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8" t="n"/>
      <c r="B409" s="38" t="n"/>
      <c r="C409" s="38" t="n"/>
      <c r="D409" s="38" t="n"/>
      <c r="E409" s="38" t="n"/>
      <c r="F409" s="16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8" t="n"/>
      <c r="B410" s="38" t="n"/>
      <c r="C410" s="38" t="n"/>
      <c r="D410" s="38" t="n"/>
      <c r="E410" s="38" t="n"/>
      <c r="F410" s="16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8" t="n"/>
      <c r="B411" s="38" t="n"/>
      <c r="C411" s="38" t="n"/>
      <c r="D411" s="38" t="n"/>
      <c r="E411" s="38" t="n"/>
      <c r="F411" s="16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8" t="n"/>
      <c r="B412" s="38" t="n"/>
      <c r="C412" s="38" t="n"/>
      <c r="D412" s="38" t="n"/>
      <c r="E412" s="38" t="n"/>
      <c r="F412" s="16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8" t="n"/>
      <c r="B413" s="38" t="n"/>
      <c r="C413" s="38" t="n"/>
      <c r="D413" s="38" t="n"/>
      <c r="E413" s="38" t="n"/>
      <c r="F413" s="16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8" t="n"/>
      <c r="B414" s="38" t="n"/>
      <c r="C414" s="38" t="n"/>
      <c r="D414" s="38" t="n"/>
      <c r="E414" s="38" t="n"/>
      <c r="F414" s="16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8" t="n"/>
      <c r="B415" s="38" t="n"/>
      <c r="C415" s="38" t="n"/>
      <c r="D415" s="38" t="n"/>
      <c r="E415" s="38" t="n"/>
      <c r="F415" s="16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8" t="n"/>
      <c r="B416" s="38" t="n"/>
      <c r="C416" s="38" t="n"/>
      <c r="D416" s="38" t="n"/>
      <c r="E416" s="38" t="n"/>
      <c r="F416" s="16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8" t="n"/>
      <c r="B417" s="38" t="n"/>
      <c r="C417" s="38" t="n"/>
      <c r="D417" s="38" t="n"/>
      <c r="E417" s="38" t="n"/>
      <c r="F417" s="16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8" t="n"/>
      <c r="B418" s="38" t="n"/>
      <c r="C418" s="38" t="n"/>
      <c r="D418" s="38" t="n"/>
      <c r="E418" s="38" t="n"/>
      <c r="F418" s="16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8" t="n"/>
      <c r="B419" s="38" t="n"/>
      <c r="C419" s="38" t="n"/>
      <c r="D419" s="38" t="n"/>
      <c r="E419" s="38" t="n"/>
      <c r="F419" s="16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8" t="n"/>
      <c r="B420" s="38" t="n"/>
      <c r="C420" s="38" t="n"/>
      <c r="D420" s="38" t="n"/>
      <c r="E420" s="38" t="n"/>
      <c r="F420" s="16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8" t="n"/>
      <c r="B421" s="38" t="n"/>
      <c r="C421" s="38" t="n"/>
      <c r="D421" s="38" t="n"/>
      <c r="E421" s="38" t="n"/>
      <c r="F421" s="16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8" t="n"/>
      <c r="B422" s="38" t="n"/>
      <c r="C422" s="38" t="n"/>
      <c r="D422" s="38" t="n"/>
      <c r="E422" s="38" t="n"/>
      <c r="F422" s="16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8" t="n"/>
      <c r="B423" s="38" t="n"/>
      <c r="C423" s="38" t="n"/>
      <c r="D423" s="38" t="n"/>
      <c r="E423" s="38" t="n"/>
      <c r="F423" s="16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8" t="n"/>
      <c r="B424" s="38" t="n"/>
      <c r="C424" s="38" t="n"/>
      <c r="D424" s="38" t="n"/>
      <c r="E424" s="38" t="n"/>
      <c r="F424" s="16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8" t="n"/>
      <c r="B425" s="38" t="n"/>
      <c r="C425" s="38" t="n"/>
      <c r="D425" s="38" t="n"/>
      <c r="E425" s="38" t="n"/>
      <c r="F425" s="16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8" t="n"/>
      <c r="B426" s="38" t="n"/>
      <c r="C426" s="38" t="n"/>
      <c r="D426" s="38" t="n"/>
      <c r="E426" s="38" t="n"/>
      <c r="F426" s="16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8" t="n"/>
      <c r="B427" s="38" t="n"/>
      <c r="C427" s="38" t="n"/>
      <c r="D427" s="38" t="n"/>
      <c r="E427" s="38" t="n"/>
      <c r="F427" s="16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8" t="n"/>
      <c r="B428" s="38" t="n"/>
      <c r="C428" s="38" t="n"/>
      <c r="D428" s="38" t="n"/>
      <c r="E428" s="38" t="n"/>
      <c r="F428" s="16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8" t="n"/>
      <c r="B429" s="38" t="n"/>
      <c r="C429" s="38" t="n"/>
      <c r="D429" s="38" t="n"/>
      <c r="E429" s="38" t="n"/>
      <c r="F429" s="16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8" t="n"/>
      <c r="B430" s="38" t="n"/>
      <c r="C430" s="38" t="n"/>
      <c r="D430" s="38" t="n"/>
      <c r="E430" s="38" t="n"/>
      <c r="F430" s="16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8" t="n"/>
      <c r="B431" s="38" t="n"/>
      <c r="C431" s="38" t="n"/>
      <c r="D431" s="38" t="n"/>
      <c r="E431" s="38" t="n"/>
      <c r="F431" s="16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8" t="n"/>
      <c r="B432" s="38" t="n"/>
      <c r="C432" s="38" t="n"/>
      <c r="D432" s="38" t="n"/>
      <c r="E432" s="38" t="n"/>
      <c r="F432" s="16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8" t="n"/>
      <c r="B433" s="38" t="n"/>
      <c r="C433" s="38" t="n"/>
      <c r="D433" s="38" t="n"/>
      <c r="E433" s="38" t="n"/>
      <c r="F433" s="16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8" t="n"/>
      <c r="B434" s="38" t="n"/>
      <c r="C434" s="38" t="n"/>
      <c r="D434" s="38" t="n"/>
      <c r="E434" s="38" t="n"/>
      <c r="F434" s="16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8" t="n"/>
      <c r="B435" s="38" t="n"/>
      <c r="C435" s="38" t="n"/>
      <c r="D435" s="38" t="n"/>
      <c r="E435" s="38" t="n"/>
      <c r="F435" s="16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8" t="n"/>
      <c r="B436" s="38" t="n"/>
      <c r="C436" s="38" t="n"/>
      <c r="D436" s="38" t="n"/>
      <c r="E436" s="38" t="n"/>
      <c r="F436" s="16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8" t="n"/>
      <c r="B437" s="38" t="n"/>
      <c r="C437" s="38" t="n"/>
      <c r="D437" s="38" t="n"/>
      <c r="E437" s="38" t="n"/>
      <c r="F437" s="16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8" t="n"/>
      <c r="B438" s="38" t="n"/>
      <c r="C438" s="38" t="n"/>
      <c r="D438" s="38" t="n"/>
      <c r="E438" s="38" t="n"/>
      <c r="F438" s="16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8" t="n"/>
      <c r="B439" s="38" t="n"/>
      <c r="C439" s="38" t="n"/>
      <c r="D439" s="38" t="n"/>
      <c r="E439" s="38" t="n"/>
      <c r="F439" s="16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8" t="n"/>
      <c r="B440" s="38" t="n"/>
      <c r="C440" s="38" t="n"/>
      <c r="D440" s="38" t="n"/>
      <c r="E440" s="38" t="n"/>
      <c r="F440" s="16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8" t="n"/>
      <c r="B441" s="38" t="n"/>
      <c r="C441" s="38" t="n"/>
      <c r="D441" s="38" t="n"/>
      <c r="E441" s="38" t="n"/>
      <c r="F441" s="16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8" t="n"/>
      <c r="B442" s="38" t="n"/>
      <c r="C442" s="38" t="n"/>
      <c r="D442" s="38" t="n"/>
      <c r="E442" s="38" t="n"/>
      <c r="F442" s="16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8" t="n"/>
      <c r="B443" s="38" t="n"/>
      <c r="C443" s="38" t="n"/>
      <c r="D443" s="38" t="n"/>
      <c r="E443" s="38" t="n"/>
      <c r="F443" s="16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8" t="n"/>
      <c r="B444" s="38" t="n"/>
      <c r="C444" s="38" t="n"/>
      <c r="D444" s="38" t="n"/>
      <c r="E444" s="38" t="n"/>
      <c r="F444" s="16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8" t="n"/>
      <c r="B445" s="38" t="n"/>
      <c r="C445" s="38" t="n"/>
      <c r="D445" s="38" t="n"/>
      <c r="E445" s="38" t="n"/>
      <c r="F445" s="16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8" t="n"/>
      <c r="B446" s="38" t="n"/>
      <c r="C446" s="38" t="n"/>
      <c r="D446" s="38" t="n"/>
      <c r="E446" s="38" t="n"/>
      <c r="F446" s="16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8" t="n"/>
      <c r="B447" s="38" t="n"/>
      <c r="C447" s="38" t="n"/>
      <c r="D447" s="38" t="n"/>
      <c r="E447" s="38" t="n"/>
      <c r="F447" s="16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8" t="n"/>
      <c r="B448" s="38" t="n"/>
      <c r="C448" s="38" t="n"/>
      <c r="D448" s="38" t="n"/>
      <c r="E448" s="38" t="n"/>
      <c r="F448" s="16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8" t="n"/>
      <c r="B449" s="38" t="n"/>
      <c r="C449" s="38" t="n"/>
      <c r="D449" s="38" t="n"/>
      <c r="E449" s="38" t="n"/>
      <c r="F449" s="16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8" t="n"/>
      <c r="B450" s="38" t="n"/>
      <c r="C450" s="38" t="n"/>
      <c r="D450" s="38" t="n"/>
      <c r="E450" s="38" t="n"/>
      <c r="F450" s="16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8" t="n"/>
      <c r="B451" s="38" t="n"/>
      <c r="C451" s="38" t="n"/>
      <c r="D451" s="38" t="n"/>
      <c r="E451" s="38" t="n"/>
      <c r="F451" s="16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8" t="n"/>
      <c r="B452" s="38" t="n"/>
      <c r="C452" s="38" t="n"/>
      <c r="D452" s="38" t="n"/>
      <c r="E452" s="38" t="n"/>
      <c r="F452" s="16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8" t="n"/>
      <c r="B453" s="38" t="n"/>
      <c r="C453" s="38" t="n"/>
      <c r="D453" s="38" t="n"/>
      <c r="E453" s="38" t="n"/>
      <c r="F453" s="16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8" t="n"/>
      <c r="B454" s="38" t="n"/>
      <c r="C454" s="38" t="n"/>
      <c r="D454" s="38" t="n"/>
      <c r="E454" s="38" t="n"/>
      <c r="F454" s="16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8" t="n"/>
      <c r="B455" s="38" t="n"/>
      <c r="C455" s="38" t="n"/>
      <c r="D455" s="38" t="n"/>
      <c r="E455" s="38" t="n"/>
      <c r="F455" s="16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8" t="n"/>
      <c r="B456" s="38" t="n"/>
      <c r="C456" s="38" t="n"/>
      <c r="D456" s="38" t="n"/>
      <c r="E456" s="38" t="n"/>
      <c r="F456" s="16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8" t="n"/>
      <c r="B457" s="38" t="n"/>
      <c r="C457" s="38" t="n"/>
      <c r="D457" s="38" t="n"/>
      <c r="E457" s="38" t="n"/>
      <c r="F457" s="16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8" t="n"/>
      <c r="B458" s="38" t="n"/>
      <c r="C458" s="38" t="n"/>
      <c r="D458" s="38" t="n"/>
      <c r="E458" s="38" t="n"/>
      <c r="F458" s="16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8" t="n"/>
      <c r="B459" s="38" t="n"/>
      <c r="C459" s="38" t="n"/>
      <c r="D459" s="38" t="n"/>
      <c r="E459" s="38" t="n"/>
      <c r="F459" s="16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8" t="n"/>
      <c r="B460" s="38" t="n"/>
      <c r="C460" s="38" t="n"/>
      <c r="D460" s="38" t="n"/>
      <c r="E460" s="38" t="n"/>
      <c r="F460" s="16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8" t="n"/>
      <c r="B461" s="38" t="n"/>
      <c r="C461" s="38" t="n"/>
      <c r="D461" s="38" t="n"/>
      <c r="E461" s="38" t="n"/>
      <c r="F461" s="16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8" t="n"/>
      <c r="B462" s="38" t="n"/>
      <c r="C462" s="38" t="n"/>
      <c r="D462" s="38" t="n"/>
      <c r="E462" s="38" t="n"/>
      <c r="F462" s="16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8" t="n"/>
      <c r="B463" s="38" t="n"/>
      <c r="C463" s="38" t="n"/>
      <c r="D463" s="38" t="n"/>
      <c r="E463" s="38" t="n"/>
      <c r="F463" s="16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8" t="n"/>
      <c r="B464" s="38" t="n"/>
      <c r="C464" s="38" t="n"/>
      <c r="D464" s="38" t="n"/>
      <c r="E464" s="38" t="n"/>
      <c r="F464" s="16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8" t="n"/>
      <c r="B465" s="38" t="n"/>
      <c r="C465" s="38" t="n"/>
      <c r="D465" s="38" t="n"/>
      <c r="E465" s="38" t="n"/>
      <c r="F465" s="16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8" t="n"/>
      <c r="B466" s="38" t="n"/>
      <c r="C466" s="38" t="n"/>
      <c r="D466" s="38" t="n"/>
      <c r="E466" s="38" t="n"/>
      <c r="F466" s="16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8" t="n"/>
      <c r="B467" s="38" t="n"/>
      <c r="C467" s="38" t="n"/>
      <c r="D467" s="38" t="n"/>
      <c r="E467" s="38" t="n"/>
      <c r="F467" s="16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8" t="n"/>
      <c r="B468" s="38" t="n"/>
      <c r="C468" s="38" t="n"/>
      <c r="D468" s="38" t="n"/>
      <c r="E468" s="38" t="n"/>
      <c r="F468" s="16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8" t="n"/>
      <c r="B469" s="38" t="n"/>
      <c r="C469" s="38" t="n"/>
      <c r="D469" s="38" t="n"/>
      <c r="E469" s="38" t="n"/>
      <c r="F469" s="16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8" t="n"/>
      <c r="B470" s="38" t="n"/>
      <c r="C470" s="38" t="n"/>
      <c r="D470" s="38" t="n"/>
      <c r="E470" s="38" t="n"/>
      <c r="F470" s="16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8" t="n"/>
      <c r="B471" s="38" t="n"/>
      <c r="C471" s="38" t="n"/>
      <c r="D471" s="38" t="n"/>
      <c r="E471" s="38" t="n"/>
      <c r="F471" s="16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8" t="n"/>
      <c r="B472" s="38" t="n"/>
      <c r="C472" s="38" t="n"/>
      <c r="D472" s="38" t="n"/>
      <c r="E472" s="38" t="n"/>
      <c r="F472" s="16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8" t="n"/>
      <c r="B473" s="38" t="n"/>
      <c r="C473" s="38" t="n"/>
      <c r="D473" s="38" t="n"/>
      <c r="E473" s="38" t="n"/>
      <c r="F473" s="16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8" t="n"/>
      <c r="B474" s="38" t="n"/>
      <c r="C474" s="38" t="n"/>
      <c r="D474" s="38" t="n"/>
      <c r="E474" s="38" t="n"/>
      <c r="F474" s="16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8" t="n"/>
      <c r="B475" s="38" t="n"/>
      <c r="C475" s="38" t="n"/>
      <c r="D475" s="38" t="n"/>
      <c r="E475" s="38" t="n"/>
      <c r="F475" s="16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8" t="n"/>
      <c r="B476" s="38" t="n"/>
      <c r="C476" s="38" t="n"/>
      <c r="D476" s="38" t="n"/>
      <c r="E476" s="38" t="n"/>
      <c r="F476" s="16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8" t="n"/>
      <c r="B477" s="38" t="n"/>
      <c r="C477" s="38" t="n"/>
      <c r="D477" s="38" t="n"/>
      <c r="E477" s="38" t="n"/>
      <c r="F477" s="16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8" t="n"/>
      <c r="B478" s="38" t="n"/>
      <c r="C478" s="38" t="n"/>
      <c r="D478" s="38" t="n"/>
      <c r="E478" s="38" t="n"/>
      <c r="F478" s="16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8" t="n"/>
      <c r="B479" s="38" t="n"/>
      <c r="C479" s="38" t="n"/>
      <c r="D479" s="38" t="n"/>
      <c r="E479" s="38" t="n"/>
      <c r="F479" s="16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8" t="n"/>
      <c r="B480" s="38" t="n"/>
      <c r="C480" s="38" t="n"/>
      <c r="D480" s="38" t="n"/>
      <c r="E480" s="38" t="n"/>
      <c r="F480" s="16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8" t="n"/>
      <c r="B481" s="38" t="n"/>
      <c r="C481" s="38" t="n"/>
      <c r="D481" s="38" t="n"/>
      <c r="E481" s="38" t="n"/>
      <c r="F481" s="16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8" t="n"/>
      <c r="B482" s="38" t="n"/>
      <c r="C482" s="38" t="n"/>
      <c r="D482" s="38" t="n"/>
      <c r="E482" s="38" t="n"/>
      <c r="F482" s="16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8" t="n"/>
      <c r="B483" s="38" t="n"/>
      <c r="C483" s="38" t="n"/>
      <c r="D483" s="38" t="n"/>
      <c r="E483" s="38" t="n"/>
      <c r="F483" s="16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8" t="n"/>
      <c r="B484" s="38" t="n"/>
      <c r="C484" s="38" t="n"/>
      <c r="D484" s="38" t="n"/>
      <c r="E484" s="38" t="n"/>
      <c r="F484" s="16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8" t="n"/>
      <c r="B485" s="38" t="n"/>
      <c r="C485" s="38" t="n"/>
      <c r="D485" s="38" t="n"/>
      <c r="E485" s="38" t="n"/>
      <c r="F485" s="16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8" t="n"/>
      <c r="B486" s="38" t="n"/>
      <c r="C486" s="38" t="n"/>
      <c r="D486" s="38" t="n"/>
      <c r="E486" s="38" t="n"/>
      <c r="F486" s="16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8" t="n"/>
      <c r="B487" s="38" t="n"/>
      <c r="C487" s="38" t="n"/>
      <c r="D487" s="38" t="n"/>
      <c r="E487" s="38" t="n"/>
      <c r="F487" s="16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8" t="n"/>
      <c r="B488" s="38" t="n"/>
      <c r="C488" s="38" t="n"/>
      <c r="D488" s="38" t="n"/>
      <c r="E488" s="38" t="n"/>
      <c r="F488" s="16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8" t="n"/>
      <c r="B489" s="38" t="n"/>
      <c r="C489" s="38" t="n"/>
      <c r="D489" s="38" t="n"/>
      <c r="E489" s="38" t="n"/>
      <c r="F489" s="16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8" t="n"/>
      <c r="B490" s="38" t="n"/>
      <c r="C490" s="38" t="n"/>
      <c r="D490" s="38" t="n"/>
      <c r="E490" s="38" t="n"/>
      <c r="F490" s="16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8" t="n"/>
      <c r="B491" s="38" t="n"/>
      <c r="C491" s="38" t="n"/>
      <c r="D491" s="38" t="n"/>
      <c r="E491" s="38" t="n"/>
      <c r="F491" s="16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8" t="n"/>
      <c r="B492" s="38" t="n"/>
      <c r="C492" s="38" t="n"/>
      <c r="D492" s="38" t="n"/>
      <c r="E492" s="38" t="n"/>
      <c r="F492" s="16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8" t="n"/>
      <c r="B493" s="38" t="n"/>
      <c r="C493" s="38" t="n"/>
      <c r="D493" s="38" t="n"/>
      <c r="E493" s="38" t="n"/>
      <c r="F493" s="16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8" t="n"/>
      <c r="B494" s="38" t="n"/>
      <c r="C494" s="38" t="n"/>
      <c r="D494" s="38" t="n"/>
      <c r="E494" s="38" t="n"/>
      <c r="F494" s="16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8" t="n"/>
      <c r="B495" s="38" t="n"/>
      <c r="C495" s="38" t="n"/>
      <c r="D495" s="38" t="n"/>
      <c r="E495" s="38" t="n"/>
      <c r="F495" s="16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8" t="n"/>
      <c r="B496" s="38" t="n"/>
      <c r="C496" s="38" t="n"/>
      <c r="D496" s="38" t="n"/>
      <c r="E496" s="38" t="n"/>
      <c r="F496" s="16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8" t="n"/>
      <c r="B497" s="38" t="n"/>
      <c r="C497" s="38" t="n"/>
      <c r="D497" s="38" t="n"/>
      <c r="E497" s="38" t="n"/>
      <c r="F497" s="16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8" t="n"/>
      <c r="B498" s="38" t="n"/>
      <c r="C498" s="38" t="n"/>
      <c r="D498" s="38" t="n"/>
      <c r="E498" s="38" t="n"/>
      <c r="F498" s="16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8" t="n"/>
      <c r="B499" s="38" t="n"/>
      <c r="C499" s="38" t="n"/>
      <c r="D499" s="38" t="n"/>
      <c r="E499" s="38" t="n"/>
      <c r="F499" s="16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8" t="n"/>
      <c r="B500" s="38" t="n"/>
      <c r="C500" s="38" t="n"/>
      <c r="D500" s="38" t="n"/>
      <c r="E500" s="38" t="n"/>
      <c r="F500" s="16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8" t="n"/>
      <c r="B501" s="38" t="n"/>
      <c r="C501" s="38" t="n"/>
      <c r="D501" s="38" t="n"/>
      <c r="E501" s="38" t="n"/>
      <c r="F501" s="16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9" customWidth="1" min="7" max="7"/>
    <col width="15" customWidth="1" min="8" max="8"/>
    <col width="7" customWidth="1" min="9" max="9"/>
    <col hidden="1" width="13" customWidth="1" min="25" max="25"/>
  </cols>
  <sheetData>
    <row r="1">
      <c r="A1" s="15" t="inlineStr">
        <is>
          <t>항목</t>
        </is>
      </c>
      <c r="B1" s="15" t="inlineStr">
        <is>
          <t>금액</t>
        </is>
      </c>
      <c r="C1" s="15" t="inlineStr">
        <is>
          <t>특이사항</t>
        </is>
      </c>
      <c r="D1" s="15" t="inlineStr">
        <is>
          <t>낸 사람</t>
        </is>
      </c>
      <c r="E1" s="39" t="inlineStr">
        <is>
          <t>확인 필요</t>
        </is>
      </c>
      <c r="G1" s="36" t="inlineStr">
        <is>
          <t>지출 정산</t>
        </is>
      </c>
    </row>
    <row r="2">
      <c r="A2" s="38" t="n"/>
      <c r="B2" s="21" t="n"/>
      <c r="C2" s="38" t="n"/>
      <c r="D2" s="38" t="n"/>
      <c r="E2" s="16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8" t="n"/>
      <c r="B3" s="21" t="n"/>
      <c r="C3" s="38" t="n"/>
      <c r="D3" s="38" t="n"/>
      <c r="E3" s="16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8" t="inlineStr">
        <is>
          <t>부의금 총액</t>
        </is>
      </c>
      <c r="H3" s="11">
        <f>요약!B1</f>
        <v/>
      </c>
      <c r="Y3">
        <f>IF(E3="",0,1)</f>
        <v/>
      </c>
    </row>
    <row r="4">
      <c r="A4" s="38" t="n"/>
      <c r="B4" s="21" t="n"/>
      <c r="C4" s="38" t="n"/>
      <c r="D4" s="38" t="n"/>
      <c r="E4" s="16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8" t="inlineStr">
        <is>
          <t>지출 총액</t>
        </is>
      </c>
      <c r="H4" s="11">
        <f>SUM(B2:B301)-SUMIF(A2:A301,"*합계*",B2:B301)-SUMIF(A2:A301,"*소계*",B2:B301)</f>
        <v/>
      </c>
      <c r="Y4">
        <f>IF(E4="",0,1)</f>
        <v/>
      </c>
    </row>
    <row r="5">
      <c r="A5" s="38" t="n"/>
      <c r="B5" s="21" t="n"/>
      <c r="C5" s="38" t="n"/>
      <c r="D5" s="38" t="n"/>
      <c r="E5" s="16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40" t="inlineStr">
        <is>
          <t>남는 돈</t>
        </is>
      </c>
      <c r="H5" s="41">
        <f>H3-H4</f>
        <v/>
      </c>
      <c r="Y5">
        <f>IF(E5="",0,1)</f>
        <v/>
      </c>
    </row>
    <row r="6">
      <c r="A6" s="38" t="n"/>
      <c r="B6" s="21" t="n"/>
      <c r="C6" s="38" t="n"/>
      <c r="D6" s="38" t="n"/>
      <c r="E6" s="16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8" t="n"/>
      <c r="B7" s="21" t="n"/>
      <c r="C7" s="38" t="n"/>
      <c r="D7" s="38" t="n"/>
      <c r="E7" s="16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8" t="inlineStr">
        <is>
          <t>공금 시작</t>
        </is>
      </c>
      <c r="H7" s="21" t="n"/>
      <c r="I7" s="35" t="inlineStr">
        <is>
          <t>← 부의금과 따로 모은 돈이 있으면 적으세요</t>
        </is>
      </c>
      <c r="Y7">
        <f>IF(E7="",0,1)</f>
        <v/>
      </c>
    </row>
    <row r="8">
      <c r="A8" s="38" t="n"/>
      <c r="B8" s="21" t="n"/>
      <c r="C8" s="38" t="n"/>
      <c r="D8" s="38" t="n"/>
      <c r="E8" s="16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8" t="inlineStr">
        <is>
          <t>공금에서 나간 돈</t>
        </is>
      </c>
      <c r="H8" s="11">
        <f>SUMIF(D2:D301,"공금",B2:B301)</f>
        <v/>
      </c>
      <c r="Y8">
        <f>IF(E8="",0,1)</f>
        <v/>
      </c>
    </row>
    <row r="9">
      <c r="A9" s="38" t="n"/>
      <c r="B9" s="21" t="n"/>
      <c r="C9" s="38" t="n"/>
      <c r="D9" s="38" t="n"/>
      <c r="E9" s="16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8" t="inlineStr">
        <is>
          <t>공금 잔액</t>
        </is>
      </c>
      <c r="H9" s="11">
        <f>IF(H7="","",H7-H8)</f>
        <v/>
      </c>
      <c r="Y9">
        <f>IF(E9="",0,1)</f>
        <v/>
      </c>
    </row>
    <row r="10">
      <c r="A10" s="38" t="n"/>
      <c r="B10" s="21" t="n"/>
      <c r="C10" s="38" t="n"/>
      <c r="D10" s="38" t="n"/>
      <c r="E10" s="16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8" t="n"/>
      <c r="B11" s="21" t="n"/>
      <c r="C11" s="38" t="n"/>
      <c r="D11" s="38" t="n"/>
      <c r="E11" s="16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5" t="inlineStr">
        <is>
          <t>낸 사람</t>
        </is>
      </c>
      <c r="H11" s="15" t="inlineStr">
        <is>
          <t>낸 금액</t>
        </is>
      </c>
      <c r="I11" s="15" t="inlineStr">
        <is>
          <t>건수</t>
        </is>
      </c>
      <c r="Y11">
        <f>IF(E11="",0,1)</f>
        <v/>
      </c>
    </row>
    <row r="12">
      <c r="A12" s="38" t="n"/>
      <c r="B12" s="21" t="n"/>
      <c r="C12" s="38" t="n"/>
      <c r="D12" s="38" t="n"/>
      <c r="E12" s="16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6" t="inlineStr">
        <is>
          <t>공금</t>
        </is>
      </c>
      <c r="H12" s="18">
        <f>IF(G12="","",SUMIF($D$2:$D$301,G12,$B$2:$B$301))</f>
        <v/>
      </c>
      <c r="I12" s="16">
        <f>IF(G12="","",COUNTIF($D$2:$D$301,G12))</f>
        <v/>
      </c>
      <c r="Y12">
        <f>IF(E12="",0,1)</f>
        <v/>
      </c>
    </row>
    <row r="13">
      <c r="A13" s="38" t="n"/>
      <c r="B13" s="21" t="n"/>
      <c r="C13" s="38" t="n"/>
      <c r="D13" s="38" t="n"/>
      <c r="E13" s="16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6">
        <f>IF('가족 목록'!A2="","",'가족 목록'!A2)</f>
        <v/>
      </c>
      <c r="H13" s="18">
        <f>IF(G13="","",SUMIF($D$2:$D$301,G13,$B$2:$B$301))</f>
        <v/>
      </c>
      <c r="I13" s="16">
        <f>IF(G13="","",COUNTIF($D$2:$D$301,G13))</f>
        <v/>
      </c>
      <c r="Y13">
        <f>IF(E13="",0,1)</f>
        <v/>
      </c>
    </row>
    <row r="14">
      <c r="A14" s="38" t="n"/>
      <c r="B14" s="21" t="n"/>
      <c r="C14" s="38" t="n"/>
      <c r="D14" s="38" t="n"/>
      <c r="E14" s="16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6">
        <f>IF('가족 목록'!A3="","",'가족 목록'!A3)</f>
        <v/>
      </c>
      <c r="H14" s="18">
        <f>IF(G14="","",SUMIF($D$2:$D$301,G14,$B$2:$B$301))</f>
        <v/>
      </c>
      <c r="I14" s="16">
        <f>IF(G14="","",COUNTIF($D$2:$D$301,G14))</f>
        <v/>
      </c>
      <c r="Y14">
        <f>IF(E14="",0,1)</f>
        <v/>
      </c>
    </row>
    <row r="15">
      <c r="A15" s="38" t="n"/>
      <c r="B15" s="21" t="n"/>
      <c r="C15" s="38" t="n"/>
      <c r="D15" s="38" t="n"/>
      <c r="E15" s="16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6">
        <f>IF('가족 목록'!A4="","",'가족 목록'!A4)</f>
        <v/>
      </c>
      <c r="H15" s="18">
        <f>IF(G15="","",SUMIF($D$2:$D$301,G15,$B$2:$B$301))</f>
        <v/>
      </c>
      <c r="I15" s="16">
        <f>IF(G15="","",COUNTIF($D$2:$D$301,G15))</f>
        <v/>
      </c>
      <c r="Y15">
        <f>IF(E15="",0,1)</f>
        <v/>
      </c>
    </row>
    <row r="16">
      <c r="A16" s="38" t="n"/>
      <c r="B16" s="21" t="n"/>
      <c r="C16" s="38" t="n"/>
      <c r="D16" s="38" t="n"/>
      <c r="E16" s="16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6">
        <f>IF('가족 목록'!A5="","",'가족 목록'!A5)</f>
        <v/>
      </c>
      <c r="H16" s="18">
        <f>IF(G16="","",SUMIF($D$2:$D$301,G16,$B$2:$B$301))</f>
        <v/>
      </c>
      <c r="I16" s="16">
        <f>IF(G16="","",COUNTIF($D$2:$D$301,G16))</f>
        <v/>
      </c>
      <c r="Y16">
        <f>IF(E16="",0,1)</f>
        <v/>
      </c>
    </row>
    <row r="17">
      <c r="A17" s="38" t="n"/>
      <c r="B17" s="21" t="n"/>
      <c r="C17" s="38" t="n"/>
      <c r="D17" s="38" t="n"/>
      <c r="E17" s="16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6">
        <f>IF('가족 목록'!A6="","",'가족 목록'!A6)</f>
        <v/>
      </c>
      <c r="H17" s="18">
        <f>IF(G17="","",SUMIF($D$2:$D$301,G17,$B$2:$B$301))</f>
        <v/>
      </c>
      <c r="I17" s="16">
        <f>IF(G17="","",COUNTIF($D$2:$D$301,G17))</f>
        <v/>
      </c>
      <c r="Y17">
        <f>IF(E17="",0,1)</f>
        <v/>
      </c>
    </row>
    <row r="18">
      <c r="A18" s="38" t="n"/>
      <c r="B18" s="21" t="n"/>
      <c r="C18" s="38" t="n"/>
      <c r="D18" s="38" t="n"/>
      <c r="E18" s="16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6">
        <f>IF('가족 목록'!A7="","",'가족 목록'!A7)</f>
        <v/>
      </c>
      <c r="H18" s="18">
        <f>IF(G18="","",SUMIF($D$2:$D$301,G18,$B$2:$B$301))</f>
        <v/>
      </c>
      <c r="I18" s="16">
        <f>IF(G18="","",COUNTIF($D$2:$D$301,G18))</f>
        <v/>
      </c>
      <c r="Y18">
        <f>IF(E18="",0,1)</f>
        <v/>
      </c>
    </row>
    <row r="19">
      <c r="A19" s="38" t="n"/>
      <c r="B19" s="21" t="n"/>
      <c r="C19" s="38" t="n"/>
      <c r="D19" s="38" t="n"/>
      <c r="E19" s="16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6">
        <f>IF('가족 목록'!A8="","",'가족 목록'!A8)</f>
        <v/>
      </c>
      <c r="H19" s="18">
        <f>IF(G19="","",SUMIF($D$2:$D$301,G19,$B$2:$B$301))</f>
        <v/>
      </c>
      <c r="I19" s="16">
        <f>IF(G19="","",COUNTIF($D$2:$D$301,G19))</f>
        <v/>
      </c>
      <c r="Y19">
        <f>IF(E19="",0,1)</f>
        <v/>
      </c>
    </row>
    <row r="20">
      <c r="A20" s="38" t="n"/>
      <c r="B20" s="21" t="n"/>
      <c r="C20" s="38" t="n"/>
      <c r="D20" s="38" t="n"/>
      <c r="E20" s="16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6">
        <f>IF('가족 목록'!A9="","",'가족 목록'!A9)</f>
        <v/>
      </c>
      <c r="H20" s="18">
        <f>IF(G20="","",SUMIF($D$2:$D$301,G20,$B$2:$B$301))</f>
        <v/>
      </c>
      <c r="I20" s="16">
        <f>IF(G20="","",COUNTIF($D$2:$D$301,G20))</f>
        <v/>
      </c>
      <c r="Y20">
        <f>IF(E20="",0,1)</f>
        <v/>
      </c>
    </row>
    <row r="21">
      <c r="A21" s="38" t="n"/>
      <c r="B21" s="21" t="n"/>
      <c r="C21" s="38" t="n"/>
      <c r="D21" s="38" t="n"/>
      <c r="E21" s="16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6">
        <f>IF('가족 목록'!A10="","",'가족 목록'!A10)</f>
        <v/>
      </c>
      <c r="H21" s="18">
        <f>IF(G21="","",SUMIF($D$2:$D$301,G21,$B$2:$B$301))</f>
        <v/>
      </c>
      <c r="I21" s="16">
        <f>IF(G21="","",COUNTIF($D$2:$D$301,G21))</f>
        <v/>
      </c>
      <c r="Y21">
        <f>IF(E21="",0,1)</f>
        <v/>
      </c>
    </row>
    <row r="22">
      <c r="A22" s="38" t="n"/>
      <c r="B22" s="21" t="n"/>
      <c r="C22" s="38" t="n"/>
      <c r="D22" s="38" t="n"/>
      <c r="E22" s="16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6">
        <f>IF('가족 목록'!A11="","",'가족 목록'!A11)</f>
        <v/>
      </c>
      <c r="H22" s="18">
        <f>IF(G22="","",SUMIF($D$2:$D$301,G22,$B$2:$B$301))</f>
        <v/>
      </c>
      <c r="I22" s="16">
        <f>IF(G22="","",COUNTIF($D$2:$D$301,G22))</f>
        <v/>
      </c>
      <c r="Y22">
        <f>IF(E22="",0,1)</f>
        <v/>
      </c>
    </row>
    <row r="23">
      <c r="A23" s="38" t="n"/>
      <c r="B23" s="21" t="n"/>
      <c r="C23" s="38" t="n"/>
      <c r="D23" s="38" t="n"/>
      <c r="E23" s="16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6">
        <f>IF('가족 목록'!A12="","",'가족 목록'!A12)</f>
        <v/>
      </c>
      <c r="H23" s="18">
        <f>IF(G23="","",SUMIF($D$2:$D$301,G23,$B$2:$B$301))</f>
        <v/>
      </c>
      <c r="I23" s="16">
        <f>IF(G23="","",COUNTIF($D$2:$D$301,G23))</f>
        <v/>
      </c>
      <c r="Y23">
        <f>IF(E23="",0,1)</f>
        <v/>
      </c>
    </row>
    <row r="24">
      <c r="A24" s="38" t="n"/>
      <c r="B24" s="21" t="n"/>
      <c r="C24" s="38" t="n"/>
      <c r="D24" s="38" t="n"/>
      <c r="E24" s="16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6">
        <f>IF('가족 목록'!A13="","",'가족 목록'!A13)</f>
        <v/>
      </c>
      <c r="H24" s="18">
        <f>IF(G24="","",SUMIF($D$2:$D$301,G24,$B$2:$B$301))</f>
        <v/>
      </c>
      <c r="I24" s="16">
        <f>IF(G24="","",COUNTIF($D$2:$D$301,G24))</f>
        <v/>
      </c>
      <c r="Y24">
        <f>IF(E24="",0,1)</f>
        <v/>
      </c>
    </row>
    <row r="25">
      <c r="A25" s="38" t="n"/>
      <c r="B25" s="21" t="n"/>
      <c r="C25" s="38" t="n"/>
      <c r="D25" s="38" t="n"/>
      <c r="E25" s="16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6">
        <f>IF('가족 목록'!A14="","",'가족 목록'!A14)</f>
        <v/>
      </c>
      <c r="H25" s="18">
        <f>IF(G25="","",SUMIF($D$2:$D$301,G25,$B$2:$B$301))</f>
        <v/>
      </c>
      <c r="I25" s="16">
        <f>IF(G25="","",COUNTIF($D$2:$D$301,G25))</f>
        <v/>
      </c>
      <c r="Y25">
        <f>IF(E25="",0,1)</f>
        <v/>
      </c>
    </row>
    <row r="26">
      <c r="A26" s="38" t="n"/>
      <c r="B26" s="21" t="n"/>
      <c r="C26" s="38" t="n"/>
      <c r="D26" s="38" t="n"/>
      <c r="E26" s="16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6">
        <f>IF('가족 목록'!A15="","",'가족 목록'!A15)</f>
        <v/>
      </c>
      <c r="H26" s="18">
        <f>IF(G26="","",SUMIF($D$2:$D$301,G26,$B$2:$B$301))</f>
        <v/>
      </c>
      <c r="I26" s="16">
        <f>IF(G26="","",COUNTIF($D$2:$D$301,G26))</f>
        <v/>
      </c>
      <c r="Y26">
        <f>IF(E26="",0,1)</f>
        <v/>
      </c>
    </row>
    <row r="27">
      <c r="A27" s="38" t="n"/>
      <c r="B27" s="21" t="n"/>
      <c r="C27" s="38" t="n"/>
      <c r="D27" s="38" t="n"/>
      <c r="E27" s="16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6">
        <f>IF('가족 목록'!A16="","",'가족 목록'!A16)</f>
        <v/>
      </c>
      <c r="H27" s="18">
        <f>IF(G27="","",SUMIF($D$2:$D$301,G27,$B$2:$B$301))</f>
        <v/>
      </c>
      <c r="I27" s="16">
        <f>IF(G27="","",COUNTIF($D$2:$D$301,G27))</f>
        <v/>
      </c>
      <c r="Y27">
        <f>IF(E27="",0,1)</f>
        <v/>
      </c>
    </row>
    <row r="28">
      <c r="A28" s="38" t="n"/>
      <c r="B28" s="21" t="n"/>
      <c r="C28" s="38" t="n"/>
      <c r="D28" s="38" t="n"/>
      <c r="E28" s="16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6">
        <f>IF('가족 목록'!A17="","",'가족 목록'!A17)</f>
        <v/>
      </c>
      <c r="H28" s="18">
        <f>IF(G28="","",SUMIF($D$2:$D$301,G28,$B$2:$B$301))</f>
        <v/>
      </c>
      <c r="I28" s="16">
        <f>IF(G28="","",COUNTIF($D$2:$D$301,G28))</f>
        <v/>
      </c>
      <c r="Y28">
        <f>IF(E28="",0,1)</f>
        <v/>
      </c>
    </row>
    <row r="29">
      <c r="A29" s="38" t="n"/>
      <c r="B29" s="21" t="n"/>
      <c r="C29" s="38" t="n"/>
      <c r="D29" s="38" t="n"/>
      <c r="E29" s="16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6">
        <f>IF('가족 목록'!A18="","",'가족 목록'!A18)</f>
        <v/>
      </c>
      <c r="H29" s="18">
        <f>IF(G29="","",SUMIF($D$2:$D$301,G29,$B$2:$B$301))</f>
        <v/>
      </c>
      <c r="I29" s="16">
        <f>IF(G29="","",COUNTIF($D$2:$D$301,G29))</f>
        <v/>
      </c>
      <c r="Y29">
        <f>IF(E29="",0,1)</f>
        <v/>
      </c>
    </row>
    <row r="30">
      <c r="A30" s="38" t="n"/>
      <c r="B30" s="21" t="n"/>
      <c r="C30" s="38" t="n"/>
      <c r="D30" s="38" t="n"/>
      <c r="E30" s="16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6">
        <f>IF('가족 목록'!A19="","",'가족 목록'!A19)</f>
        <v/>
      </c>
      <c r="H30" s="18">
        <f>IF(G30="","",SUMIF($D$2:$D$301,G30,$B$2:$B$301))</f>
        <v/>
      </c>
      <c r="I30" s="16">
        <f>IF(G30="","",COUNTIF($D$2:$D$301,G30))</f>
        <v/>
      </c>
      <c r="Y30">
        <f>IF(E30="",0,1)</f>
        <v/>
      </c>
    </row>
    <row r="31">
      <c r="A31" s="38" t="n"/>
      <c r="B31" s="21" t="n"/>
      <c r="C31" s="38" t="n"/>
      <c r="D31" s="38" t="n"/>
      <c r="E31" s="16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6">
        <f>IF('가족 목록'!A20="","",'가족 목록'!A20)</f>
        <v/>
      </c>
      <c r="H31" s="18">
        <f>IF(G31="","",SUMIF($D$2:$D$301,G31,$B$2:$B$301))</f>
        <v/>
      </c>
      <c r="I31" s="16">
        <f>IF(G31="","",COUNTIF($D$2:$D$301,G31))</f>
        <v/>
      </c>
      <c r="Y31">
        <f>IF(E31="",0,1)</f>
        <v/>
      </c>
    </row>
    <row r="32">
      <c r="A32" s="38" t="n"/>
      <c r="B32" s="21" t="n"/>
      <c r="C32" s="38" t="n"/>
      <c r="D32" s="38" t="n"/>
      <c r="E32" s="16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6">
        <f>IF('가족 목록'!A21="","",'가족 목록'!A21)</f>
        <v/>
      </c>
      <c r="H32" s="18">
        <f>IF(G32="","",SUMIF($D$2:$D$301,G32,$B$2:$B$301))</f>
        <v/>
      </c>
      <c r="I32" s="16">
        <f>IF(G32="","",COUNTIF($D$2:$D$301,G32))</f>
        <v/>
      </c>
      <c r="Y32">
        <f>IF(E32="",0,1)</f>
        <v/>
      </c>
    </row>
    <row r="33">
      <c r="A33" s="38" t="n"/>
      <c r="B33" s="21" t="n"/>
      <c r="C33" s="38" t="n"/>
      <c r="D33" s="38" t="n"/>
      <c r="E33" s="16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6" t="inlineStr">
        <is>
          <t>(낸 사람 없음)</t>
        </is>
      </c>
      <c r="H33" s="18">
        <f>SUMPRODUCT(($D$2:$D$301="")*($A$2:$A$301&lt;&gt;""),$B$2:$B$301)</f>
        <v/>
      </c>
      <c r="I33" s="16">
        <f>SUMPRODUCT(($D$2:$D$301="")*($A$2:$A$301&lt;&gt;""))</f>
        <v/>
      </c>
      <c r="Y33">
        <f>IF(E33="",0,1)</f>
        <v/>
      </c>
    </row>
    <row r="34">
      <c r="A34" s="38" t="n"/>
      <c r="B34" s="21" t="n"/>
      <c r="C34" s="38" t="n"/>
      <c r="D34" s="38" t="n"/>
      <c r="E34" s="16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8" t="n"/>
      <c r="B35" s="21" t="n"/>
      <c r="C35" s="38" t="n"/>
      <c r="D35" s="38" t="n"/>
      <c r="E35" s="16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8" t="n"/>
      <c r="B36" s="21" t="n"/>
      <c r="C36" s="38" t="n"/>
      <c r="D36" s="38" t="n"/>
      <c r="E36" s="16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8" t="n"/>
      <c r="B37" s="21" t="n"/>
      <c r="C37" s="38" t="n"/>
      <c r="D37" s="38" t="n"/>
      <c r="E37" s="16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8" t="n"/>
      <c r="B38" s="21" t="n"/>
      <c r="C38" s="38" t="n"/>
      <c r="D38" s="38" t="n"/>
      <c r="E38" s="16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8" t="n"/>
      <c r="B39" s="21" t="n"/>
      <c r="C39" s="38" t="n"/>
      <c r="D39" s="38" t="n"/>
      <c r="E39" s="16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8" t="n"/>
      <c r="B40" s="21" t="n"/>
      <c r="C40" s="38" t="n"/>
      <c r="D40" s="38" t="n"/>
      <c r="E40" s="16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8" t="n"/>
      <c r="B41" s="21" t="n"/>
      <c r="C41" s="38" t="n"/>
      <c r="D41" s="38" t="n"/>
      <c r="E41" s="16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8" t="n"/>
      <c r="B42" s="21" t="n"/>
      <c r="C42" s="38" t="n"/>
      <c r="D42" s="38" t="n"/>
      <c r="E42" s="16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8" t="n"/>
      <c r="B43" s="21" t="n"/>
      <c r="C43" s="38" t="n"/>
      <c r="D43" s="38" t="n"/>
      <c r="E43" s="16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8" t="n"/>
      <c r="B44" s="21" t="n"/>
      <c r="C44" s="38" t="n"/>
      <c r="D44" s="38" t="n"/>
      <c r="E44" s="16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8" t="n"/>
      <c r="B45" s="21" t="n"/>
      <c r="C45" s="38" t="n"/>
      <c r="D45" s="38" t="n"/>
      <c r="E45" s="16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8" t="n"/>
      <c r="B46" s="21" t="n"/>
      <c r="C46" s="38" t="n"/>
      <c r="D46" s="38" t="n"/>
      <c r="E46" s="16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8" t="n"/>
      <c r="B47" s="21" t="n"/>
      <c r="C47" s="38" t="n"/>
      <c r="D47" s="38" t="n"/>
      <c r="E47" s="16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8" t="n"/>
      <c r="B48" s="21" t="n"/>
      <c r="C48" s="38" t="n"/>
      <c r="D48" s="38" t="n"/>
      <c r="E48" s="16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8" t="n"/>
      <c r="B49" s="21" t="n"/>
      <c r="C49" s="38" t="n"/>
      <c r="D49" s="38" t="n"/>
      <c r="E49" s="16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8" t="n"/>
      <c r="B50" s="21" t="n"/>
      <c r="C50" s="38" t="n"/>
      <c r="D50" s="38" t="n"/>
      <c r="E50" s="16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8" t="n"/>
      <c r="B51" s="21" t="n"/>
      <c r="C51" s="38" t="n"/>
      <c r="D51" s="38" t="n"/>
      <c r="E51" s="16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8" t="n"/>
      <c r="B52" s="21" t="n"/>
      <c r="C52" s="38" t="n"/>
      <c r="D52" s="38" t="n"/>
      <c r="E52" s="16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8" t="n"/>
      <c r="B53" s="21" t="n"/>
      <c r="C53" s="38" t="n"/>
      <c r="D53" s="38" t="n"/>
      <c r="E53" s="16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8" t="n"/>
      <c r="B54" s="21" t="n"/>
      <c r="C54" s="38" t="n"/>
      <c r="D54" s="38" t="n"/>
      <c r="E54" s="16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8" t="n"/>
      <c r="B55" s="21" t="n"/>
      <c r="C55" s="38" t="n"/>
      <c r="D55" s="38" t="n"/>
      <c r="E55" s="16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8" t="n"/>
      <c r="B56" s="21" t="n"/>
      <c r="C56" s="38" t="n"/>
      <c r="D56" s="38" t="n"/>
      <c r="E56" s="16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8" t="n"/>
      <c r="B57" s="21" t="n"/>
      <c r="C57" s="38" t="n"/>
      <c r="D57" s="38" t="n"/>
      <c r="E57" s="16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8" t="n"/>
      <c r="B58" s="21" t="n"/>
      <c r="C58" s="38" t="n"/>
      <c r="D58" s="38" t="n"/>
      <c r="E58" s="16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8" t="n"/>
      <c r="B59" s="21" t="n"/>
      <c r="C59" s="38" t="n"/>
      <c r="D59" s="38" t="n"/>
      <c r="E59" s="16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8" t="n"/>
      <c r="B60" s="21" t="n"/>
      <c r="C60" s="38" t="n"/>
      <c r="D60" s="38" t="n"/>
      <c r="E60" s="16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8" t="n"/>
      <c r="B61" s="21" t="n"/>
      <c r="C61" s="38" t="n"/>
      <c r="D61" s="38" t="n"/>
      <c r="E61" s="16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8" t="n"/>
      <c r="B62" s="21" t="n"/>
      <c r="C62" s="38" t="n"/>
      <c r="D62" s="38" t="n"/>
      <c r="E62" s="16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8" t="n"/>
      <c r="B63" s="21" t="n"/>
      <c r="C63" s="38" t="n"/>
      <c r="D63" s="38" t="n"/>
      <c r="E63" s="16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8" t="n"/>
      <c r="B64" s="21" t="n"/>
      <c r="C64" s="38" t="n"/>
      <c r="D64" s="38" t="n"/>
      <c r="E64" s="16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8" t="n"/>
      <c r="B65" s="21" t="n"/>
      <c r="C65" s="38" t="n"/>
      <c r="D65" s="38" t="n"/>
      <c r="E65" s="16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8" t="n"/>
      <c r="B66" s="21" t="n"/>
      <c r="C66" s="38" t="n"/>
      <c r="D66" s="38" t="n"/>
      <c r="E66" s="16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8" t="n"/>
      <c r="B67" s="21" t="n"/>
      <c r="C67" s="38" t="n"/>
      <c r="D67" s="38" t="n"/>
      <c r="E67" s="16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8" t="n"/>
      <c r="B68" s="21" t="n"/>
      <c r="C68" s="38" t="n"/>
      <c r="D68" s="38" t="n"/>
      <c r="E68" s="16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8" t="n"/>
      <c r="B69" s="21" t="n"/>
      <c r="C69" s="38" t="n"/>
      <c r="D69" s="38" t="n"/>
      <c r="E69" s="16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8" t="n"/>
      <c r="B70" s="21" t="n"/>
      <c r="C70" s="38" t="n"/>
      <c r="D70" s="38" t="n"/>
      <c r="E70" s="16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8" t="n"/>
      <c r="B71" s="21" t="n"/>
      <c r="C71" s="38" t="n"/>
      <c r="D71" s="38" t="n"/>
      <c r="E71" s="16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8" t="n"/>
      <c r="B72" s="21" t="n"/>
      <c r="C72" s="38" t="n"/>
      <c r="D72" s="38" t="n"/>
      <c r="E72" s="16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8" t="n"/>
      <c r="B73" s="21" t="n"/>
      <c r="C73" s="38" t="n"/>
      <c r="D73" s="38" t="n"/>
      <c r="E73" s="16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8" t="n"/>
      <c r="B74" s="21" t="n"/>
      <c r="C74" s="38" t="n"/>
      <c r="D74" s="38" t="n"/>
      <c r="E74" s="16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8" t="n"/>
      <c r="B75" s="21" t="n"/>
      <c r="C75" s="38" t="n"/>
      <c r="D75" s="38" t="n"/>
      <c r="E75" s="16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8" t="n"/>
      <c r="B76" s="21" t="n"/>
      <c r="C76" s="38" t="n"/>
      <c r="D76" s="38" t="n"/>
      <c r="E76" s="16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8" t="n"/>
      <c r="B77" s="21" t="n"/>
      <c r="C77" s="38" t="n"/>
      <c r="D77" s="38" t="n"/>
      <c r="E77" s="16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8" t="n"/>
      <c r="B78" s="21" t="n"/>
      <c r="C78" s="38" t="n"/>
      <c r="D78" s="38" t="n"/>
      <c r="E78" s="16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8" t="n"/>
      <c r="B79" s="21" t="n"/>
      <c r="C79" s="38" t="n"/>
      <c r="D79" s="38" t="n"/>
      <c r="E79" s="16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8" t="n"/>
      <c r="B80" s="21" t="n"/>
      <c r="C80" s="38" t="n"/>
      <c r="D80" s="38" t="n"/>
      <c r="E80" s="16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8" t="n"/>
      <c r="B81" s="21" t="n"/>
      <c r="C81" s="38" t="n"/>
      <c r="D81" s="38" t="n"/>
      <c r="E81" s="16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8" t="n"/>
      <c r="B82" s="21" t="n"/>
      <c r="C82" s="38" t="n"/>
      <c r="D82" s="38" t="n"/>
      <c r="E82" s="16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8" t="n"/>
      <c r="B83" s="21" t="n"/>
      <c r="C83" s="38" t="n"/>
      <c r="D83" s="38" t="n"/>
      <c r="E83" s="16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8" t="n"/>
      <c r="B84" s="21" t="n"/>
      <c r="C84" s="38" t="n"/>
      <c r="D84" s="38" t="n"/>
      <c r="E84" s="16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8" t="n"/>
      <c r="B85" s="21" t="n"/>
      <c r="C85" s="38" t="n"/>
      <c r="D85" s="38" t="n"/>
      <c r="E85" s="16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8" t="n"/>
      <c r="B86" s="21" t="n"/>
      <c r="C86" s="38" t="n"/>
      <c r="D86" s="38" t="n"/>
      <c r="E86" s="16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8" t="n"/>
      <c r="B87" s="21" t="n"/>
      <c r="C87" s="38" t="n"/>
      <c r="D87" s="38" t="n"/>
      <c r="E87" s="16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8" t="n"/>
      <c r="B88" s="21" t="n"/>
      <c r="C88" s="38" t="n"/>
      <c r="D88" s="38" t="n"/>
      <c r="E88" s="16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8" t="n"/>
      <c r="B89" s="21" t="n"/>
      <c r="C89" s="38" t="n"/>
      <c r="D89" s="38" t="n"/>
      <c r="E89" s="16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8" t="n"/>
      <c r="B90" s="21" t="n"/>
      <c r="C90" s="38" t="n"/>
      <c r="D90" s="38" t="n"/>
      <c r="E90" s="16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8" t="n"/>
      <c r="B91" s="21" t="n"/>
      <c r="C91" s="38" t="n"/>
      <c r="D91" s="38" t="n"/>
      <c r="E91" s="16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8" t="n"/>
      <c r="B92" s="21" t="n"/>
      <c r="C92" s="38" t="n"/>
      <c r="D92" s="38" t="n"/>
      <c r="E92" s="16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8" t="n"/>
      <c r="B93" s="21" t="n"/>
      <c r="C93" s="38" t="n"/>
      <c r="D93" s="38" t="n"/>
      <c r="E93" s="16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8" t="n"/>
      <c r="B94" s="21" t="n"/>
      <c r="C94" s="38" t="n"/>
      <c r="D94" s="38" t="n"/>
      <c r="E94" s="16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8" t="n"/>
      <c r="B95" s="21" t="n"/>
      <c r="C95" s="38" t="n"/>
      <c r="D95" s="38" t="n"/>
      <c r="E95" s="16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8" t="n"/>
      <c r="B96" s="21" t="n"/>
      <c r="C96" s="38" t="n"/>
      <c r="D96" s="38" t="n"/>
      <c r="E96" s="16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8" t="n"/>
      <c r="B97" s="21" t="n"/>
      <c r="C97" s="38" t="n"/>
      <c r="D97" s="38" t="n"/>
      <c r="E97" s="16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8" t="n"/>
      <c r="B98" s="21" t="n"/>
      <c r="C98" s="38" t="n"/>
      <c r="D98" s="38" t="n"/>
      <c r="E98" s="16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8" t="n"/>
      <c r="B99" s="21" t="n"/>
      <c r="C99" s="38" t="n"/>
      <c r="D99" s="38" t="n"/>
      <c r="E99" s="16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8" t="n"/>
      <c r="B100" s="21" t="n"/>
      <c r="C100" s="38" t="n"/>
      <c r="D100" s="38" t="n"/>
      <c r="E100" s="16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8" t="n"/>
      <c r="B101" s="21" t="n"/>
      <c r="C101" s="38" t="n"/>
      <c r="D101" s="38" t="n"/>
      <c r="E101" s="16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8" t="n"/>
      <c r="B102" s="21" t="n"/>
      <c r="C102" s="38" t="n"/>
      <c r="D102" s="38" t="n"/>
      <c r="E102" s="16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8" t="n"/>
      <c r="B103" s="21" t="n"/>
      <c r="C103" s="38" t="n"/>
      <c r="D103" s="38" t="n"/>
      <c r="E103" s="16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8" t="n"/>
      <c r="B104" s="21" t="n"/>
      <c r="C104" s="38" t="n"/>
      <c r="D104" s="38" t="n"/>
      <c r="E104" s="16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8" t="n"/>
      <c r="B105" s="21" t="n"/>
      <c r="C105" s="38" t="n"/>
      <c r="D105" s="38" t="n"/>
      <c r="E105" s="16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8" t="n"/>
      <c r="B106" s="21" t="n"/>
      <c r="C106" s="38" t="n"/>
      <c r="D106" s="38" t="n"/>
      <c r="E106" s="16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8" t="n"/>
      <c r="B107" s="21" t="n"/>
      <c r="C107" s="38" t="n"/>
      <c r="D107" s="38" t="n"/>
      <c r="E107" s="16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8" t="n"/>
      <c r="B108" s="21" t="n"/>
      <c r="C108" s="38" t="n"/>
      <c r="D108" s="38" t="n"/>
      <c r="E108" s="16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8" t="n"/>
      <c r="B109" s="21" t="n"/>
      <c r="C109" s="38" t="n"/>
      <c r="D109" s="38" t="n"/>
      <c r="E109" s="16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8" t="n"/>
      <c r="B110" s="21" t="n"/>
      <c r="C110" s="38" t="n"/>
      <c r="D110" s="38" t="n"/>
      <c r="E110" s="16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8" t="n"/>
      <c r="B111" s="21" t="n"/>
      <c r="C111" s="38" t="n"/>
      <c r="D111" s="38" t="n"/>
      <c r="E111" s="16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8" t="n"/>
      <c r="B112" s="21" t="n"/>
      <c r="C112" s="38" t="n"/>
      <c r="D112" s="38" t="n"/>
      <c r="E112" s="16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8" t="n"/>
      <c r="B113" s="21" t="n"/>
      <c r="C113" s="38" t="n"/>
      <c r="D113" s="38" t="n"/>
      <c r="E113" s="16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8" t="n"/>
      <c r="B114" s="21" t="n"/>
      <c r="C114" s="38" t="n"/>
      <c r="D114" s="38" t="n"/>
      <c r="E114" s="16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8" t="n"/>
      <c r="B115" s="21" t="n"/>
      <c r="C115" s="38" t="n"/>
      <c r="D115" s="38" t="n"/>
      <c r="E115" s="16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8" t="n"/>
      <c r="B116" s="21" t="n"/>
      <c r="C116" s="38" t="n"/>
      <c r="D116" s="38" t="n"/>
      <c r="E116" s="16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8" t="n"/>
      <c r="B117" s="21" t="n"/>
      <c r="C117" s="38" t="n"/>
      <c r="D117" s="38" t="n"/>
      <c r="E117" s="16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8" t="n"/>
      <c r="B118" s="21" t="n"/>
      <c r="C118" s="38" t="n"/>
      <c r="D118" s="38" t="n"/>
      <c r="E118" s="16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8" t="n"/>
      <c r="B119" s="21" t="n"/>
      <c r="C119" s="38" t="n"/>
      <c r="D119" s="38" t="n"/>
      <c r="E119" s="16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8" t="n"/>
      <c r="B120" s="21" t="n"/>
      <c r="C120" s="38" t="n"/>
      <c r="D120" s="38" t="n"/>
      <c r="E120" s="16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8" t="n"/>
      <c r="B121" s="21" t="n"/>
      <c r="C121" s="38" t="n"/>
      <c r="D121" s="38" t="n"/>
      <c r="E121" s="16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8" t="n"/>
      <c r="B122" s="21" t="n"/>
      <c r="C122" s="38" t="n"/>
      <c r="D122" s="38" t="n"/>
      <c r="E122" s="16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8" t="n"/>
      <c r="B123" s="21" t="n"/>
      <c r="C123" s="38" t="n"/>
      <c r="D123" s="38" t="n"/>
      <c r="E123" s="16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8" t="n"/>
      <c r="B124" s="21" t="n"/>
      <c r="C124" s="38" t="n"/>
      <c r="D124" s="38" t="n"/>
      <c r="E124" s="16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8" t="n"/>
      <c r="B125" s="21" t="n"/>
      <c r="C125" s="38" t="n"/>
      <c r="D125" s="38" t="n"/>
      <c r="E125" s="16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8" t="n"/>
      <c r="B126" s="21" t="n"/>
      <c r="C126" s="38" t="n"/>
      <c r="D126" s="38" t="n"/>
      <c r="E126" s="16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8" t="n"/>
      <c r="B127" s="21" t="n"/>
      <c r="C127" s="38" t="n"/>
      <c r="D127" s="38" t="n"/>
      <c r="E127" s="16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8" t="n"/>
      <c r="B128" s="21" t="n"/>
      <c r="C128" s="38" t="n"/>
      <c r="D128" s="38" t="n"/>
      <c r="E128" s="16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8" t="n"/>
      <c r="B129" s="21" t="n"/>
      <c r="C129" s="38" t="n"/>
      <c r="D129" s="38" t="n"/>
      <c r="E129" s="16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8" t="n"/>
      <c r="B130" s="21" t="n"/>
      <c r="C130" s="38" t="n"/>
      <c r="D130" s="38" t="n"/>
      <c r="E130" s="16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8" t="n"/>
      <c r="B131" s="21" t="n"/>
      <c r="C131" s="38" t="n"/>
      <c r="D131" s="38" t="n"/>
      <c r="E131" s="16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8" t="n"/>
      <c r="B132" s="21" t="n"/>
      <c r="C132" s="38" t="n"/>
      <c r="D132" s="38" t="n"/>
      <c r="E132" s="16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8" t="n"/>
      <c r="B133" s="21" t="n"/>
      <c r="C133" s="38" t="n"/>
      <c r="D133" s="38" t="n"/>
      <c r="E133" s="16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8" t="n"/>
      <c r="B134" s="21" t="n"/>
      <c r="C134" s="38" t="n"/>
      <c r="D134" s="38" t="n"/>
      <c r="E134" s="16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8" t="n"/>
      <c r="B135" s="21" t="n"/>
      <c r="C135" s="38" t="n"/>
      <c r="D135" s="38" t="n"/>
      <c r="E135" s="16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8" t="n"/>
      <c r="B136" s="21" t="n"/>
      <c r="C136" s="38" t="n"/>
      <c r="D136" s="38" t="n"/>
      <c r="E136" s="16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8" t="n"/>
      <c r="B137" s="21" t="n"/>
      <c r="C137" s="38" t="n"/>
      <c r="D137" s="38" t="n"/>
      <c r="E137" s="16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8" t="n"/>
      <c r="B138" s="21" t="n"/>
      <c r="C138" s="38" t="n"/>
      <c r="D138" s="38" t="n"/>
      <c r="E138" s="16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8" t="n"/>
      <c r="B139" s="21" t="n"/>
      <c r="C139" s="38" t="n"/>
      <c r="D139" s="38" t="n"/>
      <c r="E139" s="16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8" t="n"/>
      <c r="B140" s="21" t="n"/>
      <c r="C140" s="38" t="n"/>
      <c r="D140" s="38" t="n"/>
      <c r="E140" s="16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8" t="n"/>
      <c r="B141" s="21" t="n"/>
      <c r="C141" s="38" t="n"/>
      <c r="D141" s="38" t="n"/>
      <c r="E141" s="16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8" t="n"/>
      <c r="B142" s="21" t="n"/>
      <c r="C142" s="38" t="n"/>
      <c r="D142" s="38" t="n"/>
      <c r="E142" s="16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8" t="n"/>
      <c r="B143" s="21" t="n"/>
      <c r="C143" s="38" t="n"/>
      <c r="D143" s="38" t="n"/>
      <c r="E143" s="16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8" t="n"/>
      <c r="B144" s="21" t="n"/>
      <c r="C144" s="38" t="n"/>
      <c r="D144" s="38" t="n"/>
      <c r="E144" s="16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8" t="n"/>
      <c r="B145" s="21" t="n"/>
      <c r="C145" s="38" t="n"/>
      <c r="D145" s="38" t="n"/>
      <c r="E145" s="16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8" t="n"/>
      <c r="B146" s="21" t="n"/>
      <c r="C146" s="38" t="n"/>
      <c r="D146" s="38" t="n"/>
      <c r="E146" s="16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8" t="n"/>
      <c r="B147" s="21" t="n"/>
      <c r="C147" s="38" t="n"/>
      <c r="D147" s="38" t="n"/>
      <c r="E147" s="16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8" t="n"/>
      <c r="B148" s="21" t="n"/>
      <c r="C148" s="38" t="n"/>
      <c r="D148" s="38" t="n"/>
      <c r="E148" s="16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8" t="n"/>
      <c r="B149" s="21" t="n"/>
      <c r="C149" s="38" t="n"/>
      <c r="D149" s="38" t="n"/>
      <c r="E149" s="16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8" t="n"/>
      <c r="B150" s="21" t="n"/>
      <c r="C150" s="38" t="n"/>
      <c r="D150" s="38" t="n"/>
      <c r="E150" s="16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8" t="n"/>
      <c r="B151" s="21" t="n"/>
      <c r="C151" s="38" t="n"/>
      <c r="D151" s="38" t="n"/>
      <c r="E151" s="16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8" t="n"/>
      <c r="B152" s="21" t="n"/>
      <c r="C152" s="38" t="n"/>
      <c r="D152" s="38" t="n"/>
      <c r="E152" s="16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8" t="n"/>
      <c r="B153" s="21" t="n"/>
      <c r="C153" s="38" t="n"/>
      <c r="D153" s="38" t="n"/>
      <c r="E153" s="16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8" t="n"/>
      <c r="B154" s="21" t="n"/>
      <c r="C154" s="38" t="n"/>
      <c r="D154" s="38" t="n"/>
      <c r="E154" s="16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8" t="n"/>
      <c r="B155" s="21" t="n"/>
      <c r="C155" s="38" t="n"/>
      <c r="D155" s="38" t="n"/>
      <c r="E155" s="16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8" t="n"/>
      <c r="B156" s="21" t="n"/>
      <c r="C156" s="38" t="n"/>
      <c r="D156" s="38" t="n"/>
      <c r="E156" s="16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8" t="n"/>
      <c r="B157" s="21" t="n"/>
      <c r="C157" s="38" t="n"/>
      <c r="D157" s="38" t="n"/>
      <c r="E157" s="16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8" t="n"/>
      <c r="B158" s="21" t="n"/>
      <c r="C158" s="38" t="n"/>
      <c r="D158" s="38" t="n"/>
      <c r="E158" s="16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8" t="n"/>
      <c r="B159" s="21" t="n"/>
      <c r="C159" s="38" t="n"/>
      <c r="D159" s="38" t="n"/>
      <c r="E159" s="16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8" t="n"/>
      <c r="B160" s="21" t="n"/>
      <c r="C160" s="38" t="n"/>
      <c r="D160" s="38" t="n"/>
      <c r="E160" s="16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8" t="n"/>
      <c r="B161" s="21" t="n"/>
      <c r="C161" s="38" t="n"/>
      <c r="D161" s="38" t="n"/>
      <c r="E161" s="16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8" t="n"/>
      <c r="B162" s="21" t="n"/>
      <c r="C162" s="38" t="n"/>
      <c r="D162" s="38" t="n"/>
      <c r="E162" s="16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8" t="n"/>
      <c r="B163" s="21" t="n"/>
      <c r="C163" s="38" t="n"/>
      <c r="D163" s="38" t="n"/>
      <c r="E163" s="16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8" t="n"/>
      <c r="B164" s="21" t="n"/>
      <c r="C164" s="38" t="n"/>
      <c r="D164" s="38" t="n"/>
      <c r="E164" s="16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8" t="n"/>
      <c r="B165" s="21" t="n"/>
      <c r="C165" s="38" t="n"/>
      <c r="D165" s="38" t="n"/>
      <c r="E165" s="16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8" t="n"/>
      <c r="B166" s="21" t="n"/>
      <c r="C166" s="38" t="n"/>
      <c r="D166" s="38" t="n"/>
      <c r="E166" s="16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8" t="n"/>
      <c r="B167" s="21" t="n"/>
      <c r="C167" s="38" t="n"/>
      <c r="D167" s="38" t="n"/>
      <c r="E167" s="16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8" t="n"/>
      <c r="B168" s="21" t="n"/>
      <c r="C168" s="38" t="n"/>
      <c r="D168" s="38" t="n"/>
      <c r="E168" s="16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8" t="n"/>
      <c r="B169" s="21" t="n"/>
      <c r="C169" s="38" t="n"/>
      <c r="D169" s="38" t="n"/>
      <c r="E169" s="16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8" t="n"/>
      <c r="B170" s="21" t="n"/>
      <c r="C170" s="38" t="n"/>
      <c r="D170" s="38" t="n"/>
      <c r="E170" s="16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8" t="n"/>
      <c r="B171" s="21" t="n"/>
      <c r="C171" s="38" t="n"/>
      <c r="D171" s="38" t="n"/>
      <c r="E171" s="16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8" t="n"/>
      <c r="B172" s="21" t="n"/>
      <c r="C172" s="38" t="n"/>
      <c r="D172" s="38" t="n"/>
      <c r="E172" s="16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8" t="n"/>
      <c r="B173" s="21" t="n"/>
      <c r="C173" s="38" t="n"/>
      <c r="D173" s="38" t="n"/>
      <c r="E173" s="16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8" t="n"/>
      <c r="B174" s="21" t="n"/>
      <c r="C174" s="38" t="n"/>
      <c r="D174" s="38" t="n"/>
      <c r="E174" s="16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8" t="n"/>
      <c r="B175" s="21" t="n"/>
      <c r="C175" s="38" t="n"/>
      <c r="D175" s="38" t="n"/>
      <c r="E175" s="16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8" t="n"/>
      <c r="B176" s="21" t="n"/>
      <c r="C176" s="38" t="n"/>
      <c r="D176" s="38" t="n"/>
      <c r="E176" s="16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8" t="n"/>
      <c r="B177" s="21" t="n"/>
      <c r="C177" s="38" t="n"/>
      <c r="D177" s="38" t="n"/>
      <c r="E177" s="16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8" t="n"/>
      <c r="B178" s="21" t="n"/>
      <c r="C178" s="38" t="n"/>
      <c r="D178" s="38" t="n"/>
      <c r="E178" s="16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8" t="n"/>
      <c r="B179" s="21" t="n"/>
      <c r="C179" s="38" t="n"/>
      <c r="D179" s="38" t="n"/>
      <c r="E179" s="16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8" t="n"/>
      <c r="B180" s="21" t="n"/>
      <c r="C180" s="38" t="n"/>
      <c r="D180" s="38" t="n"/>
      <c r="E180" s="16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8" t="n"/>
      <c r="B181" s="21" t="n"/>
      <c r="C181" s="38" t="n"/>
      <c r="D181" s="38" t="n"/>
      <c r="E181" s="16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8" t="n"/>
      <c r="B182" s="21" t="n"/>
      <c r="C182" s="38" t="n"/>
      <c r="D182" s="38" t="n"/>
      <c r="E182" s="16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8" t="n"/>
      <c r="B183" s="21" t="n"/>
      <c r="C183" s="38" t="n"/>
      <c r="D183" s="38" t="n"/>
      <c r="E183" s="16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8" t="n"/>
      <c r="B184" s="21" t="n"/>
      <c r="C184" s="38" t="n"/>
      <c r="D184" s="38" t="n"/>
      <c r="E184" s="16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8" t="n"/>
      <c r="B185" s="21" t="n"/>
      <c r="C185" s="38" t="n"/>
      <c r="D185" s="38" t="n"/>
      <c r="E185" s="16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8" t="n"/>
      <c r="B186" s="21" t="n"/>
      <c r="C186" s="38" t="n"/>
      <c r="D186" s="38" t="n"/>
      <c r="E186" s="16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8" t="n"/>
      <c r="B187" s="21" t="n"/>
      <c r="C187" s="38" t="n"/>
      <c r="D187" s="38" t="n"/>
      <c r="E187" s="16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8" t="n"/>
      <c r="B188" s="21" t="n"/>
      <c r="C188" s="38" t="n"/>
      <c r="D188" s="38" t="n"/>
      <c r="E188" s="16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8" t="n"/>
      <c r="B189" s="21" t="n"/>
      <c r="C189" s="38" t="n"/>
      <c r="D189" s="38" t="n"/>
      <c r="E189" s="16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8" t="n"/>
      <c r="B190" s="21" t="n"/>
      <c r="C190" s="38" t="n"/>
      <c r="D190" s="38" t="n"/>
      <c r="E190" s="16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8" t="n"/>
      <c r="B191" s="21" t="n"/>
      <c r="C191" s="38" t="n"/>
      <c r="D191" s="38" t="n"/>
      <c r="E191" s="16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8" t="n"/>
      <c r="B192" s="21" t="n"/>
      <c r="C192" s="38" t="n"/>
      <c r="D192" s="38" t="n"/>
      <c r="E192" s="16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8" t="n"/>
      <c r="B193" s="21" t="n"/>
      <c r="C193" s="38" t="n"/>
      <c r="D193" s="38" t="n"/>
      <c r="E193" s="16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8" t="n"/>
      <c r="B194" s="21" t="n"/>
      <c r="C194" s="38" t="n"/>
      <c r="D194" s="38" t="n"/>
      <c r="E194" s="16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8" t="n"/>
      <c r="B195" s="21" t="n"/>
      <c r="C195" s="38" t="n"/>
      <c r="D195" s="38" t="n"/>
      <c r="E195" s="16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8" t="n"/>
      <c r="B196" s="21" t="n"/>
      <c r="C196" s="38" t="n"/>
      <c r="D196" s="38" t="n"/>
      <c r="E196" s="16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8" t="n"/>
      <c r="B197" s="21" t="n"/>
      <c r="C197" s="38" t="n"/>
      <c r="D197" s="38" t="n"/>
      <c r="E197" s="16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8" t="n"/>
      <c r="B198" s="21" t="n"/>
      <c r="C198" s="38" t="n"/>
      <c r="D198" s="38" t="n"/>
      <c r="E198" s="16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8" t="n"/>
      <c r="B199" s="21" t="n"/>
      <c r="C199" s="38" t="n"/>
      <c r="D199" s="38" t="n"/>
      <c r="E199" s="16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8" t="n"/>
      <c r="B200" s="21" t="n"/>
      <c r="C200" s="38" t="n"/>
      <c r="D200" s="38" t="n"/>
      <c r="E200" s="16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8" t="n"/>
      <c r="B201" s="21" t="n"/>
      <c r="C201" s="38" t="n"/>
      <c r="D201" s="38" t="n"/>
      <c r="E201" s="16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8" t="n"/>
      <c r="B202" s="21" t="n"/>
      <c r="C202" s="38" t="n"/>
      <c r="D202" s="38" t="n"/>
      <c r="E202" s="16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8" t="n"/>
      <c r="B203" s="21" t="n"/>
      <c r="C203" s="38" t="n"/>
      <c r="D203" s="38" t="n"/>
      <c r="E203" s="16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8" t="n"/>
      <c r="B204" s="21" t="n"/>
      <c r="C204" s="38" t="n"/>
      <c r="D204" s="38" t="n"/>
      <c r="E204" s="16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8" t="n"/>
      <c r="B205" s="21" t="n"/>
      <c r="C205" s="38" t="n"/>
      <c r="D205" s="38" t="n"/>
      <c r="E205" s="16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8" t="n"/>
      <c r="B206" s="21" t="n"/>
      <c r="C206" s="38" t="n"/>
      <c r="D206" s="38" t="n"/>
      <c r="E206" s="16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8" t="n"/>
      <c r="B207" s="21" t="n"/>
      <c r="C207" s="38" t="n"/>
      <c r="D207" s="38" t="n"/>
      <c r="E207" s="16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8" t="n"/>
      <c r="B208" s="21" t="n"/>
      <c r="C208" s="38" t="n"/>
      <c r="D208" s="38" t="n"/>
      <c r="E208" s="16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8" t="n"/>
      <c r="B209" s="21" t="n"/>
      <c r="C209" s="38" t="n"/>
      <c r="D209" s="38" t="n"/>
      <c r="E209" s="16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8" t="n"/>
      <c r="B210" s="21" t="n"/>
      <c r="C210" s="38" t="n"/>
      <c r="D210" s="38" t="n"/>
      <c r="E210" s="16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8" t="n"/>
      <c r="B211" s="21" t="n"/>
      <c r="C211" s="38" t="n"/>
      <c r="D211" s="38" t="n"/>
      <c r="E211" s="16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8" t="n"/>
      <c r="B212" s="21" t="n"/>
      <c r="C212" s="38" t="n"/>
      <c r="D212" s="38" t="n"/>
      <c r="E212" s="16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8" t="n"/>
      <c r="B213" s="21" t="n"/>
      <c r="C213" s="38" t="n"/>
      <c r="D213" s="38" t="n"/>
      <c r="E213" s="16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8" t="n"/>
      <c r="B214" s="21" t="n"/>
      <c r="C214" s="38" t="n"/>
      <c r="D214" s="38" t="n"/>
      <c r="E214" s="16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8" t="n"/>
      <c r="B215" s="21" t="n"/>
      <c r="C215" s="38" t="n"/>
      <c r="D215" s="38" t="n"/>
      <c r="E215" s="16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8" t="n"/>
      <c r="B216" s="21" t="n"/>
      <c r="C216" s="38" t="n"/>
      <c r="D216" s="38" t="n"/>
      <c r="E216" s="16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8" t="n"/>
      <c r="B217" s="21" t="n"/>
      <c r="C217" s="38" t="n"/>
      <c r="D217" s="38" t="n"/>
      <c r="E217" s="16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8" t="n"/>
      <c r="B218" s="21" t="n"/>
      <c r="C218" s="38" t="n"/>
      <c r="D218" s="38" t="n"/>
      <c r="E218" s="16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8" t="n"/>
      <c r="B219" s="21" t="n"/>
      <c r="C219" s="38" t="n"/>
      <c r="D219" s="38" t="n"/>
      <c r="E219" s="16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8" t="n"/>
      <c r="B220" s="21" t="n"/>
      <c r="C220" s="38" t="n"/>
      <c r="D220" s="38" t="n"/>
      <c r="E220" s="16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8" t="n"/>
      <c r="B221" s="21" t="n"/>
      <c r="C221" s="38" t="n"/>
      <c r="D221" s="38" t="n"/>
      <c r="E221" s="16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8" t="n"/>
      <c r="B222" s="21" t="n"/>
      <c r="C222" s="38" t="n"/>
      <c r="D222" s="38" t="n"/>
      <c r="E222" s="16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8" t="n"/>
      <c r="B223" s="21" t="n"/>
      <c r="C223" s="38" t="n"/>
      <c r="D223" s="38" t="n"/>
      <c r="E223" s="16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8" t="n"/>
      <c r="B224" s="21" t="n"/>
      <c r="C224" s="38" t="n"/>
      <c r="D224" s="38" t="n"/>
      <c r="E224" s="16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8" t="n"/>
      <c r="B225" s="21" t="n"/>
      <c r="C225" s="38" t="n"/>
      <c r="D225" s="38" t="n"/>
      <c r="E225" s="16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8" t="n"/>
      <c r="B226" s="21" t="n"/>
      <c r="C226" s="38" t="n"/>
      <c r="D226" s="38" t="n"/>
      <c r="E226" s="16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8" t="n"/>
      <c r="B227" s="21" t="n"/>
      <c r="C227" s="38" t="n"/>
      <c r="D227" s="38" t="n"/>
      <c r="E227" s="16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8" t="n"/>
      <c r="B228" s="21" t="n"/>
      <c r="C228" s="38" t="n"/>
      <c r="D228" s="38" t="n"/>
      <c r="E228" s="16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8" t="n"/>
      <c r="B229" s="21" t="n"/>
      <c r="C229" s="38" t="n"/>
      <c r="D229" s="38" t="n"/>
      <c r="E229" s="16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8" t="n"/>
      <c r="B230" s="21" t="n"/>
      <c r="C230" s="38" t="n"/>
      <c r="D230" s="38" t="n"/>
      <c r="E230" s="16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8" t="n"/>
      <c r="B231" s="21" t="n"/>
      <c r="C231" s="38" t="n"/>
      <c r="D231" s="38" t="n"/>
      <c r="E231" s="16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8" t="n"/>
      <c r="B232" s="21" t="n"/>
      <c r="C232" s="38" t="n"/>
      <c r="D232" s="38" t="n"/>
      <c r="E232" s="16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8" t="n"/>
      <c r="B233" s="21" t="n"/>
      <c r="C233" s="38" t="n"/>
      <c r="D233" s="38" t="n"/>
      <c r="E233" s="16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8" t="n"/>
      <c r="B234" s="21" t="n"/>
      <c r="C234" s="38" t="n"/>
      <c r="D234" s="38" t="n"/>
      <c r="E234" s="16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8" t="n"/>
      <c r="B235" s="21" t="n"/>
      <c r="C235" s="38" t="n"/>
      <c r="D235" s="38" t="n"/>
      <c r="E235" s="16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8" t="n"/>
      <c r="B236" s="21" t="n"/>
      <c r="C236" s="38" t="n"/>
      <c r="D236" s="38" t="n"/>
      <c r="E236" s="16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8" t="n"/>
      <c r="B237" s="21" t="n"/>
      <c r="C237" s="38" t="n"/>
      <c r="D237" s="38" t="n"/>
      <c r="E237" s="16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8" t="n"/>
      <c r="B238" s="21" t="n"/>
      <c r="C238" s="38" t="n"/>
      <c r="D238" s="38" t="n"/>
      <c r="E238" s="16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8" t="n"/>
      <c r="B239" s="21" t="n"/>
      <c r="C239" s="38" t="n"/>
      <c r="D239" s="38" t="n"/>
      <c r="E239" s="16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8" t="n"/>
      <c r="B240" s="21" t="n"/>
      <c r="C240" s="38" t="n"/>
      <c r="D240" s="38" t="n"/>
      <c r="E240" s="16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8" t="n"/>
      <c r="B241" s="21" t="n"/>
      <c r="C241" s="38" t="n"/>
      <c r="D241" s="38" t="n"/>
      <c r="E241" s="16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8" t="n"/>
      <c r="B242" s="21" t="n"/>
      <c r="C242" s="38" t="n"/>
      <c r="D242" s="38" t="n"/>
      <c r="E242" s="16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8" t="n"/>
      <c r="B243" s="21" t="n"/>
      <c r="C243" s="38" t="n"/>
      <c r="D243" s="38" t="n"/>
      <c r="E243" s="16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8" t="n"/>
      <c r="B244" s="21" t="n"/>
      <c r="C244" s="38" t="n"/>
      <c r="D244" s="38" t="n"/>
      <c r="E244" s="16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8" t="n"/>
      <c r="B245" s="21" t="n"/>
      <c r="C245" s="38" t="n"/>
      <c r="D245" s="38" t="n"/>
      <c r="E245" s="16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8" t="n"/>
      <c r="B246" s="21" t="n"/>
      <c r="C246" s="38" t="n"/>
      <c r="D246" s="38" t="n"/>
      <c r="E246" s="16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8" t="n"/>
      <c r="B247" s="21" t="n"/>
      <c r="C247" s="38" t="n"/>
      <c r="D247" s="38" t="n"/>
      <c r="E247" s="16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8" t="n"/>
      <c r="B248" s="21" t="n"/>
      <c r="C248" s="38" t="n"/>
      <c r="D248" s="38" t="n"/>
      <c r="E248" s="16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8" t="n"/>
      <c r="B249" s="21" t="n"/>
      <c r="C249" s="38" t="n"/>
      <c r="D249" s="38" t="n"/>
      <c r="E249" s="16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8" t="n"/>
      <c r="B250" s="21" t="n"/>
      <c r="C250" s="38" t="n"/>
      <c r="D250" s="38" t="n"/>
      <c r="E250" s="16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8" t="n"/>
      <c r="B251" s="21" t="n"/>
      <c r="C251" s="38" t="n"/>
      <c r="D251" s="38" t="n"/>
      <c r="E251" s="16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8" t="n"/>
      <c r="B252" s="21" t="n"/>
      <c r="C252" s="38" t="n"/>
      <c r="D252" s="38" t="n"/>
      <c r="E252" s="16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8" t="n"/>
      <c r="B253" s="21" t="n"/>
      <c r="C253" s="38" t="n"/>
      <c r="D253" s="38" t="n"/>
      <c r="E253" s="16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8" t="n"/>
      <c r="B254" s="21" t="n"/>
      <c r="C254" s="38" t="n"/>
      <c r="D254" s="38" t="n"/>
      <c r="E254" s="16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8" t="n"/>
      <c r="B255" s="21" t="n"/>
      <c r="C255" s="38" t="n"/>
      <c r="D255" s="38" t="n"/>
      <c r="E255" s="16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8" t="n"/>
      <c r="B256" s="21" t="n"/>
      <c r="C256" s="38" t="n"/>
      <c r="D256" s="38" t="n"/>
      <c r="E256" s="16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8" t="n"/>
      <c r="B257" s="21" t="n"/>
      <c r="C257" s="38" t="n"/>
      <c r="D257" s="38" t="n"/>
      <c r="E257" s="16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8" t="n"/>
      <c r="B258" s="21" t="n"/>
      <c r="C258" s="38" t="n"/>
      <c r="D258" s="38" t="n"/>
      <c r="E258" s="16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8" t="n"/>
      <c r="B259" s="21" t="n"/>
      <c r="C259" s="38" t="n"/>
      <c r="D259" s="38" t="n"/>
      <c r="E259" s="16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8" t="n"/>
      <c r="B260" s="21" t="n"/>
      <c r="C260" s="38" t="n"/>
      <c r="D260" s="38" t="n"/>
      <c r="E260" s="16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8" t="n"/>
      <c r="B261" s="21" t="n"/>
      <c r="C261" s="38" t="n"/>
      <c r="D261" s="38" t="n"/>
      <c r="E261" s="16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8" t="n"/>
      <c r="B262" s="21" t="n"/>
      <c r="C262" s="38" t="n"/>
      <c r="D262" s="38" t="n"/>
      <c r="E262" s="16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8" t="n"/>
      <c r="B263" s="21" t="n"/>
      <c r="C263" s="38" t="n"/>
      <c r="D263" s="38" t="n"/>
      <c r="E263" s="16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8" t="n"/>
      <c r="B264" s="21" t="n"/>
      <c r="C264" s="38" t="n"/>
      <c r="D264" s="38" t="n"/>
      <c r="E264" s="16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8" t="n"/>
      <c r="B265" s="21" t="n"/>
      <c r="C265" s="38" t="n"/>
      <c r="D265" s="38" t="n"/>
      <c r="E265" s="16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8" t="n"/>
      <c r="B266" s="21" t="n"/>
      <c r="C266" s="38" t="n"/>
      <c r="D266" s="38" t="n"/>
      <c r="E266" s="16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8" t="n"/>
      <c r="B267" s="21" t="n"/>
      <c r="C267" s="38" t="n"/>
      <c r="D267" s="38" t="n"/>
      <c r="E267" s="16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8" t="n"/>
      <c r="B268" s="21" t="n"/>
      <c r="C268" s="38" t="n"/>
      <c r="D268" s="38" t="n"/>
      <c r="E268" s="16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8" t="n"/>
      <c r="B269" s="21" t="n"/>
      <c r="C269" s="38" t="n"/>
      <c r="D269" s="38" t="n"/>
      <c r="E269" s="16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8" t="n"/>
      <c r="B270" s="21" t="n"/>
      <c r="C270" s="38" t="n"/>
      <c r="D270" s="38" t="n"/>
      <c r="E270" s="16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8" t="n"/>
      <c r="B271" s="21" t="n"/>
      <c r="C271" s="38" t="n"/>
      <c r="D271" s="38" t="n"/>
      <c r="E271" s="16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8" t="n"/>
      <c r="B272" s="21" t="n"/>
      <c r="C272" s="38" t="n"/>
      <c r="D272" s="38" t="n"/>
      <c r="E272" s="16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8" t="n"/>
      <c r="B273" s="21" t="n"/>
      <c r="C273" s="38" t="n"/>
      <c r="D273" s="38" t="n"/>
      <c r="E273" s="16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8" t="n"/>
      <c r="B274" s="21" t="n"/>
      <c r="C274" s="38" t="n"/>
      <c r="D274" s="38" t="n"/>
      <c r="E274" s="16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8" t="n"/>
      <c r="B275" s="21" t="n"/>
      <c r="C275" s="38" t="n"/>
      <c r="D275" s="38" t="n"/>
      <c r="E275" s="16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8" t="n"/>
      <c r="B276" s="21" t="n"/>
      <c r="C276" s="38" t="n"/>
      <c r="D276" s="38" t="n"/>
      <c r="E276" s="16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8" t="n"/>
      <c r="B277" s="21" t="n"/>
      <c r="C277" s="38" t="n"/>
      <c r="D277" s="38" t="n"/>
      <c r="E277" s="16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8" t="n"/>
      <c r="B278" s="21" t="n"/>
      <c r="C278" s="38" t="n"/>
      <c r="D278" s="38" t="n"/>
      <c r="E278" s="16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8" t="n"/>
      <c r="B279" s="21" t="n"/>
      <c r="C279" s="38" t="n"/>
      <c r="D279" s="38" t="n"/>
      <c r="E279" s="16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8" t="n"/>
      <c r="B280" s="21" t="n"/>
      <c r="C280" s="38" t="n"/>
      <c r="D280" s="38" t="n"/>
      <c r="E280" s="16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8" t="n"/>
      <c r="B281" s="21" t="n"/>
      <c r="C281" s="38" t="n"/>
      <c r="D281" s="38" t="n"/>
      <c r="E281" s="16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8" t="n"/>
      <c r="B282" s="21" t="n"/>
      <c r="C282" s="38" t="n"/>
      <c r="D282" s="38" t="n"/>
      <c r="E282" s="16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8" t="n"/>
      <c r="B283" s="21" t="n"/>
      <c r="C283" s="38" t="n"/>
      <c r="D283" s="38" t="n"/>
      <c r="E283" s="16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8" t="n"/>
      <c r="B284" s="21" t="n"/>
      <c r="C284" s="38" t="n"/>
      <c r="D284" s="38" t="n"/>
      <c r="E284" s="16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8" t="n"/>
      <c r="B285" s="21" t="n"/>
      <c r="C285" s="38" t="n"/>
      <c r="D285" s="38" t="n"/>
      <c r="E285" s="16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8" t="n"/>
      <c r="B286" s="21" t="n"/>
      <c r="C286" s="38" t="n"/>
      <c r="D286" s="38" t="n"/>
      <c r="E286" s="16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8" t="n"/>
      <c r="B287" s="21" t="n"/>
      <c r="C287" s="38" t="n"/>
      <c r="D287" s="38" t="n"/>
      <c r="E287" s="16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8" t="n"/>
      <c r="B288" s="21" t="n"/>
      <c r="C288" s="38" t="n"/>
      <c r="D288" s="38" t="n"/>
      <c r="E288" s="16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8" t="n"/>
      <c r="B289" s="21" t="n"/>
      <c r="C289" s="38" t="n"/>
      <c r="D289" s="38" t="n"/>
      <c r="E289" s="16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8" t="n"/>
      <c r="B290" s="21" t="n"/>
      <c r="C290" s="38" t="n"/>
      <c r="D290" s="38" t="n"/>
      <c r="E290" s="16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8" t="n"/>
      <c r="B291" s="21" t="n"/>
      <c r="C291" s="38" t="n"/>
      <c r="D291" s="38" t="n"/>
      <c r="E291" s="16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8" t="n"/>
      <c r="B292" s="21" t="n"/>
      <c r="C292" s="38" t="n"/>
      <c r="D292" s="38" t="n"/>
      <c r="E292" s="16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8" t="n"/>
      <c r="B293" s="21" t="n"/>
      <c r="C293" s="38" t="n"/>
      <c r="D293" s="38" t="n"/>
      <c r="E293" s="16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8" t="n"/>
      <c r="B294" s="21" t="n"/>
      <c r="C294" s="38" t="n"/>
      <c r="D294" s="38" t="n"/>
      <c r="E294" s="16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8" t="n"/>
      <c r="B295" s="21" t="n"/>
      <c r="C295" s="38" t="n"/>
      <c r="D295" s="38" t="n"/>
      <c r="E295" s="16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8" t="n"/>
      <c r="B296" s="21" t="n"/>
      <c r="C296" s="38" t="n"/>
      <c r="D296" s="38" t="n"/>
      <c r="E296" s="16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8" t="n"/>
      <c r="B297" s="21" t="n"/>
      <c r="C297" s="38" t="n"/>
      <c r="D297" s="38" t="n"/>
      <c r="E297" s="16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8" t="n"/>
      <c r="B298" s="21" t="n"/>
      <c r="C298" s="38" t="n"/>
      <c r="D298" s="38" t="n"/>
      <c r="E298" s="16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8" t="n"/>
      <c r="B299" s="21" t="n"/>
      <c r="C299" s="38" t="n"/>
      <c r="D299" s="38" t="n"/>
      <c r="E299" s="16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8" t="n"/>
      <c r="B300" s="21" t="n"/>
      <c r="C300" s="38" t="n"/>
      <c r="D300" s="38" t="n"/>
      <c r="E300" s="16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8" t="n"/>
      <c r="B301" s="21" t="n"/>
      <c r="C301" s="38" t="n"/>
      <c r="D301" s="38" t="n"/>
      <c r="E301" s="16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2026-10-30T06:41:51Z</dcterms:created>
  <dcterms:modified xmlns:dcterms="http://purl.org/dc/terms/" xmlns:xsi="http://www.w3.org/2001/XMLSchema-instance" xsi:type="dcterms:W3CDTF">2026-10-30T06:41:52Z</dcterms:modified>
</cp:coreProperties>
</file>