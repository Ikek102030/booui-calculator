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가족별" sheetId="3" state="visible" r:id="rId3"/>
    <sheet xmlns:r="http://schemas.openxmlformats.org/officeDocument/2006/relationships" name="물품 통계" sheetId="4" state="visible" r:id="rId4"/>
    <sheet xmlns:r="http://schemas.openxmlformats.org/officeDocument/2006/relationships" name="가족 목록" sheetId="5" state="visible" r:id="rId5"/>
    <sheet xmlns:r="http://schemas.openxmlformats.org/officeDocument/2006/relationships" name="부의금 입력" sheetId="6" state="visible" r:id="rId6"/>
    <sheet xmlns:r="http://schemas.openxmlformats.org/officeDocument/2006/relationships" name="근조 화환" sheetId="7" state="visible" r:id="rId7"/>
    <sheet xmlns:r="http://schemas.openxmlformats.org/officeDocument/2006/relationships" name="지출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원&quot;"/>
    <numFmt numFmtId="165" formatCode="0&quot;일차&quot;"/>
    <numFmt numFmtId="166" formatCode="0&quot;건&quot;"/>
    <numFmt numFmtId="167" formatCode="0&quot;개&quot;"/>
    <numFmt numFmtId="168" formatCode="0.0%"/>
  </numFmts>
  <fonts count="17">
    <font>
      <name val="맑은 고딕"/>
      <sz val="10"/>
    </font>
    <font>
      <name val="맑은 고딕"/>
      <b val="1"/>
      <sz val="18"/>
    </font>
    <font>
      <name val="맑은 고딕"/>
      <sz val="12"/>
    </font>
    <font>
      <name val="맑은 고딕"/>
      <color rgb="00555555"/>
      <sz val="11"/>
    </font>
    <font>
      <name val="맑은 고딕"/>
      <color rgb="00777777"/>
    </font>
    <font>
      <name val="맑은 고딕"/>
      <color rgb="00777777"/>
      <sz val="9"/>
    </font>
    <font>
      <name val="맑은 고딕"/>
      <b val="1"/>
      <color rgb="00777777"/>
      <sz val="10"/>
    </font>
    <font>
      <name val="맑은 고딕"/>
      <color rgb="00999999"/>
      <sz val="9"/>
    </font>
    <font>
      <name val="맑은 고딕"/>
      <b val="1"/>
    </font>
    <font>
      <name val="맑은 고딕"/>
      <b val="1"/>
      <sz val="14"/>
    </font>
    <font>
      <name val="맑은 고딕"/>
      <b val="1"/>
      <sz val="13"/>
    </font>
    <font>
      <name val="맑은 고딕"/>
      <i val="1"/>
      <color rgb="00999999"/>
    </font>
    <font>
      <name val="맑은 고딕"/>
      <b val="1"/>
      <sz val="15"/>
    </font>
    <font>
      <name val="맑은 고딕"/>
      <b val="1"/>
      <sz val="11"/>
    </font>
    <font>
      <name val="맑은 고딕"/>
      <i val="1"/>
      <color rgb="00993333"/>
    </font>
    <font>
      <name val="맑은 고딕"/>
      <color rgb="00444444"/>
    </font>
    <font>
      <name val="맑은 고딕"/>
      <b val="1"/>
      <sz val="12"/>
    </font>
  </fonts>
  <fills count="6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8E1"/>
      </patternFill>
    </fill>
    <fill>
      <patternFill patternType="solid">
        <fgColor rgb="00DCE6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4" fillId="0" borderId="0" pivotButton="0" quotePrefix="0" xfId="0"/>
    <xf numFmtId="164" fontId="12" fillId="0" borderId="0" pivotButton="0" quotePrefix="0" xfId="0"/>
    <xf numFmtId="167" fontId="10" fillId="0" borderId="0" pivotButton="0" quotePrefix="0" xfId="0"/>
    <xf numFmtId="164" fontId="10" fillId="0" borderId="0" pivotButton="0" quotePrefix="0" xfId="0"/>
    <xf numFmtId="166" fontId="10" fillId="0" borderId="0" pivotButton="0" quotePrefix="0" xfId="0"/>
    <xf numFmtId="168" fontId="10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right"/>
    </xf>
    <xf numFmtId="0" fontId="13" fillId="5" borderId="1" applyAlignment="1" pivotButton="0" quotePrefix="0" xfId="0">
      <alignment horizontal="center"/>
    </xf>
    <xf numFmtId="0" fontId="16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168" fontId="0" fillId="0" borderId="1" pivotButton="0" quotePrefix="0" xfId="0"/>
    <xf numFmtId="167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0" fontId="8" fillId="4" borderId="1" pivotButton="0" quotePrefix="0" xfId="0"/>
    <xf numFmtId="166" fontId="8" fillId="4" borderId="1" pivotButton="0" quotePrefix="0" xfId="0"/>
    <xf numFmtId="164" fontId="8" fillId="4" borderId="1" pivotButton="0" quotePrefix="0" xfId="0"/>
    <xf numFmtId="168" fontId="8" fillId="4" borderId="1" pivotButton="0" quotePrefix="0" xfId="0"/>
    <xf numFmtId="167" fontId="8" fillId="4" borderId="1" pivotButton="0" quotePrefix="0" xfId="0"/>
    <xf numFmtId="164" fontId="14" fillId="0" borderId="0" pivotButton="0" quotePrefix="0" xfId="0"/>
    <xf numFmtId="0" fontId="13" fillId="0" borderId="0" pivotButton="0" quotePrefix="0" xfId="0"/>
    <xf numFmtId="0" fontId="15" fillId="0" borderId="0" pivotButton="0" quotePrefix="0" xfId="0"/>
    <xf numFmtId="0" fontId="16" fillId="5" borderId="0" pivotButton="0" quotePrefix="0" xfId="0"/>
    <xf numFmtId="164" fontId="16" fillId="0" borderId="0" applyAlignment="1" pivotButton="0" quotePrefix="0" xfId="0">
      <alignment horizontal="left"/>
    </xf>
    <xf numFmtId="166" fontId="16" fillId="0" borderId="0" applyAlignment="1" pivotButton="0" quotePrefix="0" xfId="0">
      <alignment horizontal="left"/>
    </xf>
    <xf numFmtId="167" fontId="16" fillId="0" borderId="0" applyAlignment="1" pivotButton="0" quotePrefix="0" xfId="0">
      <alignment horizontal="left"/>
    </xf>
    <xf numFmtId="0" fontId="11" fillId="0" borderId="0" pivotButton="0" quotePrefix="0" xfId="0"/>
    <xf numFmtId="0" fontId="9" fillId="0" borderId="0" pivotButton="0" quotePrefix="0" xfId="0"/>
    <xf numFmtId="168" fontId="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8" fillId="4" borderId="1" applyAlignment="1" pivotButton="0" quotePrefix="0" xfId="0">
      <alignment horizontal="center" vertical="center"/>
    </xf>
    <xf numFmtId="0" fontId="4" fillId="4" borderId="0" pivotButton="0" quotePrefix="0" xfId="0"/>
    <xf numFmtId="164" fontId="10" fillId="4" borderId="0" pivotButton="0" quotePrefix="0" xfId="0"/>
  </cellXfs>
  <cellStyles count="1">
    <cellStyle name="Normal" xfId="0" builtinId="0" hidden="0"/>
  </cellStyles>
  <dxfs count="2">
    <dxf>
      <font>
        <name val="맑은 고딕"/>
        <b val="1"/>
      </font>
      <fill>
        <patternFill patternType="solid">
          <fgColor rgb="00DCE6F7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양식</author>
  </authors>
  <commentList>
    <comment ref="G5" authorId="0" shapeId="0">
      <text>
        <t>위 노란 칸에서 고른 정산 방법대로 장례 비용(지출 총액)을 나눈 금액.
'가족 목록'에서 정산 참여가 X 인 가족은 0원.</t>
      </text>
    </comment>
    <comment ref="H5" authorId="0" shapeId="0">
      <text>
        <t>받은 부의금 − 지출 분담. 마이너스면 그만큼 더 내야 한다는 뜻입니다.</t>
      </text>
    </comment>
    <comment ref="I5" authorId="0" shapeId="0">
      <text>
        <t>실제로 나눠 드린 금액을 적는 칸입니다.
만 원 단위로 맞추거나, 똑같이 나누는 등 다르게 정하셨다면 여기에 적으세요.</t>
      </text>
    </comment>
  </commentList>
</comments>
</file>

<file path=xl/comments/comment2.xml><?xml version="1.0" encoding="utf-8"?>
<comments xmlns="http://schemas.openxmlformats.org/spreadsheetml/2006/main">
  <authors>
    <author>양식</author>
  </authors>
  <commentList>
    <comment ref="G1" authorId="0" shapeId="0">
      <text>
        <t>일차는 자동으로 매겨집니다.
하루가 끝나면 이름 칸에 '1일차 소계'처럼 적은 줄을 넣으세요. 그 줄 아래부터 다음 날입니다.
어떤 줄만 다른 날로 바꾸려면 이 열의 그 칸에 숫자(예: 2)를 직접 적으면 됩니다.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kakaopay.com/FXtiOuwYv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inlineStr">
        <is>
          <t>부의금 정산 양식</t>
        </is>
      </c>
    </row>
    <row r="2">
      <c r="B2" s="2" t="inlineStr"/>
    </row>
    <row r="3">
      <c r="B3" s="3" t="inlineStr">
        <is>
          <t>삼가 고인의 명복을 빕니다.</t>
        </is>
      </c>
    </row>
    <row r="4">
      <c r="B4" s="4" t="inlineStr">
        <is>
          <t>경황 없으실 텐데, 적기만 하시면 계산은 이 파일이 합니다.</t>
        </is>
      </c>
    </row>
    <row r="5">
      <c r="B5" s="2" t="inlineStr"/>
    </row>
    <row r="6">
      <c r="B6" s="2" t="inlineStr">
        <is>
          <t>① '가족 목록' 탭에 부의금을 받는 가족 이름을 적으세요. (최대 20명)</t>
        </is>
      </c>
    </row>
    <row r="7">
      <c r="B7" s="5" t="inlineStr">
        <is>
          <t xml:space="preserve">    여럿이 함께 받은 돈은 '공동'이나 '아빠·작은아빠'처럼 이름을 하나 만들어 쓰세요.</t>
        </is>
      </c>
    </row>
    <row r="8">
      <c r="B8" s="2" t="inlineStr">
        <is>
          <t>② '부의금 입력' 탭에 한 줄에 한 분씩 적으세요. 받은 가족은 목록에서 고르고, 금액은 숫자로(50000).</t>
        </is>
      </c>
    </row>
    <row r="9">
      <c r="B9" s="2" t="inlineStr">
        <is>
          <t>③ 하루가 끝나면 이름 칸에 '1일차 소계', 금액 칸에 그날 합계를 적으세요. 요약 탭에서 맞는지 비교해 줍니다.</t>
        </is>
      </c>
    </row>
    <row r="10">
      <c r="B10" s="5" t="inlineStr">
        <is>
          <t xml:space="preserve">    마지막에 '총합계' 줄을 적어도 됩니다. '소계'·'합계' 줄은 합계에 두 번 들어가지 않습니다.</t>
        </is>
      </c>
    </row>
    <row r="11">
      <c r="B11" s="2" t="inlineStr">
        <is>
          <t>④ 화환·근조기·바구니는 '근조 화환' 탭, 장례 비용은 '지출' 탭에 적으세요.</t>
        </is>
      </c>
    </row>
    <row r="12">
      <c r="B12" s="5" t="inlineStr">
        <is>
          <t xml:space="preserve">    부의금과 따로 모은 공금이 있으면 지출 탭 오른쪽 '공금 시작'에 금액을 넣고, 낸 사람을 '공금'으로 고르세요.</t>
        </is>
      </c>
    </row>
    <row r="13">
      <c r="B13" s="2" t="inlineStr">
        <is>
          <t>⑤ '요약' 탭 정산 표 위 노란 칸에서 정산 방법을 고르세요: 똑같이 나누기 / 받은 부의금 비율 / 손님 수 비율.</t>
        </is>
      </c>
    </row>
    <row r="14">
      <c r="B14" s="5" t="inlineStr">
        <is>
          <t xml:space="preserve">    방법별 장단점은 요약 표 아래에 있습니다. 비용을 나눠 내지 않을 가족은 '가족 목록'의 '정산 참여'에 X.</t>
        </is>
      </c>
    </row>
    <row r="15">
      <c r="B15" s="2" t="inlineStr">
        <is>
          <t>⑥ '가족별' 탭에서 노란 칸의 이름을 고르면 그분 명단이 나옵니다.</t>
        </is>
      </c>
    </row>
    <row r="16">
      <c r="B16" s="2" t="inlineStr"/>
    </row>
    <row r="17">
      <c r="B17" s="2" t="inlineStr">
        <is>
          <t>일차는 자동으로 매겨집니다. '1일차 소계' 줄 위는 1일차, 그 아래부터 다음 소계 줄까지는 2일차입니다.</t>
        </is>
      </c>
    </row>
    <row r="18">
      <c r="B18" s="5" t="inlineStr">
        <is>
          <t xml:space="preserve">    어떤 줄만 다른 날로 바꾸려면 그 줄의 '일차' 칸에 숫자(예: 2)를 직접 적으세요. 그 줄만 바뀝니다.</t>
        </is>
      </c>
    </row>
    <row r="19">
      <c r="B19" s="2" t="inlineStr"/>
    </row>
    <row r="20">
      <c r="B20" s="2" t="inlineStr">
        <is>
          <t>노란색 줄은 확인이 필요한 줄입니다. (금액이 글자로 적힘, 이름이나 받은 가족이 빔, 같은 줄이 두 번 적힘 등)</t>
        </is>
      </c>
    </row>
    <row r="21">
      <c r="B21" s="5" t="inlineStr">
        <is>
          <t>같은 분이 근조기와 화환을 함께 보내신 건 중복으로 보지 않습니다.</t>
        </is>
      </c>
    </row>
    <row r="22">
      <c r="B22" s="5" t="inlineStr">
        <is>
          <t>연한 노란 칸이 적는 칸입니다. 나머지 칸은 수식이니 지우지 마세요.</t>
        </is>
      </c>
    </row>
    <row r="23">
      <c r="B23" s="2" t="inlineStr"/>
    </row>
    <row r="24">
      <c r="B24" s="5" t="inlineStr">
        <is>
          <t>부의금 1000줄, 화환 500줄, 지출 300줄까지 적을 수 있습니다. 구글 시트에 올려 써도 됩니다.</t>
        </is>
      </c>
    </row>
    <row r="25">
      <c r="B25" s="2" t="inlineStr"/>
    </row>
    <row r="26">
      <c r="B26" s="6" t="inlineStr">
        <is>
          <t>후원은 필요 없습니다만, 혹시 유용하게 쓰셨다면 커피 한 잔으로 응원해 주셔도 감사하겠습니다: https://qr.kakaopay.com/FXtiOuwYv</t>
        </is>
      </c>
    </row>
    <row r="27">
      <c r="B27" s="2" t="inlineStr"/>
    </row>
    <row r="28">
      <c r="B28" s="7" t="inlineStr">
        <is>
          <t>면책 조항</t>
        </is>
      </c>
    </row>
    <row r="29">
      <c r="B29" s="8" t="inlineStr">
        <is>
          <t>이 양식은 계산을 편하게 하도록 돕는 도구일 뿐이며, 결과가 정확하다고 보장하지 않습니다. 중요한 금액은 반드시 직접 확인하세요. 이 양식을 쓰거나 그 결과를 근거로 해서 생긴 계산 오류, 금전 정산, 가족·지인 간 분쟁, 그 밖의 어떤 손해에 대해서도 만든 사람은 책임을 지지 않습니다. 법률·세무 자문이 아닙니다.</t>
        </is>
      </c>
    </row>
  </sheetData>
  <hyperlinks>
    <hyperlink xmlns:r="http://schemas.openxmlformats.org/officeDocument/2006/relationships" ref="B2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285F4"/>
    <outlinePr summaryBelow="1" summaryRight="1"/>
    <pageSetUpPr/>
  </sheetPr>
  <dimension ref="A1:R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1" customWidth="1" min="4" max="4"/>
    <col width="14" customWidth="1" min="5" max="5"/>
    <col width="3" customWidth="1" min="6" max="6"/>
    <col width="16" customWidth="1" min="7" max="7"/>
    <col width="15" customWidth="1" min="8" max="8"/>
    <col width="14" customWidth="1" min="9" max="9"/>
    <col width="3" customWidth="1" min="10" max="10"/>
    <col width="8" customWidth="1" min="11" max="11"/>
    <col width="8" customWidth="1" min="12" max="12"/>
    <col width="14" customWidth="1" min="13" max="13"/>
    <col width="18" customWidth="1" min="14" max="14"/>
    <col width="12" customWidth="1" min="15" max="15"/>
    <col hidden="1" width="13" customWidth="1" min="17" max="17"/>
    <col hidden="1" width="13" customWidth="1" min="18" max="18"/>
  </cols>
  <sheetData>
    <row r="1">
      <c r="A1" s="9" t="inlineStr">
        <is>
          <t>총 합계</t>
        </is>
      </c>
      <c r="B1" s="10">
        <f>SUMIF('부의금 입력'!$G$2:$G$1001,"&gt;0",'부의금 입력'!$C$2:$C$1001)</f>
        <v/>
      </c>
      <c r="D1" s="9" t="inlineStr">
        <is>
          <t>조화·물품</t>
        </is>
      </c>
      <c r="E1" s="11">
        <f>SUM('근조 화환'!$H$2:$H$501)</f>
        <v/>
      </c>
      <c r="G1" s="9" t="inlineStr">
        <is>
          <t>장부 총합계</t>
        </is>
      </c>
      <c r="H1" s="12">
        <f>IF(COUNTIF('부의금 입력'!$B$2:$B$1001,"*총합계*")=0,"",SUMIF('부의금 입력'!$B$2:$B$1001,"*총합계*",'부의금 입력'!$C$2:$C$1001))</f>
        <v/>
      </c>
    </row>
    <row r="2">
      <c r="A2" s="9" t="inlineStr">
        <is>
          <t>총 건수</t>
        </is>
      </c>
      <c r="B2" s="13">
        <f>COUNTIF('부의금 입력'!$G$2:$G$1001,"&gt;0")</f>
        <v/>
      </c>
      <c r="D2" s="9" t="inlineStr">
        <is>
          <t>지출 총액</t>
        </is>
      </c>
      <c r="E2" s="12">
        <f>지출!H4</f>
        <v/>
      </c>
      <c r="G2" s="9" t="inlineStr">
        <is>
          <t>장부와 차이</t>
        </is>
      </c>
      <c r="H2" s="12">
        <f>IF(H1="","",B1-H1)</f>
        <v/>
      </c>
    </row>
    <row r="3">
      <c r="A3" s="9" t="inlineStr">
        <is>
          <t>확인 필요</t>
        </is>
      </c>
      <c r="B3" s="13">
        <f>SUM('부의금 입력'!$J$2:$J$1001)+SUM('근조 화환'!$I$2:$I$501)+SUM(지출!$Y$2:$Y$301)</f>
        <v/>
      </c>
      <c r="D3" s="9" t="inlineStr">
        <is>
          <t>남는 돈</t>
        </is>
      </c>
      <c r="E3" s="12">
        <f>지출!H5</f>
        <v/>
      </c>
      <c r="G3" s="9" t="inlineStr">
        <is>
          <t>지출 비율</t>
        </is>
      </c>
      <c r="H3" s="14">
        <f>IF(B1=0,"-",지출!H4/B1)</f>
        <v/>
      </c>
    </row>
    <row r="4">
      <c r="G4" s="15" t="inlineStr">
        <is>
          <t>정산 방법 ▶</t>
        </is>
      </c>
      <c r="H4" s="16" t="inlineStr">
        <is>
          <t>▼ 정산 방법을 골라 주세요</t>
        </is>
      </c>
      <c r="K4" s="17" t="inlineStr">
        <is>
          <t>일차별 소계</t>
        </is>
      </c>
      <c r="Q4">
        <f>IFERROR(VALUE(LEFT($H$4,1)),0)</f>
        <v/>
      </c>
    </row>
    <row r="5">
      <c r="A5" s="18" t="inlineStr">
        <is>
          <t>받은 가족</t>
        </is>
      </c>
      <c r="B5" s="18" t="inlineStr">
        <is>
          <t>건수</t>
        </is>
      </c>
      <c r="C5" s="18" t="inlineStr">
        <is>
          <t>합계</t>
        </is>
      </c>
      <c r="D5" s="18" t="inlineStr">
        <is>
          <t>비중</t>
        </is>
      </c>
      <c r="E5" s="18" t="inlineStr">
        <is>
          <t>조화·물품</t>
        </is>
      </c>
      <c r="G5" s="18" t="inlineStr">
        <is>
          <t>지출 분담</t>
        </is>
      </c>
      <c r="H5" s="18" t="inlineStr">
        <is>
          <t>남는 몫</t>
        </is>
      </c>
      <c r="I5" s="18" t="inlineStr">
        <is>
          <t>실제 지급</t>
        </is>
      </c>
      <c r="K5" s="18" t="inlineStr">
        <is>
          <t>일차</t>
        </is>
      </c>
      <c r="L5" s="18" t="inlineStr">
        <is>
          <t>건수</t>
        </is>
      </c>
      <c r="M5" s="18" t="inlineStr">
        <is>
          <t>합계</t>
        </is>
      </c>
      <c r="N5" s="18" t="inlineStr">
        <is>
          <t>장부에 적은 소계</t>
        </is>
      </c>
      <c r="O5" s="18" t="inlineStr">
        <is>
          <t>차이</t>
        </is>
      </c>
    </row>
    <row r="6">
      <c r="A6" s="19">
        <f>IF('가족 목록'!A2="","",'가족 목록'!A2)</f>
        <v/>
      </c>
      <c r="B6" s="20">
        <f>IF($A6="","",COUNTIFS('부의금 입력'!$A$2:$A$1001,$A6,'부의금 입력'!$G$2:$G$1001,"&gt;0"))</f>
        <v/>
      </c>
      <c r="C6" s="21">
        <f>IF($A6="","",SUMIFS('부의금 입력'!$C$2:$C$1001,'부의금 입력'!$A$2:$A$1001,$A6,'부의금 입력'!$G$2:$G$1001,"&gt;0"))</f>
        <v/>
      </c>
      <c r="D6" s="22">
        <f>IF($A6="","",IF($B$1=0,0,C6/$B$1))</f>
        <v/>
      </c>
      <c r="E6" s="23">
        <f>IF($A6="","",COUNTIF('근조 화환'!$A$2:$A$501,$A6))</f>
        <v/>
      </c>
      <c r="G6" s="21">
        <f>IF(OR($A6="",$Q$4=0),"",IF(SUM($R$6:$R$25)=0,0,지출!$H$4*R6/SUM($R$6:$R$25)))</f>
        <v/>
      </c>
      <c r="H6" s="21">
        <f>IF(G6="","",C6-G6)</f>
        <v/>
      </c>
      <c r="I6" s="24" t="n"/>
      <c r="K6" s="25">
        <f>IF(1&lt;=MAX('부의금 입력'!$G$2:$G$1001),1,"")</f>
        <v/>
      </c>
      <c r="L6" s="20">
        <f>IF(K6="","",COUNTIF('부의금 입력'!$G$2:$G$1001,K6))</f>
        <v/>
      </c>
      <c r="M6" s="21">
        <f>IF(K6="","",SUMIF('부의금 입력'!$G$2:$G$1001,K6,'부의금 입력'!$C$2:$C$1001))</f>
        <v/>
      </c>
      <c r="N6" s="21">
        <f>IF(K6="","",IF(COUNTIF('부의금 입력'!$I$2:$I$1001,K6)=0,"",SUMIF('부의금 입력'!$I$2:$I$1001,K6,'부의금 입력'!$C$2:$C$1001)))</f>
        <v/>
      </c>
      <c r="O6" s="21">
        <f>IF(OR(K6="",N6=""),"",M6-N6)</f>
        <v/>
      </c>
      <c r="Q6">
        <f>IF($A6="",0,IF(UPPER(TRIM('가족 목록'!B2))="X",0,1))</f>
        <v/>
      </c>
      <c r="R6">
        <f>IF(OR(Q6=0,$Q$4=0),0,CHOOSE($Q$4,1,C6,B6))</f>
        <v/>
      </c>
    </row>
    <row r="7">
      <c r="A7" s="19">
        <f>IF('가족 목록'!A3="","",'가족 목록'!A3)</f>
        <v/>
      </c>
      <c r="B7" s="20">
        <f>IF($A7="","",COUNTIFS('부의금 입력'!$A$2:$A$1001,$A7,'부의금 입력'!$G$2:$G$1001,"&gt;0"))</f>
        <v/>
      </c>
      <c r="C7" s="21">
        <f>IF($A7="","",SUMIFS('부의금 입력'!$C$2:$C$1001,'부의금 입력'!$A$2:$A$1001,$A7,'부의금 입력'!$G$2:$G$1001,"&gt;0"))</f>
        <v/>
      </c>
      <c r="D7" s="22">
        <f>IF($A7="","",IF($B$1=0,0,C7/$B$1))</f>
        <v/>
      </c>
      <c r="E7" s="23">
        <f>IF($A7="","",COUNTIF('근조 화환'!$A$2:$A$501,$A7))</f>
        <v/>
      </c>
      <c r="G7" s="21">
        <f>IF(OR($A7="",$Q$4=0),"",IF(SUM($R$6:$R$25)=0,0,지출!$H$4*R7/SUM($R$6:$R$25)))</f>
        <v/>
      </c>
      <c r="H7" s="21">
        <f>IF(G7="","",C7-G7)</f>
        <v/>
      </c>
      <c r="I7" s="24" t="n"/>
      <c r="K7" s="25">
        <f>IF(2&lt;=MAX('부의금 입력'!$G$2:$G$1001),2,"")</f>
        <v/>
      </c>
      <c r="L7" s="20">
        <f>IF(K7="","",COUNTIF('부의금 입력'!$G$2:$G$1001,K7))</f>
        <v/>
      </c>
      <c r="M7" s="21">
        <f>IF(K7="","",SUMIF('부의금 입력'!$G$2:$G$1001,K7,'부의금 입력'!$C$2:$C$1001))</f>
        <v/>
      </c>
      <c r="N7" s="21">
        <f>IF(K7="","",IF(COUNTIF('부의금 입력'!$I$2:$I$1001,K7)=0,"",SUMIF('부의금 입력'!$I$2:$I$1001,K7,'부의금 입력'!$C$2:$C$1001)))</f>
        <v/>
      </c>
      <c r="O7" s="21">
        <f>IF(OR(K7="",N7=""),"",M7-N7)</f>
        <v/>
      </c>
      <c r="Q7">
        <f>IF($A7="",0,IF(UPPER(TRIM('가족 목록'!B3))="X",0,1))</f>
        <v/>
      </c>
      <c r="R7">
        <f>IF(OR(Q7=0,$Q$4=0),0,CHOOSE($Q$4,1,C7,B7))</f>
        <v/>
      </c>
    </row>
    <row r="8">
      <c r="A8" s="19">
        <f>IF('가족 목록'!A4="","",'가족 목록'!A4)</f>
        <v/>
      </c>
      <c r="B8" s="20">
        <f>IF($A8="","",COUNTIFS('부의금 입력'!$A$2:$A$1001,$A8,'부의금 입력'!$G$2:$G$1001,"&gt;0"))</f>
        <v/>
      </c>
      <c r="C8" s="21">
        <f>IF($A8="","",SUMIFS('부의금 입력'!$C$2:$C$1001,'부의금 입력'!$A$2:$A$1001,$A8,'부의금 입력'!$G$2:$G$1001,"&gt;0"))</f>
        <v/>
      </c>
      <c r="D8" s="22">
        <f>IF($A8="","",IF($B$1=0,0,C8/$B$1))</f>
        <v/>
      </c>
      <c r="E8" s="23">
        <f>IF($A8="","",COUNTIF('근조 화환'!$A$2:$A$501,$A8))</f>
        <v/>
      </c>
      <c r="G8" s="21">
        <f>IF(OR($A8="",$Q$4=0),"",IF(SUM($R$6:$R$25)=0,0,지출!$H$4*R8/SUM($R$6:$R$25)))</f>
        <v/>
      </c>
      <c r="H8" s="21">
        <f>IF(G8="","",C8-G8)</f>
        <v/>
      </c>
      <c r="I8" s="24" t="n"/>
      <c r="K8" s="25">
        <f>IF(3&lt;=MAX('부의금 입력'!$G$2:$G$1001),3,"")</f>
        <v/>
      </c>
      <c r="L8" s="20">
        <f>IF(K8="","",COUNTIF('부의금 입력'!$G$2:$G$1001,K8))</f>
        <v/>
      </c>
      <c r="M8" s="21">
        <f>IF(K8="","",SUMIF('부의금 입력'!$G$2:$G$1001,K8,'부의금 입력'!$C$2:$C$1001))</f>
        <v/>
      </c>
      <c r="N8" s="21">
        <f>IF(K8="","",IF(COUNTIF('부의금 입력'!$I$2:$I$1001,K8)=0,"",SUMIF('부의금 입력'!$I$2:$I$1001,K8,'부의금 입력'!$C$2:$C$1001)))</f>
        <v/>
      </c>
      <c r="O8" s="21">
        <f>IF(OR(K8="",N8=""),"",M8-N8)</f>
        <v/>
      </c>
      <c r="Q8">
        <f>IF($A8="",0,IF(UPPER(TRIM('가족 목록'!B4))="X",0,1))</f>
        <v/>
      </c>
      <c r="R8">
        <f>IF(OR(Q8=0,$Q$4=0),0,CHOOSE($Q$4,1,C8,B8))</f>
        <v/>
      </c>
    </row>
    <row r="9">
      <c r="A9" s="19">
        <f>IF('가족 목록'!A5="","",'가족 목록'!A5)</f>
        <v/>
      </c>
      <c r="B9" s="20">
        <f>IF($A9="","",COUNTIFS('부의금 입력'!$A$2:$A$1001,$A9,'부의금 입력'!$G$2:$G$1001,"&gt;0"))</f>
        <v/>
      </c>
      <c r="C9" s="21">
        <f>IF($A9="","",SUMIFS('부의금 입력'!$C$2:$C$1001,'부의금 입력'!$A$2:$A$1001,$A9,'부의금 입력'!$G$2:$G$1001,"&gt;0"))</f>
        <v/>
      </c>
      <c r="D9" s="22">
        <f>IF($A9="","",IF($B$1=0,0,C9/$B$1))</f>
        <v/>
      </c>
      <c r="E9" s="23">
        <f>IF($A9="","",COUNTIF('근조 화환'!$A$2:$A$501,$A9))</f>
        <v/>
      </c>
      <c r="G9" s="21">
        <f>IF(OR($A9="",$Q$4=0),"",IF(SUM($R$6:$R$25)=0,0,지출!$H$4*R9/SUM($R$6:$R$25)))</f>
        <v/>
      </c>
      <c r="H9" s="21">
        <f>IF(G9="","",C9-G9)</f>
        <v/>
      </c>
      <c r="I9" s="24" t="n"/>
      <c r="K9" s="25">
        <f>IF(4&lt;=MAX('부의금 입력'!$G$2:$G$1001),4,"")</f>
        <v/>
      </c>
      <c r="L9" s="20">
        <f>IF(K9="","",COUNTIF('부의금 입력'!$G$2:$G$1001,K9))</f>
        <v/>
      </c>
      <c r="M9" s="21">
        <f>IF(K9="","",SUMIF('부의금 입력'!$G$2:$G$1001,K9,'부의금 입력'!$C$2:$C$1001))</f>
        <v/>
      </c>
      <c r="N9" s="21">
        <f>IF(K9="","",IF(COUNTIF('부의금 입력'!$I$2:$I$1001,K9)=0,"",SUMIF('부의금 입력'!$I$2:$I$1001,K9,'부의금 입력'!$C$2:$C$1001)))</f>
        <v/>
      </c>
      <c r="O9" s="21">
        <f>IF(OR(K9="",N9=""),"",M9-N9)</f>
        <v/>
      </c>
      <c r="Q9">
        <f>IF($A9="",0,IF(UPPER(TRIM('가족 목록'!B5))="X",0,1))</f>
        <v/>
      </c>
      <c r="R9">
        <f>IF(OR(Q9=0,$Q$4=0),0,CHOOSE($Q$4,1,C9,B9))</f>
        <v/>
      </c>
    </row>
    <row r="10">
      <c r="A10" s="19">
        <f>IF('가족 목록'!A6="","",'가족 목록'!A6)</f>
        <v/>
      </c>
      <c r="B10" s="20">
        <f>IF($A10="","",COUNTIFS('부의금 입력'!$A$2:$A$1001,$A10,'부의금 입력'!$G$2:$G$1001,"&gt;0"))</f>
        <v/>
      </c>
      <c r="C10" s="21">
        <f>IF($A10="","",SUMIFS('부의금 입력'!$C$2:$C$1001,'부의금 입력'!$A$2:$A$1001,$A10,'부의금 입력'!$G$2:$G$1001,"&gt;0"))</f>
        <v/>
      </c>
      <c r="D10" s="22">
        <f>IF($A10="","",IF($B$1=0,0,C10/$B$1))</f>
        <v/>
      </c>
      <c r="E10" s="23">
        <f>IF($A10="","",COUNTIF('근조 화환'!$A$2:$A$501,$A10))</f>
        <v/>
      </c>
      <c r="G10" s="21">
        <f>IF(OR($A10="",$Q$4=0),"",IF(SUM($R$6:$R$25)=0,0,지출!$H$4*R10/SUM($R$6:$R$25)))</f>
        <v/>
      </c>
      <c r="H10" s="21">
        <f>IF(G10="","",C10-G10)</f>
        <v/>
      </c>
      <c r="I10" s="24" t="n"/>
      <c r="K10" s="25">
        <f>IF(5&lt;=MAX('부의금 입력'!$G$2:$G$1001),5,"")</f>
        <v/>
      </c>
      <c r="L10" s="20">
        <f>IF(K10="","",COUNTIF('부의금 입력'!$G$2:$G$1001,K10))</f>
        <v/>
      </c>
      <c r="M10" s="21">
        <f>IF(K10="","",SUMIF('부의금 입력'!$G$2:$G$1001,K10,'부의금 입력'!$C$2:$C$1001))</f>
        <v/>
      </c>
      <c r="N10" s="21">
        <f>IF(K10="","",IF(COUNTIF('부의금 입력'!$I$2:$I$1001,K10)=0,"",SUMIF('부의금 입력'!$I$2:$I$1001,K10,'부의금 입력'!$C$2:$C$1001)))</f>
        <v/>
      </c>
      <c r="O10" s="21">
        <f>IF(OR(K10="",N10=""),"",M10-N10)</f>
        <v/>
      </c>
      <c r="Q10">
        <f>IF($A10="",0,IF(UPPER(TRIM('가족 목록'!B6))="X",0,1))</f>
        <v/>
      </c>
      <c r="R10">
        <f>IF(OR(Q10=0,$Q$4=0),0,CHOOSE($Q$4,1,C10,B10))</f>
        <v/>
      </c>
    </row>
    <row r="11">
      <c r="A11" s="19">
        <f>IF('가족 목록'!A7="","",'가족 목록'!A7)</f>
        <v/>
      </c>
      <c r="B11" s="20">
        <f>IF($A11="","",COUNTIFS('부의금 입력'!$A$2:$A$1001,$A11,'부의금 입력'!$G$2:$G$1001,"&gt;0"))</f>
        <v/>
      </c>
      <c r="C11" s="21">
        <f>IF($A11="","",SUMIFS('부의금 입력'!$C$2:$C$1001,'부의금 입력'!$A$2:$A$1001,$A11,'부의금 입력'!$G$2:$G$1001,"&gt;0"))</f>
        <v/>
      </c>
      <c r="D11" s="22">
        <f>IF($A11="","",IF($B$1=0,0,C11/$B$1))</f>
        <v/>
      </c>
      <c r="E11" s="23">
        <f>IF($A11="","",COUNTIF('근조 화환'!$A$2:$A$501,$A11))</f>
        <v/>
      </c>
      <c r="G11" s="21">
        <f>IF(OR($A11="",$Q$4=0),"",IF(SUM($R$6:$R$25)=0,0,지출!$H$4*R11/SUM($R$6:$R$25)))</f>
        <v/>
      </c>
      <c r="H11" s="21">
        <f>IF(G11="","",C11-G11)</f>
        <v/>
      </c>
      <c r="I11" s="24" t="n"/>
      <c r="K11" s="25">
        <f>IF(6&lt;=MAX('부의금 입력'!$G$2:$G$1001),6,"")</f>
        <v/>
      </c>
      <c r="L11" s="20">
        <f>IF(K11="","",COUNTIF('부의금 입력'!$G$2:$G$1001,K11))</f>
        <v/>
      </c>
      <c r="M11" s="21">
        <f>IF(K11="","",SUMIF('부의금 입력'!$G$2:$G$1001,K11,'부의금 입력'!$C$2:$C$1001))</f>
        <v/>
      </c>
      <c r="N11" s="21">
        <f>IF(K11="","",IF(COUNTIF('부의금 입력'!$I$2:$I$1001,K11)=0,"",SUMIF('부의금 입력'!$I$2:$I$1001,K11,'부의금 입력'!$C$2:$C$1001)))</f>
        <v/>
      </c>
      <c r="O11" s="21">
        <f>IF(OR(K11="",N11=""),"",M11-N11)</f>
        <v/>
      </c>
      <c r="Q11">
        <f>IF($A11="",0,IF(UPPER(TRIM('가족 목록'!B7))="X",0,1))</f>
        <v/>
      </c>
      <c r="R11">
        <f>IF(OR(Q11=0,$Q$4=0),0,CHOOSE($Q$4,1,C11,B11))</f>
        <v/>
      </c>
    </row>
    <row r="12">
      <c r="A12" s="19">
        <f>IF('가족 목록'!A8="","",'가족 목록'!A8)</f>
        <v/>
      </c>
      <c r="B12" s="20">
        <f>IF($A12="","",COUNTIFS('부의금 입력'!$A$2:$A$1001,$A12,'부의금 입력'!$G$2:$G$1001,"&gt;0"))</f>
        <v/>
      </c>
      <c r="C12" s="21">
        <f>IF($A12="","",SUMIFS('부의금 입력'!$C$2:$C$1001,'부의금 입력'!$A$2:$A$1001,$A12,'부의금 입력'!$G$2:$G$1001,"&gt;0"))</f>
        <v/>
      </c>
      <c r="D12" s="22">
        <f>IF($A12="","",IF($B$1=0,0,C12/$B$1))</f>
        <v/>
      </c>
      <c r="E12" s="23">
        <f>IF($A12="","",COUNTIF('근조 화환'!$A$2:$A$501,$A12))</f>
        <v/>
      </c>
      <c r="G12" s="21">
        <f>IF(OR($A12="",$Q$4=0),"",IF(SUM($R$6:$R$25)=0,0,지출!$H$4*R12/SUM($R$6:$R$25)))</f>
        <v/>
      </c>
      <c r="H12" s="21">
        <f>IF(G12="","",C12-G12)</f>
        <v/>
      </c>
      <c r="I12" s="24" t="n"/>
      <c r="K12" s="25">
        <f>IF(7&lt;=MAX('부의금 입력'!$G$2:$G$1001),7,"")</f>
        <v/>
      </c>
      <c r="L12" s="20">
        <f>IF(K12="","",COUNTIF('부의금 입력'!$G$2:$G$1001,K12))</f>
        <v/>
      </c>
      <c r="M12" s="21">
        <f>IF(K12="","",SUMIF('부의금 입력'!$G$2:$G$1001,K12,'부의금 입력'!$C$2:$C$1001))</f>
        <v/>
      </c>
      <c r="N12" s="21">
        <f>IF(K12="","",IF(COUNTIF('부의금 입력'!$I$2:$I$1001,K12)=0,"",SUMIF('부의금 입력'!$I$2:$I$1001,K12,'부의금 입력'!$C$2:$C$1001)))</f>
        <v/>
      </c>
      <c r="O12" s="21">
        <f>IF(OR(K12="",N12=""),"",M12-N12)</f>
        <v/>
      </c>
      <c r="Q12">
        <f>IF($A12="",0,IF(UPPER(TRIM('가족 목록'!B8))="X",0,1))</f>
        <v/>
      </c>
      <c r="R12">
        <f>IF(OR(Q12=0,$Q$4=0),0,CHOOSE($Q$4,1,C12,B12))</f>
        <v/>
      </c>
    </row>
    <row r="13">
      <c r="A13" s="19">
        <f>IF('가족 목록'!A9="","",'가족 목록'!A9)</f>
        <v/>
      </c>
      <c r="B13" s="20">
        <f>IF($A13="","",COUNTIFS('부의금 입력'!$A$2:$A$1001,$A13,'부의금 입력'!$G$2:$G$1001,"&gt;0"))</f>
        <v/>
      </c>
      <c r="C13" s="21">
        <f>IF($A13="","",SUMIFS('부의금 입력'!$C$2:$C$1001,'부의금 입력'!$A$2:$A$1001,$A13,'부의금 입력'!$G$2:$G$1001,"&gt;0"))</f>
        <v/>
      </c>
      <c r="D13" s="22">
        <f>IF($A13="","",IF($B$1=0,0,C13/$B$1))</f>
        <v/>
      </c>
      <c r="E13" s="23">
        <f>IF($A13="","",COUNTIF('근조 화환'!$A$2:$A$501,$A13))</f>
        <v/>
      </c>
      <c r="G13" s="21">
        <f>IF(OR($A13="",$Q$4=0),"",IF(SUM($R$6:$R$25)=0,0,지출!$H$4*R13/SUM($R$6:$R$25)))</f>
        <v/>
      </c>
      <c r="H13" s="21">
        <f>IF(G13="","",C13-G13)</f>
        <v/>
      </c>
      <c r="I13" s="24" t="n"/>
      <c r="K13" s="25">
        <f>IF(8&lt;=MAX('부의금 입력'!$G$2:$G$1001),8,"")</f>
        <v/>
      </c>
      <c r="L13" s="20">
        <f>IF(K13="","",COUNTIF('부의금 입력'!$G$2:$G$1001,K13))</f>
        <v/>
      </c>
      <c r="M13" s="21">
        <f>IF(K13="","",SUMIF('부의금 입력'!$G$2:$G$1001,K13,'부의금 입력'!$C$2:$C$1001))</f>
        <v/>
      </c>
      <c r="N13" s="21">
        <f>IF(K13="","",IF(COUNTIF('부의금 입력'!$I$2:$I$1001,K13)=0,"",SUMIF('부의금 입력'!$I$2:$I$1001,K13,'부의금 입력'!$C$2:$C$1001)))</f>
        <v/>
      </c>
      <c r="O13" s="21">
        <f>IF(OR(K13="",N13=""),"",M13-N13)</f>
        <v/>
      </c>
      <c r="Q13">
        <f>IF($A13="",0,IF(UPPER(TRIM('가족 목록'!B9))="X",0,1))</f>
        <v/>
      </c>
      <c r="R13">
        <f>IF(OR(Q13=0,$Q$4=0),0,CHOOSE($Q$4,1,C13,B13))</f>
        <v/>
      </c>
    </row>
    <row r="14">
      <c r="A14" s="19">
        <f>IF('가족 목록'!A10="","",'가족 목록'!A10)</f>
        <v/>
      </c>
      <c r="B14" s="20">
        <f>IF($A14="","",COUNTIFS('부의금 입력'!$A$2:$A$1001,$A14,'부의금 입력'!$G$2:$G$1001,"&gt;0"))</f>
        <v/>
      </c>
      <c r="C14" s="21">
        <f>IF($A14="","",SUMIFS('부의금 입력'!$C$2:$C$1001,'부의금 입력'!$A$2:$A$1001,$A14,'부의금 입력'!$G$2:$G$1001,"&gt;0"))</f>
        <v/>
      </c>
      <c r="D14" s="22">
        <f>IF($A14="","",IF($B$1=0,0,C14/$B$1))</f>
        <v/>
      </c>
      <c r="E14" s="23">
        <f>IF($A14="","",COUNTIF('근조 화환'!$A$2:$A$501,$A14))</f>
        <v/>
      </c>
      <c r="G14" s="21">
        <f>IF(OR($A14="",$Q$4=0),"",IF(SUM($R$6:$R$25)=0,0,지출!$H$4*R14/SUM($R$6:$R$25)))</f>
        <v/>
      </c>
      <c r="H14" s="21">
        <f>IF(G14="","",C14-G14)</f>
        <v/>
      </c>
      <c r="I14" s="24" t="n"/>
      <c r="K14" s="25">
        <f>IF(9&lt;=MAX('부의금 입력'!$G$2:$G$1001),9,"")</f>
        <v/>
      </c>
      <c r="L14" s="20">
        <f>IF(K14="","",COUNTIF('부의금 입력'!$G$2:$G$1001,K14))</f>
        <v/>
      </c>
      <c r="M14" s="21">
        <f>IF(K14="","",SUMIF('부의금 입력'!$G$2:$G$1001,K14,'부의금 입력'!$C$2:$C$1001))</f>
        <v/>
      </c>
      <c r="N14" s="21">
        <f>IF(K14="","",IF(COUNTIF('부의금 입력'!$I$2:$I$1001,K14)=0,"",SUMIF('부의금 입력'!$I$2:$I$1001,K14,'부의금 입력'!$C$2:$C$1001)))</f>
        <v/>
      </c>
      <c r="O14" s="21">
        <f>IF(OR(K14="",N14=""),"",M14-N14)</f>
        <v/>
      </c>
      <c r="Q14">
        <f>IF($A14="",0,IF(UPPER(TRIM('가족 목록'!B10))="X",0,1))</f>
        <v/>
      </c>
      <c r="R14">
        <f>IF(OR(Q14=0,$Q$4=0),0,CHOOSE($Q$4,1,C14,B14))</f>
        <v/>
      </c>
    </row>
    <row r="15">
      <c r="A15" s="19">
        <f>IF('가족 목록'!A11="","",'가족 목록'!A11)</f>
        <v/>
      </c>
      <c r="B15" s="20">
        <f>IF($A15="","",COUNTIFS('부의금 입력'!$A$2:$A$1001,$A15,'부의금 입력'!$G$2:$G$1001,"&gt;0"))</f>
        <v/>
      </c>
      <c r="C15" s="21">
        <f>IF($A15="","",SUMIFS('부의금 입력'!$C$2:$C$1001,'부의금 입력'!$A$2:$A$1001,$A15,'부의금 입력'!$G$2:$G$1001,"&gt;0"))</f>
        <v/>
      </c>
      <c r="D15" s="22">
        <f>IF($A15="","",IF($B$1=0,0,C15/$B$1))</f>
        <v/>
      </c>
      <c r="E15" s="23">
        <f>IF($A15="","",COUNTIF('근조 화환'!$A$2:$A$501,$A15))</f>
        <v/>
      </c>
      <c r="G15" s="21">
        <f>IF(OR($A15="",$Q$4=0),"",IF(SUM($R$6:$R$25)=0,0,지출!$H$4*R15/SUM($R$6:$R$25)))</f>
        <v/>
      </c>
      <c r="H15" s="21">
        <f>IF(G15="","",C15-G15)</f>
        <v/>
      </c>
      <c r="I15" s="24" t="n"/>
      <c r="K15" s="25">
        <f>IF(10&lt;=MAX('부의금 입력'!$G$2:$G$1001),10,"")</f>
        <v/>
      </c>
      <c r="L15" s="20">
        <f>IF(K15="","",COUNTIF('부의금 입력'!$G$2:$G$1001,K15))</f>
        <v/>
      </c>
      <c r="M15" s="21">
        <f>IF(K15="","",SUMIF('부의금 입력'!$G$2:$G$1001,K15,'부의금 입력'!$C$2:$C$1001))</f>
        <v/>
      </c>
      <c r="N15" s="21">
        <f>IF(K15="","",IF(COUNTIF('부의금 입력'!$I$2:$I$1001,K15)=0,"",SUMIF('부의금 입력'!$I$2:$I$1001,K15,'부의금 입력'!$C$2:$C$1001)))</f>
        <v/>
      </c>
      <c r="O15" s="21">
        <f>IF(OR(K15="",N15=""),"",M15-N15)</f>
        <v/>
      </c>
      <c r="Q15">
        <f>IF($A15="",0,IF(UPPER(TRIM('가족 목록'!B11))="X",0,1))</f>
        <v/>
      </c>
      <c r="R15">
        <f>IF(OR(Q15=0,$Q$4=0),0,CHOOSE($Q$4,1,C15,B15))</f>
        <v/>
      </c>
    </row>
    <row r="16">
      <c r="A16" s="19">
        <f>IF('가족 목록'!A12="","",'가족 목록'!A12)</f>
        <v/>
      </c>
      <c r="B16" s="20">
        <f>IF($A16="","",COUNTIFS('부의금 입력'!$A$2:$A$1001,$A16,'부의금 입력'!$G$2:$G$1001,"&gt;0"))</f>
        <v/>
      </c>
      <c r="C16" s="21">
        <f>IF($A16="","",SUMIFS('부의금 입력'!$C$2:$C$1001,'부의금 입력'!$A$2:$A$1001,$A16,'부의금 입력'!$G$2:$G$1001,"&gt;0"))</f>
        <v/>
      </c>
      <c r="D16" s="22">
        <f>IF($A16="","",IF($B$1=0,0,C16/$B$1))</f>
        <v/>
      </c>
      <c r="E16" s="23">
        <f>IF($A16="","",COUNTIF('근조 화환'!$A$2:$A$501,$A16))</f>
        <v/>
      </c>
      <c r="G16" s="21">
        <f>IF(OR($A16="",$Q$4=0),"",IF(SUM($R$6:$R$25)=0,0,지출!$H$4*R16/SUM($R$6:$R$25)))</f>
        <v/>
      </c>
      <c r="H16" s="21">
        <f>IF(G16="","",C16-G16)</f>
        <v/>
      </c>
      <c r="I16" s="24" t="n"/>
      <c r="Q16">
        <f>IF($A16="",0,IF(UPPER(TRIM('가족 목록'!B12))="X",0,1))</f>
        <v/>
      </c>
      <c r="R16">
        <f>IF(OR(Q16=0,$Q$4=0),0,CHOOSE($Q$4,1,C16,B16))</f>
        <v/>
      </c>
    </row>
    <row r="17">
      <c r="A17" s="19">
        <f>IF('가족 목록'!A13="","",'가족 목록'!A13)</f>
        <v/>
      </c>
      <c r="B17" s="20">
        <f>IF($A17="","",COUNTIFS('부의금 입력'!$A$2:$A$1001,$A17,'부의금 입력'!$G$2:$G$1001,"&gt;0"))</f>
        <v/>
      </c>
      <c r="C17" s="21">
        <f>IF($A17="","",SUMIFS('부의금 입력'!$C$2:$C$1001,'부의금 입력'!$A$2:$A$1001,$A17,'부의금 입력'!$G$2:$G$1001,"&gt;0"))</f>
        <v/>
      </c>
      <c r="D17" s="22">
        <f>IF($A17="","",IF($B$1=0,0,C17/$B$1))</f>
        <v/>
      </c>
      <c r="E17" s="23">
        <f>IF($A17="","",COUNTIF('근조 화환'!$A$2:$A$501,$A17))</f>
        <v/>
      </c>
      <c r="G17" s="21">
        <f>IF(OR($A17="",$Q$4=0),"",IF(SUM($R$6:$R$25)=0,0,지출!$H$4*R17/SUM($R$6:$R$25)))</f>
        <v/>
      </c>
      <c r="H17" s="21">
        <f>IF(G17="","",C17-G17)</f>
        <v/>
      </c>
      <c r="I17" s="24" t="n"/>
      <c r="Q17">
        <f>IF($A17="",0,IF(UPPER(TRIM('가족 목록'!B13))="X",0,1))</f>
        <v/>
      </c>
      <c r="R17">
        <f>IF(OR(Q17=0,$Q$4=0),0,CHOOSE($Q$4,1,C17,B17))</f>
        <v/>
      </c>
    </row>
    <row r="18">
      <c r="A18" s="19">
        <f>IF('가족 목록'!A14="","",'가족 목록'!A14)</f>
        <v/>
      </c>
      <c r="B18" s="20">
        <f>IF($A18="","",COUNTIFS('부의금 입력'!$A$2:$A$1001,$A18,'부의금 입력'!$G$2:$G$1001,"&gt;0"))</f>
        <v/>
      </c>
      <c r="C18" s="21">
        <f>IF($A18="","",SUMIFS('부의금 입력'!$C$2:$C$1001,'부의금 입력'!$A$2:$A$1001,$A18,'부의금 입력'!$G$2:$G$1001,"&gt;0"))</f>
        <v/>
      </c>
      <c r="D18" s="22">
        <f>IF($A18="","",IF($B$1=0,0,C18/$B$1))</f>
        <v/>
      </c>
      <c r="E18" s="23">
        <f>IF($A18="","",COUNTIF('근조 화환'!$A$2:$A$501,$A18))</f>
        <v/>
      </c>
      <c r="G18" s="21">
        <f>IF(OR($A18="",$Q$4=0),"",IF(SUM($R$6:$R$25)=0,0,지출!$H$4*R18/SUM($R$6:$R$25)))</f>
        <v/>
      </c>
      <c r="H18" s="21">
        <f>IF(G18="","",C18-G18)</f>
        <v/>
      </c>
      <c r="I18" s="24" t="n"/>
      <c r="Q18">
        <f>IF($A18="",0,IF(UPPER(TRIM('가족 목록'!B14))="X",0,1))</f>
        <v/>
      </c>
      <c r="R18">
        <f>IF(OR(Q18=0,$Q$4=0),0,CHOOSE($Q$4,1,C18,B18))</f>
        <v/>
      </c>
    </row>
    <row r="19">
      <c r="A19" s="19">
        <f>IF('가족 목록'!A15="","",'가족 목록'!A15)</f>
        <v/>
      </c>
      <c r="B19" s="20">
        <f>IF($A19="","",COUNTIFS('부의금 입력'!$A$2:$A$1001,$A19,'부의금 입력'!$G$2:$G$1001,"&gt;0"))</f>
        <v/>
      </c>
      <c r="C19" s="21">
        <f>IF($A19="","",SUMIFS('부의금 입력'!$C$2:$C$1001,'부의금 입력'!$A$2:$A$1001,$A19,'부의금 입력'!$G$2:$G$1001,"&gt;0"))</f>
        <v/>
      </c>
      <c r="D19" s="22">
        <f>IF($A19="","",IF($B$1=0,0,C19/$B$1))</f>
        <v/>
      </c>
      <c r="E19" s="23">
        <f>IF($A19="","",COUNTIF('근조 화환'!$A$2:$A$501,$A19))</f>
        <v/>
      </c>
      <c r="G19" s="21">
        <f>IF(OR($A19="",$Q$4=0),"",IF(SUM($R$6:$R$25)=0,0,지출!$H$4*R19/SUM($R$6:$R$25)))</f>
        <v/>
      </c>
      <c r="H19" s="21">
        <f>IF(G19="","",C19-G19)</f>
        <v/>
      </c>
      <c r="I19" s="24" t="n"/>
      <c r="Q19">
        <f>IF($A19="",0,IF(UPPER(TRIM('가족 목록'!B15))="X",0,1))</f>
        <v/>
      </c>
      <c r="R19">
        <f>IF(OR(Q19=0,$Q$4=0),0,CHOOSE($Q$4,1,C19,B19))</f>
        <v/>
      </c>
    </row>
    <row r="20">
      <c r="A20" s="19">
        <f>IF('가족 목록'!A16="","",'가족 목록'!A16)</f>
        <v/>
      </c>
      <c r="B20" s="20">
        <f>IF($A20="","",COUNTIFS('부의금 입력'!$A$2:$A$1001,$A20,'부의금 입력'!$G$2:$G$1001,"&gt;0"))</f>
        <v/>
      </c>
      <c r="C20" s="21">
        <f>IF($A20="","",SUMIFS('부의금 입력'!$C$2:$C$1001,'부의금 입력'!$A$2:$A$1001,$A20,'부의금 입력'!$G$2:$G$1001,"&gt;0"))</f>
        <v/>
      </c>
      <c r="D20" s="22">
        <f>IF($A20="","",IF($B$1=0,0,C20/$B$1))</f>
        <v/>
      </c>
      <c r="E20" s="23">
        <f>IF($A20="","",COUNTIF('근조 화환'!$A$2:$A$501,$A20))</f>
        <v/>
      </c>
      <c r="G20" s="21">
        <f>IF(OR($A20="",$Q$4=0),"",IF(SUM($R$6:$R$25)=0,0,지출!$H$4*R20/SUM($R$6:$R$25)))</f>
        <v/>
      </c>
      <c r="H20" s="21">
        <f>IF(G20="","",C20-G20)</f>
        <v/>
      </c>
      <c r="I20" s="24" t="n"/>
      <c r="Q20">
        <f>IF($A20="",0,IF(UPPER(TRIM('가족 목록'!B16))="X",0,1))</f>
        <v/>
      </c>
      <c r="R20">
        <f>IF(OR(Q20=0,$Q$4=0),0,CHOOSE($Q$4,1,C20,B20))</f>
        <v/>
      </c>
    </row>
    <row r="21">
      <c r="A21" s="19">
        <f>IF('가족 목록'!A17="","",'가족 목록'!A17)</f>
        <v/>
      </c>
      <c r="B21" s="20">
        <f>IF($A21="","",COUNTIFS('부의금 입력'!$A$2:$A$1001,$A21,'부의금 입력'!$G$2:$G$1001,"&gt;0"))</f>
        <v/>
      </c>
      <c r="C21" s="21">
        <f>IF($A21="","",SUMIFS('부의금 입력'!$C$2:$C$1001,'부의금 입력'!$A$2:$A$1001,$A21,'부의금 입력'!$G$2:$G$1001,"&gt;0"))</f>
        <v/>
      </c>
      <c r="D21" s="22">
        <f>IF($A21="","",IF($B$1=0,0,C21/$B$1))</f>
        <v/>
      </c>
      <c r="E21" s="23">
        <f>IF($A21="","",COUNTIF('근조 화환'!$A$2:$A$501,$A21))</f>
        <v/>
      </c>
      <c r="G21" s="21">
        <f>IF(OR($A21="",$Q$4=0),"",IF(SUM($R$6:$R$25)=0,0,지출!$H$4*R21/SUM($R$6:$R$25)))</f>
        <v/>
      </c>
      <c r="H21" s="21">
        <f>IF(G21="","",C21-G21)</f>
        <v/>
      </c>
      <c r="I21" s="24" t="n"/>
      <c r="Q21">
        <f>IF($A21="",0,IF(UPPER(TRIM('가족 목록'!B17))="X",0,1))</f>
        <v/>
      </c>
      <c r="R21">
        <f>IF(OR(Q21=0,$Q$4=0),0,CHOOSE($Q$4,1,C21,B21))</f>
        <v/>
      </c>
    </row>
    <row r="22">
      <c r="A22" s="19">
        <f>IF('가족 목록'!A18="","",'가족 목록'!A18)</f>
        <v/>
      </c>
      <c r="B22" s="20">
        <f>IF($A22="","",COUNTIFS('부의금 입력'!$A$2:$A$1001,$A22,'부의금 입력'!$G$2:$G$1001,"&gt;0"))</f>
        <v/>
      </c>
      <c r="C22" s="21">
        <f>IF($A22="","",SUMIFS('부의금 입력'!$C$2:$C$1001,'부의금 입력'!$A$2:$A$1001,$A22,'부의금 입력'!$G$2:$G$1001,"&gt;0"))</f>
        <v/>
      </c>
      <c r="D22" s="22">
        <f>IF($A22="","",IF($B$1=0,0,C22/$B$1))</f>
        <v/>
      </c>
      <c r="E22" s="23">
        <f>IF($A22="","",COUNTIF('근조 화환'!$A$2:$A$501,$A22))</f>
        <v/>
      </c>
      <c r="G22" s="21">
        <f>IF(OR($A22="",$Q$4=0),"",IF(SUM($R$6:$R$25)=0,0,지출!$H$4*R22/SUM($R$6:$R$25)))</f>
        <v/>
      </c>
      <c r="H22" s="21">
        <f>IF(G22="","",C22-G22)</f>
        <v/>
      </c>
      <c r="I22" s="24" t="n"/>
      <c r="Q22">
        <f>IF($A22="",0,IF(UPPER(TRIM('가족 목록'!B18))="X",0,1))</f>
        <v/>
      </c>
      <c r="R22">
        <f>IF(OR(Q22=0,$Q$4=0),0,CHOOSE($Q$4,1,C22,B22))</f>
        <v/>
      </c>
    </row>
    <row r="23">
      <c r="A23" s="19">
        <f>IF('가족 목록'!A19="","",'가족 목록'!A19)</f>
        <v/>
      </c>
      <c r="B23" s="20">
        <f>IF($A23="","",COUNTIFS('부의금 입력'!$A$2:$A$1001,$A23,'부의금 입력'!$G$2:$G$1001,"&gt;0"))</f>
        <v/>
      </c>
      <c r="C23" s="21">
        <f>IF($A23="","",SUMIFS('부의금 입력'!$C$2:$C$1001,'부의금 입력'!$A$2:$A$1001,$A23,'부의금 입력'!$G$2:$G$1001,"&gt;0"))</f>
        <v/>
      </c>
      <c r="D23" s="22">
        <f>IF($A23="","",IF($B$1=0,0,C23/$B$1))</f>
        <v/>
      </c>
      <c r="E23" s="23">
        <f>IF($A23="","",COUNTIF('근조 화환'!$A$2:$A$501,$A23))</f>
        <v/>
      </c>
      <c r="G23" s="21">
        <f>IF(OR($A23="",$Q$4=0),"",IF(SUM($R$6:$R$25)=0,0,지출!$H$4*R23/SUM($R$6:$R$25)))</f>
        <v/>
      </c>
      <c r="H23" s="21">
        <f>IF(G23="","",C23-G23)</f>
        <v/>
      </c>
      <c r="I23" s="24" t="n"/>
      <c r="Q23">
        <f>IF($A23="",0,IF(UPPER(TRIM('가족 목록'!B19))="X",0,1))</f>
        <v/>
      </c>
      <c r="R23">
        <f>IF(OR(Q23=0,$Q$4=0),0,CHOOSE($Q$4,1,C23,B23))</f>
        <v/>
      </c>
    </row>
    <row r="24">
      <c r="A24" s="19">
        <f>IF('가족 목록'!A20="","",'가족 목록'!A20)</f>
        <v/>
      </c>
      <c r="B24" s="20">
        <f>IF($A24="","",COUNTIFS('부의금 입력'!$A$2:$A$1001,$A24,'부의금 입력'!$G$2:$G$1001,"&gt;0"))</f>
        <v/>
      </c>
      <c r="C24" s="21">
        <f>IF($A24="","",SUMIFS('부의금 입력'!$C$2:$C$1001,'부의금 입력'!$A$2:$A$1001,$A24,'부의금 입력'!$G$2:$G$1001,"&gt;0"))</f>
        <v/>
      </c>
      <c r="D24" s="22">
        <f>IF($A24="","",IF($B$1=0,0,C24/$B$1))</f>
        <v/>
      </c>
      <c r="E24" s="23">
        <f>IF($A24="","",COUNTIF('근조 화환'!$A$2:$A$501,$A24))</f>
        <v/>
      </c>
      <c r="G24" s="21">
        <f>IF(OR($A24="",$Q$4=0),"",IF(SUM($R$6:$R$25)=0,0,지출!$H$4*R24/SUM($R$6:$R$25)))</f>
        <v/>
      </c>
      <c r="H24" s="21">
        <f>IF(G24="","",C24-G24)</f>
        <v/>
      </c>
      <c r="I24" s="24" t="n"/>
      <c r="Q24">
        <f>IF($A24="",0,IF(UPPER(TRIM('가족 목록'!B20))="X",0,1))</f>
        <v/>
      </c>
      <c r="R24">
        <f>IF(OR(Q24=0,$Q$4=0),0,CHOOSE($Q$4,1,C24,B24))</f>
        <v/>
      </c>
    </row>
    <row r="25">
      <c r="A25" s="19">
        <f>IF('가족 목록'!A21="","",'가족 목록'!A21)</f>
        <v/>
      </c>
      <c r="B25" s="20">
        <f>IF($A25="","",COUNTIFS('부의금 입력'!$A$2:$A$1001,$A25,'부의금 입력'!$G$2:$G$1001,"&gt;0"))</f>
        <v/>
      </c>
      <c r="C25" s="21">
        <f>IF($A25="","",SUMIFS('부의금 입력'!$C$2:$C$1001,'부의금 입력'!$A$2:$A$1001,$A25,'부의금 입력'!$G$2:$G$1001,"&gt;0"))</f>
        <v/>
      </c>
      <c r="D25" s="22">
        <f>IF($A25="","",IF($B$1=0,0,C25/$B$1))</f>
        <v/>
      </c>
      <c r="E25" s="23">
        <f>IF($A25="","",COUNTIF('근조 화환'!$A$2:$A$501,$A25))</f>
        <v/>
      </c>
      <c r="G25" s="21">
        <f>IF(OR($A25="",$Q$4=0),"",IF(SUM($R$6:$R$25)=0,0,지출!$H$4*R25/SUM($R$6:$R$25)))</f>
        <v/>
      </c>
      <c r="H25" s="21">
        <f>IF(G25="","",C25-G25)</f>
        <v/>
      </c>
      <c r="I25" s="24" t="n"/>
      <c r="Q25">
        <f>IF($A25="",0,IF(UPPER(TRIM('가족 목록'!B21))="X",0,1))</f>
        <v/>
      </c>
      <c r="R25">
        <f>IF(OR(Q25=0,$Q$4=0),0,CHOOSE($Q$4,1,C25,B25))</f>
        <v/>
      </c>
    </row>
    <row r="26">
      <c r="A26" s="26" t="inlineStr">
        <is>
          <t>합계</t>
        </is>
      </c>
      <c r="B26" s="27">
        <f>SUM(B6:B25)</f>
        <v/>
      </c>
      <c r="C26" s="28">
        <f>SUM(C6:C25)</f>
        <v/>
      </c>
      <c r="D26" s="29">
        <f>SUM(D6:D25)</f>
        <v/>
      </c>
      <c r="E26" s="30">
        <f>SUM(E6:E25)</f>
        <v/>
      </c>
      <c r="G26" s="28">
        <f>SUM(G6:G25)</f>
        <v/>
      </c>
      <c r="H26" s="28">
        <f>SUM(H6:H25)</f>
        <v/>
      </c>
      <c r="I26" s="28">
        <f>SUM(I6:I25)</f>
        <v/>
      </c>
    </row>
    <row r="27">
      <c r="A27" s="9" t="inlineStr">
        <is>
          <t>가족 목록에 없는 기록</t>
        </is>
      </c>
      <c r="C27" s="31">
        <f>B1-C26</f>
        <v/>
      </c>
    </row>
    <row r="29">
      <c r="A29" s="32" t="inlineStr">
        <is>
          <t>정산 방법 (표 위 노란 칸에서 고르세요)</t>
        </is>
      </c>
    </row>
    <row r="30">
      <c r="A30" s="33" t="inlineStr">
        <is>
          <t>1. 똑같이 나누기: 지출 총액 ÷ 참여 가족 수</t>
        </is>
      </c>
    </row>
    <row r="31">
      <c r="A31" s="9" t="inlineStr">
        <is>
          <t xml:space="preserve">    장점: 가장 단순하고 설명하기 쉽습니다.  단점: 손님이 적게 온 가족도 똑같이 내서 부담이 클 수 있습니다.</t>
        </is>
      </c>
    </row>
    <row r="32">
      <c r="A32" s="33" t="inlineStr">
        <is>
          <t>2. 받은 부의금 비율: 지출 총액 × (내 부의금 ÷ 참여 가족 부의금 합)</t>
        </is>
      </c>
    </row>
    <row r="33">
      <c r="A33" s="9" t="inlineStr">
        <is>
          <t xml:space="preserve">    장점: 모두 같은 비율만큼 남아 가장 무난합니다.  단점: 부의금을 많이 받은 가족이 비용도 많이 냅니다.</t>
        </is>
      </c>
    </row>
    <row r="34">
      <c r="A34" s="33" t="inlineStr">
        <is>
          <t>3. 손님 수 비율: 지출 총액 × (내 손님 수 ÷ 참여 가족 손님 수 합)</t>
        </is>
      </c>
    </row>
    <row r="35">
      <c r="A35" s="9" t="inlineStr">
        <is>
          <t xml:space="preserve">    장점: 식대처럼 손님 수만큼 드는 비용을 반영합니다.  단점: 봉투 하나에 여럿이 와도 1명으로 세고, 금액 차이는 반영하지 않습니다.</t>
        </is>
      </c>
    </row>
    <row r="36">
      <c r="A36" s="9" t="inlineStr">
        <is>
          <t>남는 몫 = 받은 부의금 − 지출 분담. 마이너스면 그만큼 더 내야 한다는 뜻입니다.</t>
        </is>
      </c>
    </row>
    <row r="37">
      <c r="A37" s="9" t="inlineStr">
        <is>
          <t>비용을 나눠 내지 않을 가족은 '가족 목록' 탭 '정산 참여'에 X. 다르게 정하셨다면 '실제 지급' 칸에 적으세요.</t>
        </is>
      </c>
    </row>
  </sheetData>
  <mergeCells count="2">
    <mergeCell ref="K4:O4"/>
    <mergeCell ref="H4:I4"/>
  </mergeCells>
  <dataValidations count="1">
    <dataValidation sqref="H4" showDropDown="0" showInputMessage="0" showErrorMessage="1" allowBlank="1" type="list">
      <formula1>"1. 똑같이 나누기,2. 받은 부의금 비율,3. 손님 수 비율"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4285F4"/>
    <outlinePr summaryBelow="1" summaryRight="1"/>
    <pageSetUpPr fitToPage="1"/>
  </sheetPr>
  <dimension ref="A1:K4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20" customWidth="1" min="4" max="4"/>
    <col width="16" customWidth="1" min="5" max="5"/>
    <col width="6" customWidth="1" min="6" max="6"/>
    <col width="3" customWidth="1" min="7" max="7"/>
    <col width="38" customWidth="1" min="8" max="8"/>
    <col width="12" customWidth="1" min="9" max="9"/>
    <col width="16" customWidth="1" min="10" max="10"/>
    <col width="14" customWidth="1" min="11" max="11"/>
  </cols>
  <sheetData>
    <row r="1">
      <c r="A1" s="17" t="inlineStr">
        <is>
          <t>받은 가족</t>
        </is>
      </c>
      <c r="B1" s="34">
        <f>'가족 목록'!A2</f>
        <v/>
      </c>
      <c r="C1" s="17" t="inlineStr">
        <is>
          <t>합계</t>
        </is>
      </c>
      <c r="D1" s="35">
        <f>SUMIFS('부의금 입력'!$C$2:$C$1001,'부의금 입력'!$A$2:$A$1001,$B$1,'부의금 입력'!$G$2:$G$1001,"&gt;0")</f>
        <v/>
      </c>
      <c r="E1" s="17" t="inlineStr">
        <is>
          <t>건수</t>
        </is>
      </c>
      <c r="F1" s="36">
        <f>COUNTIFS('부의금 입력'!$A$2:$A$1001,$B$1,'부의금 입력'!$G$2:$G$1001,"&gt;0")</f>
        <v/>
      </c>
      <c r="H1" s="17" t="inlineStr">
        <is>
          <t>조화·물품</t>
        </is>
      </c>
      <c r="I1" s="37">
        <f>COUNTIF('근조 화환'!$A$2:$A$501,$B$1)</f>
        <v/>
      </c>
    </row>
    <row r="2">
      <c r="A2" s="38" t="inlineStr">
        <is>
          <t>▲ 노란 칸에서 이름을 고르면 그분 명단이 나옵니다.</t>
        </is>
      </c>
    </row>
    <row r="3">
      <c r="A3" s="18" t="inlineStr">
        <is>
          <t>번호</t>
        </is>
      </c>
      <c r="B3" s="18" t="inlineStr">
        <is>
          <t>이름</t>
        </is>
      </c>
      <c r="C3" s="18" t="inlineStr">
        <is>
          <t>금액</t>
        </is>
      </c>
      <c r="D3" s="18" t="inlineStr">
        <is>
          <t>소속·관계</t>
        </is>
      </c>
      <c r="E3" s="18" t="inlineStr">
        <is>
          <t>메모</t>
        </is>
      </c>
      <c r="H3" s="18" t="inlineStr">
        <is>
          <t>보낸 분</t>
        </is>
      </c>
      <c r="I3" s="18" t="inlineStr">
        <is>
          <t>종류</t>
        </is>
      </c>
      <c r="J3" s="18" t="inlineStr">
        <is>
          <t>소속·관계</t>
        </is>
      </c>
      <c r="K3" s="18" t="inlineStr">
        <is>
          <t>메모</t>
        </is>
      </c>
    </row>
    <row r="4">
      <c r="A4" s="19">
        <f>IF(1&lt;=$F$1,1,"")</f>
        <v/>
      </c>
      <c r="B4" s="19">
        <f>IF($A4="","",INDEX('부의금 입력'!$B$2:$B$1001,MATCH($A4,'부의금 입력'!$H$2:$H$1001,0))&amp;"")</f>
        <v/>
      </c>
      <c r="C4" s="21">
        <f>IF($A4="","",INDEX('부의금 입력'!$C$2:$C$1001,MATCH($A4,'부의금 입력'!$H$2:$H$1001,0)))</f>
        <v/>
      </c>
      <c r="D4" s="19">
        <f>IF($A4="","",INDEX('부의금 입력'!$D$2:$D$1001,MATCH($A4,'부의금 입력'!$H$2:$H$1001,0))&amp;"")</f>
        <v/>
      </c>
      <c r="E4" s="19">
        <f>IF($A4="","",INDEX('부의금 입력'!$E$2:$E$1001,MATCH($A4,'부의금 입력'!$H$2:$H$1001,0))&amp;"")</f>
        <v/>
      </c>
      <c r="H4" s="19">
        <f>IF(1&gt;$I$1,"",INDEX('근조 화환'!$B$2:$B$501,MATCH(1,'근조 화환'!$G$2:$G$501,0))&amp;"")</f>
        <v/>
      </c>
      <c r="I4" s="19">
        <f>IF(1&gt;$I$1,"",INDEX('근조 화환'!$C$2:$C$501,MATCH(1,'근조 화환'!$G$2:$G$501,0))&amp;"")</f>
        <v/>
      </c>
      <c r="J4" s="19">
        <f>IF(1&gt;$I$1,"",INDEX('근조 화환'!$D$2:$D$501,MATCH(1,'근조 화환'!$G$2:$G$501,0))&amp;"")</f>
        <v/>
      </c>
      <c r="K4" s="19">
        <f>IF(1&gt;$I$1,"",INDEX('근조 화환'!$E$2:$E$501,MATCH(1,'근조 화환'!$G$2:$G$501,0))&amp;"")</f>
        <v/>
      </c>
    </row>
    <row r="5">
      <c r="A5" s="19">
        <f>IF(2&lt;=$F$1,2,"")</f>
        <v/>
      </c>
      <c r="B5" s="19">
        <f>IF($A5="","",INDEX('부의금 입력'!$B$2:$B$1001,MATCH($A5,'부의금 입력'!$H$2:$H$1001,0))&amp;"")</f>
        <v/>
      </c>
      <c r="C5" s="21">
        <f>IF($A5="","",INDEX('부의금 입력'!$C$2:$C$1001,MATCH($A5,'부의금 입력'!$H$2:$H$1001,0)))</f>
        <v/>
      </c>
      <c r="D5" s="19">
        <f>IF($A5="","",INDEX('부의금 입력'!$D$2:$D$1001,MATCH($A5,'부의금 입력'!$H$2:$H$1001,0))&amp;"")</f>
        <v/>
      </c>
      <c r="E5" s="19">
        <f>IF($A5="","",INDEX('부의금 입력'!$E$2:$E$1001,MATCH($A5,'부의금 입력'!$H$2:$H$1001,0))&amp;"")</f>
        <v/>
      </c>
      <c r="H5" s="19">
        <f>IF(2&gt;$I$1,"",INDEX('근조 화환'!$B$2:$B$501,MATCH(2,'근조 화환'!$G$2:$G$501,0))&amp;"")</f>
        <v/>
      </c>
      <c r="I5" s="19">
        <f>IF(2&gt;$I$1,"",INDEX('근조 화환'!$C$2:$C$501,MATCH(2,'근조 화환'!$G$2:$G$501,0))&amp;"")</f>
        <v/>
      </c>
      <c r="J5" s="19">
        <f>IF(2&gt;$I$1,"",INDEX('근조 화환'!$D$2:$D$501,MATCH(2,'근조 화환'!$G$2:$G$501,0))&amp;"")</f>
        <v/>
      </c>
      <c r="K5" s="19">
        <f>IF(2&gt;$I$1,"",INDEX('근조 화환'!$E$2:$E$501,MATCH(2,'근조 화환'!$G$2:$G$501,0))&amp;"")</f>
        <v/>
      </c>
    </row>
    <row r="6">
      <c r="A6" s="19">
        <f>IF(3&lt;=$F$1,3,"")</f>
        <v/>
      </c>
      <c r="B6" s="19">
        <f>IF($A6="","",INDEX('부의금 입력'!$B$2:$B$1001,MATCH($A6,'부의금 입력'!$H$2:$H$1001,0))&amp;"")</f>
        <v/>
      </c>
      <c r="C6" s="21">
        <f>IF($A6="","",INDEX('부의금 입력'!$C$2:$C$1001,MATCH($A6,'부의금 입력'!$H$2:$H$1001,0)))</f>
        <v/>
      </c>
      <c r="D6" s="19">
        <f>IF($A6="","",INDEX('부의금 입력'!$D$2:$D$1001,MATCH($A6,'부의금 입력'!$H$2:$H$1001,0))&amp;"")</f>
        <v/>
      </c>
      <c r="E6" s="19">
        <f>IF($A6="","",INDEX('부의금 입력'!$E$2:$E$1001,MATCH($A6,'부의금 입력'!$H$2:$H$1001,0))&amp;"")</f>
        <v/>
      </c>
      <c r="H6" s="19">
        <f>IF(3&gt;$I$1,"",INDEX('근조 화환'!$B$2:$B$501,MATCH(3,'근조 화환'!$G$2:$G$501,0))&amp;"")</f>
        <v/>
      </c>
      <c r="I6" s="19">
        <f>IF(3&gt;$I$1,"",INDEX('근조 화환'!$C$2:$C$501,MATCH(3,'근조 화환'!$G$2:$G$501,0))&amp;"")</f>
        <v/>
      </c>
      <c r="J6" s="19">
        <f>IF(3&gt;$I$1,"",INDEX('근조 화환'!$D$2:$D$501,MATCH(3,'근조 화환'!$G$2:$G$501,0))&amp;"")</f>
        <v/>
      </c>
      <c r="K6" s="19">
        <f>IF(3&gt;$I$1,"",INDEX('근조 화환'!$E$2:$E$501,MATCH(3,'근조 화환'!$G$2:$G$501,0))&amp;"")</f>
        <v/>
      </c>
    </row>
    <row r="7">
      <c r="A7" s="19">
        <f>IF(4&lt;=$F$1,4,"")</f>
        <v/>
      </c>
      <c r="B7" s="19">
        <f>IF($A7="","",INDEX('부의금 입력'!$B$2:$B$1001,MATCH($A7,'부의금 입력'!$H$2:$H$1001,0))&amp;"")</f>
        <v/>
      </c>
      <c r="C7" s="21">
        <f>IF($A7="","",INDEX('부의금 입력'!$C$2:$C$1001,MATCH($A7,'부의금 입력'!$H$2:$H$1001,0)))</f>
        <v/>
      </c>
      <c r="D7" s="19">
        <f>IF($A7="","",INDEX('부의금 입력'!$D$2:$D$1001,MATCH($A7,'부의금 입력'!$H$2:$H$1001,0))&amp;"")</f>
        <v/>
      </c>
      <c r="E7" s="19">
        <f>IF($A7="","",INDEX('부의금 입력'!$E$2:$E$1001,MATCH($A7,'부의금 입력'!$H$2:$H$1001,0))&amp;"")</f>
        <v/>
      </c>
      <c r="H7" s="19">
        <f>IF(4&gt;$I$1,"",INDEX('근조 화환'!$B$2:$B$501,MATCH(4,'근조 화환'!$G$2:$G$501,0))&amp;"")</f>
        <v/>
      </c>
      <c r="I7" s="19">
        <f>IF(4&gt;$I$1,"",INDEX('근조 화환'!$C$2:$C$501,MATCH(4,'근조 화환'!$G$2:$G$501,0))&amp;"")</f>
        <v/>
      </c>
      <c r="J7" s="19">
        <f>IF(4&gt;$I$1,"",INDEX('근조 화환'!$D$2:$D$501,MATCH(4,'근조 화환'!$G$2:$G$501,0))&amp;"")</f>
        <v/>
      </c>
      <c r="K7" s="19">
        <f>IF(4&gt;$I$1,"",INDEX('근조 화환'!$E$2:$E$501,MATCH(4,'근조 화환'!$G$2:$G$501,0))&amp;"")</f>
        <v/>
      </c>
    </row>
    <row r="8">
      <c r="A8" s="19">
        <f>IF(5&lt;=$F$1,5,"")</f>
        <v/>
      </c>
      <c r="B8" s="19">
        <f>IF($A8="","",INDEX('부의금 입력'!$B$2:$B$1001,MATCH($A8,'부의금 입력'!$H$2:$H$1001,0))&amp;"")</f>
        <v/>
      </c>
      <c r="C8" s="21">
        <f>IF($A8="","",INDEX('부의금 입력'!$C$2:$C$1001,MATCH($A8,'부의금 입력'!$H$2:$H$1001,0)))</f>
        <v/>
      </c>
      <c r="D8" s="19">
        <f>IF($A8="","",INDEX('부의금 입력'!$D$2:$D$1001,MATCH($A8,'부의금 입력'!$H$2:$H$1001,0))&amp;"")</f>
        <v/>
      </c>
      <c r="E8" s="19">
        <f>IF($A8="","",INDEX('부의금 입력'!$E$2:$E$1001,MATCH($A8,'부의금 입력'!$H$2:$H$1001,0))&amp;"")</f>
        <v/>
      </c>
      <c r="H8" s="19">
        <f>IF(5&gt;$I$1,"",INDEX('근조 화환'!$B$2:$B$501,MATCH(5,'근조 화환'!$G$2:$G$501,0))&amp;"")</f>
        <v/>
      </c>
      <c r="I8" s="19">
        <f>IF(5&gt;$I$1,"",INDEX('근조 화환'!$C$2:$C$501,MATCH(5,'근조 화환'!$G$2:$G$501,0))&amp;"")</f>
        <v/>
      </c>
      <c r="J8" s="19">
        <f>IF(5&gt;$I$1,"",INDEX('근조 화환'!$D$2:$D$501,MATCH(5,'근조 화환'!$G$2:$G$501,0))&amp;"")</f>
        <v/>
      </c>
      <c r="K8" s="19">
        <f>IF(5&gt;$I$1,"",INDEX('근조 화환'!$E$2:$E$501,MATCH(5,'근조 화환'!$G$2:$G$501,0))&amp;"")</f>
        <v/>
      </c>
    </row>
    <row r="9">
      <c r="A9" s="19">
        <f>IF(6&lt;=$F$1,6,"")</f>
        <v/>
      </c>
      <c r="B9" s="19">
        <f>IF($A9="","",INDEX('부의금 입력'!$B$2:$B$1001,MATCH($A9,'부의금 입력'!$H$2:$H$1001,0))&amp;"")</f>
        <v/>
      </c>
      <c r="C9" s="21">
        <f>IF($A9="","",INDEX('부의금 입력'!$C$2:$C$1001,MATCH($A9,'부의금 입력'!$H$2:$H$1001,0)))</f>
        <v/>
      </c>
      <c r="D9" s="19">
        <f>IF($A9="","",INDEX('부의금 입력'!$D$2:$D$1001,MATCH($A9,'부의금 입력'!$H$2:$H$1001,0))&amp;"")</f>
        <v/>
      </c>
      <c r="E9" s="19">
        <f>IF($A9="","",INDEX('부의금 입력'!$E$2:$E$1001,MATCH($A9,'부의금 입력'!$H$2:$H$1001,0))&amp;"")</f>
        <v/>
      </c>
      <c r="H9" s="19">
        <f>IF(6&gt;$I$1,"",INDEX('근조 화환'!$B$2:$B$501,MATCH(6,'근조 화환'!$G$2:$G$501,0))&amp;"")</f>
        <v/>
      </c>
      <c r="I9" s="19">
        <f>IF(6&gt;$I$1,"",INDEX('근조 화환'!$C$2:$C$501,MATCH(6,'근조 화환'!$G$2:$G$501,0))&amp;"")</f>
        <v/>
      </c>
      <c r="J9" s="19">
        <f>IF(6&gt;$I$1,"",INDEX('근조 화환'!$D$2:$D$501,MATCH(6,'근조 화환'!$G$2:$G$501,0))&amp;"")</f>
        <v/>
      </c>
      <c r="K9" s="19">
        <f>IF(6&gt;$I$1,"",INDEX('근조 화환'!$E$2:$E$501,MATCH(6,'근조 화환'!$G$2:$G$501,0))&amp;"")</f>
        <v/>
      </c>
    </row>
    <row r="10">
      <c r="A10" s="19">
        <f>IF(7&lt;=$F$1,7,"")</f>
        <v/>
      </c>
      <c r="B10" s="19">
        <f>IF($A10="","",INDEX('부의금 입력'!$B$2:$B$1001,MATCH($A10,'부의금 입력'!$H$2:$H$1001,0))&amp;"")</f>
        <v/>
      </c>
      <c r="C10" s="21">
        <f>IF($A10="","",INDEX('부의금 입력'!$C$2:$C$1001,MATCH($A10,'부의금 입력'!$H$2:$H$1001,0)))</f>
        <v/>
      </c>
      <c r="D10" s="19">
        <f>IF($A10="","",INDEX('부의금 입력'!$D$2:$D$1001,MATCH($A10,'부의금 입력'!$H$2:$H$1001,0))&amp;"")</f>
        <v/>
      </c>
      <c r="E10" s="19">
        <f>IF($A10="","",INDEX('부의금 입력'!$E$2:$E$1001,MATCH($A10,'부의금 입력'!$H$2:$H$1001,0))&amp;"")</f>
        <v/>
      </c>
      <c r="H10" s="19">
        <f>IF(7&gt;$I$1,"",INDEX('근조 화환'!$B$2:$B$501,MATCH(7,'근조 화환'!$G$2:$G$501,0))&amp;"")</f>
        <v/>
      </c>
      <c r="I10" s="19">
        <f>IF(7&gt;$I$1,"",INDEX('근조 화환'!$C$2:$C$501,MATCH(7,'근조 화환'!$G$2:$G$501,0))&amp;"")</f>
        <v/>
      </c>
      <c r="J10" s="19">
        <f>IF(7&gt;$I$1,"",INDEX('근조 화환'!$D$2:$D$501,MATCH(7,'근조 화환'!$G$2:$G$501,0))&amp;"")</f>
        <v/>
      </c>
      <c r="K10" s="19">
        <f>IF(7&gt;$I$1,"",INDEX('근조 화환'!$E$2:$E$501,MATCH(7,'근조 화환'!$G$2:$G$501,0))&amp;"")</f>
        <v/>
      </c>
    </row>
    <row r="11">
      <c r="A11" s="19">
        <f>IF(8&lt;=$F$1,8,"")</f>
        <v/>
      </c>
      <c r="B11" s="19">
        <f>IF($A11="","",INDEX('부의금 입력'!$B$2:$B$1001,MATCH($A11,'부의금 입력'!$H$2:$H$1001,0))&amp;"")</f>
        <v/>
      </c>
      <c r="C11" s="21">
        <f>IF($A11="","",INDEX('부의금 입력'!$C$2:$C$1001,MATCH($A11,'부의금 입력'!$H$2:$H$1001,0)))</f>
        <v/>
      </c>
      <c r="D11" s="19">
        <f>IF($A11="","",INDEX('부의금 입력'!$D$2:$D$1001,MATCH($A11,'부의금 입력'!$H$2:$H$1001,0))&amp;"")</f>
        <v/>
      </c>
      <c r="E11" s="19">
        <f>IF($A11="","",INDEX('부의금 입력'!$E$2:$E$1001,MATCH($A11,'부의금 입력'!$H$2:$H$1001,0))&amp;"")</f>
        <v/>
      </c>
      <c r="H11" s="19">
        <f>IF(8&gt;$I$1,"",INDEX('근조 화환'!$B$2:$B$501,MATCH(8,'근조 화환'!$G$2:$G$501,0))&amp;"")</f>
        <v/>
      </c>
      <c r="I11" s="19">
        <f>IF(8&gt;$I$1,"",INDEX('근조 화환'!$C$2:$C$501,MATCH(8,'근조 화환'!$G$2:$G$501,0))&amp;"")</f>
        <v/>
      </c>
      <c r="J11" s="19">
        <f>IF(8&gt;$I$1,"",INDEX('근조 화환'!$D$2:$D$501,MATCH(8,'근조 화환'!$G$2:$G$501,0))&amp;"")</f>
        <v/>
      </c>
      <c r="K11" s="19">
        <f>IF(8&gt;$I$1,"",INDEX('근조 화환'!$E$2:$E$501,MATCH(8,'근조 화환'!$G$2:$G$501,0))&amp;"")</f>
        <v/>
      </c>
    </row>
    <row r="12">
      <c r="A12" s="19">
        <f>IF(9&lt;=$F$1,9,"")</f>
        <v/>
      </c>
      <c r="B12" s="19">
        <f>IF($A12="","",INDEX('부의금 입력'!$B$2:$B$1001,MATCH($A12,'부의금 입력'!$H$2:$H$1001,0))&amp;"")</f>
        <v/>
      </c>
      <c r="C12" s="21">
        <f>IF($A12="","",INDEX('부의금 입력'!$C$2:$C$1001,MATCH($A12,'부의금 입력'!$H$2:$H$1001,0)))</f>
        <v/>
      </c>
      <c r="D12" s="19">
        <f>IF($A12="","",INDEX('부의금 입력'!$D$2:$D$1001,MATCH($A12,'부의금 입력'!$H$2:$H$1001,0))&amp;"")</f>
        <v/>
      </c>
      <c r="E12" s="19">
        <f>IF($A12="","",INDEX('부의금 입력'!$E$2:$E$1001,MATCH($A12,'부의금 입력'!$H$2:$H$1001,0))&amp;"")</f>
        <v/>
      </c>
      <c r="H12" s="19">
        <f>IF(9&gt;$I$1,"",INDEX('근조 화환'!$B$2:$B$501,MATCH(9,'근조 화환'!$G$2:$G$501,0))&amp;"")</f>
        <v/>
      </c>
      <c r="I12" s="19">
        <f>IF(9&gt;$I$1,"",INDEX('근조 화환'!$C$2:$C$501,MATCH(9,'근조 화환'!$G$2:$G$501,0))&amp;"")</f>
        <v/>
      </c>
      <c r="J12" s="19">
        <f>IF(9&gt;$I$1,"",INDEX('근조 화환'!$D$2:$D$501,MATCH(9,'근조 화환'!$G$2:$G$501,0))&amp;"")</f>
        <v/>
      </c>
      <c r="K12" s="19">
        <f>IF(9&gt;$I$1,"",INDEX('근조 화환'!$E$2:$E$501,MATCH(9,'근조 화환'!$G$2:$G$501,0))&amp;"")</f>
        <v/>
      </c>
    </row>
    <row r="13">
      <c r="A13" s="19">
        <f>IF(10&lt;=$F$1,10,"")</f>
        <v/>
      </c>
      <c r="B13" s="19">
        <f>IF($A13="","",INDEX('부의금 입력'!$B$2:$B$1001,MATCH($A13,'부의금 입력'!$H$2:$H$1001,0))&amp;"")</f>
        <v/>
      </c>
      <c r="C13" s="21">
        <f>IF($A13="","",INDEX('부의금 입력'!$C$2:$C$1001,MATCH($A13,'부의금 입력'!$H$2:$H$1001,0)))</f>
        <v/>
      </c>
      <c r="D13" s="19">
        <f>IF($A13="","",INDEX('부의금 입력'!$D$2:$D$1001,MATCH($A13,'부의금 입력'!$H$2:$H$1001,0))&amp;"")</f>
        <v/>
      </c>
      <c r="E13" s="19">
        <f>IF($A13="","",INDEX('부의금 입력'!$E$2:$E$1001,MATCH($A13,'부의금 입력'!$H$2:$H$1001,0))&amp;"")</f>
        <v/>
      </c>
      <c r="H13" s="19">
        <f>IF(10&gt;$I$1,"",INDEX('근조 화환'!$B$2:$B$501,MATCH(10,'근조 화환'!$G$2:$G$501,0))&amp;"")</f>
        <v/>
      </c>
      <c r="I13" s="19">
        <f>IF(10&gt;$I$1,"",INDEX('근조 화환'!$C$2:$C$501,MATCH(10,'근조 화환'!$G$2:$G$501,0))&amp;"")</f>
        <v/>
      </c>
      <c r="J13" s="19">
        <f>IF(10&gt;$I$1,"",INDEX('근조 화환'!$D$2:$D$501,MATCH(10,'근조 화환'!$G$2:$G$501,0))&amp;"")</f>
        <v/>
      </c>
      <c r="K13" s="19">
        <f>IF(10&gt;$I$1,"",INDEX('근조 화환'!$E$2:$E$501,MATCH(10,'근조 화환'!$G$2:$G$501,0))&amp;"")</f>
        <v/>
      </c>
    </row>
    <row r="14">
      <c r="A14" s="19">
        <f>IF(11&lt;=$F$1,11,"")</f>
        <v/>
      </c>
      <c r="B14" s="19">
        <f>IF($A14="","",INDEX('부의금 입력'!$B$2:$B$1001,MATCH($A14,'부의금 입력'!$H$2:$H$1001,0))&amp;"")</f>
        <v/>
      </c>
      <c r="C14" s="21">
        <f>IF($A14="","",INDEX('부의금 입력'!$C$2:$C$1001,MATCH($A14,'부의금 입력'!$H$2:$H$1001,0)))</f>
        <v/>
      </c>
      <c r="D14" s="19">
        <f>IF($A14="","",INDEX('부의금 입력'!$D$2:$D$1001,MATCH($A14,'부의금 입력'!$H$2:$H$1001,0))&amp;"")</f>
        <v/>
      </c>
      <c r="E14" s="19">
        <f>IF($A14="","",INDEX('부의금 입력'!$E$2:$E$1001,MATCH($A14,'부의금 입력'!$H$2:$H$1001,0))&amp;"")</f>
        <v/>
      </c>
      <c r="H14" s="19">
        <f>IF(11&gt;$I$1,"",INDEX('근조 화환'!$B$2:$B$501,MATCH(11,'근조 화환'!$G$2:$G$501,0))&amp;"")</f>
        <v/>
      </c>
      <c r="I14" s="19">
        <f>IF(11&gt;$I$1,"",INDEX('근조 화환'!$C$2:$C$501,MATCH(11,'근조 화환'!$G$2:$G$501,0))&amp;"")</f>
        <v/>
      </c>
      <c r="J14" s="19">
        <f>IF(11&gt;$I$1,"",INDEX('근조 화환'!$D$2:$D$501,MATCH(11,'근조 화환'!$G$2:$G$501,0))&amp;"")</f>
        <v/>
      </c>
      <c r="K14" s="19">
        <f>IF(11&gt;$I$1,"",INDEX('근조 화환'!$E$2:$E$501,MATCH(11,'근조 화환'!$G$2:$G$501,0))&amp;"")</f>
        <v/>
      </c>
    </row>
    <row r="15">
      <c r="A15" s="19">
        <f>IF(12&lt;=$F$1,12,"")</f>
        <v/>
      </c>
      <c r="B15" s="19">
        <f>IF($A15="","",INDEX('부의금 입력'!$B$2:$B$1001,MATCH($A15,'부의금 입력'!$H$2:$H$1001,0))&amp;"")</f>
        <v/>
      </c>
      <c r="C15" s="21">
        <f>IF($A15="","",INDEX('부의금 입력'!$C$2:$C$1001,MATCH($A15,'부의금 입력'!$H$2:$H$1001,0)))</f>
        <v/>
      </c>
      <c r="D15" s="19">
        <f>IF($A15="","",INDEX('부의금 입력'!$D$2:$D$1001,MATCH($A15,'부의금 입력'!$H$2:$H$1001,0))&amp;"")</f>
        <v/>
      </c>
      <c r="E15" s="19">
        <f>IF($A15="","",INDEX('부의금 입력'!$E$2:$E$1001,MATCH($A15,'부의금 입력'!$H$2:$H$1001,0))&amp;"")</f>
        <v/>
      </c>
      <c r="H15" s="19">
        <f>IF(12&gt;$I$1,"",INDEX('근조 화환'!$B$2:$B$501,MATCH(12,'근조 화환'!$G$2:$G$501,0))&amp;"")</f>
        <v/>
      </c>
      <c r="I15" s="19">
        <f>IF(12&gt;$I$1,"",INDEX('근조 화환'!$C$2:$C$501,MATCH(12,'근조 화환'!$G$2:$G$501,0))&amp;"")</f>
        <v/>
      </c>
      <c r="J15" s="19">
        <f>IF(12&gt;$I$1,"",INDEX('근조 화환'!$D$2:$D$501,MATCH(12,'근조 화환'!$G$2:$G$501,0))&amp;"")</f>
        <v/>
      </c>
      <c r="K15" s="19">
        <f>IF(12&gt;$I$1,"",INDEX('근조 화환'!$E$2:$E$501,MATCH(12,'근조 화환'!$G$2:$G$501,0))&amp;"")</f>
        <v/>
      </c>
    </row>
    <row r="16">
      <c r="A16" s="19">
        <f>IF(13&lt;=$F$1,13,"")</f>
        <v/>
      </c>
      <c r="B16" s="19">
        <f>IF($A16="","",INDEX('부의금 입력'!$B$2:$B$1001,MATCH($A16,'부의금 입력'!$H$2:$H$1001,0))&amp;"")</f>
        <v/>
      </c>
      <c r="C16" s="21">
        <f>IF($A16="","",INDEX('부의금 입력'!$C$2:$C$1001,MATCH($A16,'부의금 입력'!$H$2:$H$1001,0)))</f>
        <v/>
      </c>
      <c r="D16" s="19">
        <f>IF($A16="","",INDEX('부의금 입력'!$D$2:$D$1001,MATCH($A16,'부의금 입력'!$H$2:$H$1001,0))&amp;"")</f>
        <v/>
      </c>
      <c r="E16" s="19">
        <f>IF($A16="","",INDEX('부의금 입력'!$E$2:$E$1001,MATCH($A16,'부의금 입력'!$H$2:$H$1001,0))&amp;"")</f>
        <v/>
      </c>
      <c r="H16" s="19">
        <f>IF(13&gt;$I$1,"",INDEX('근조 화환'!$B$2:$B$501,MATCH(13,'근조 화환'!$G$2:$G$501,0))&amp;"")</f>
        <v/>
      </c>
      <c r="I16" s="19">
        <f>IF(13&gt;$I$1,"",INDEX('근조 화환'!$C$2:$C$501,MATCH(13,'근조 화환'!$G$2:$G$501,0))&amp;"")</f>
        <v/>
      </c>
      <c r="J16" s="19">
        <f>IF(13&gt;$I$1,"",INDEX('근조 화환'!$D$2:$D$501,MATCH(13,'근조 화환'!$G$2:$G$501,0))&amp;"")</f>
        <v/>
      </c>
      <c r="K16" s="19">
        <f>IF(13&gt;$I$1,"",INDEX('근조 화환'!$E$2:$E$501,MATCH(13,'근조 화환'!$G$2:$G$501,0))&amp;"")</f>
        <v/>
      </c>
    </row>
    <row r="17">
      <c r="A17" s="19">
        <f>IF(14&lt;=$F$1,14,"")</f>
        <v/>
      </c>
      <c r="B17" s="19">
        <f>IF($A17="","",INDEX('부의금 입력'!$B$2:$B$1001,MATCH($A17,'부의금 입력'!$H$2:$H$1001,0))&amp;"")</f>
        <v/>
      </c>
      <c r="C17" s="21">
        <f>IF($A17="","",INDEX('부의금 입력'!$C$2:$C$1001,MATCH($A17,'부의금 입력'!$H$2:$H$1001,0)))</f>
        <v/>
      </c>
      <c r="D17" s="19">
        <f>IF($A17="","",INDEX('부의금 입력'!$D$2:$D$1001,MATCH($A17,'부의금 입력'!$H$2:$H$1001,0))&amp;"")</f>
        <v/>
      </c>
      <c r="E17" s="19">
        <f>IF($A17="","",INDEX('부의금 입력'!$E$2:$E$1001,MATCH($A17,'부의금 입력'!$H$2:$H$1001,0))&amp;"")</f>
        <v/>
      </c>
      <c r="H17" s="19">
        <f>IF(14&gt;$I$1,"",INDEX('근조 화환'!$B$2:$B$501,MATCH(14,'근조 화환'!$G$2:$G$501,0))&amp;"")</f>
        <v/>
      </c>
      <c r="I17" s="19">
        <f>IF(14&gt;$I$1,"",INDEX('근조 화환'!$C$2:$C$501,MATCH(14,'근조 화환'!$G$2:$G$501,0))&amp;"")</f>
        <v/>
      </c>
      <c r="J17" s="19">
        <f>IF(14&gt;$I$1,"",INDEX('근조 화환'!$D$2:$D$501,MATCH(14,'근조 화환'!$G$2:$G$501,0))&amp;"")</f>
        <v/>
      </c>
      <c r="K17" s="19">
        <f>IF(14&gt;$I$1,"",INDEX('근조 화환'!$E$2:$E$501,MATCH(14,'근조 화환'!$G$2:$G$501,0))&amp;"")</f>
        <v/>
      </c>
    </row>
    <row r="18">
      <c r="A18" s="19">
        <f>IF(15&lt;=$F$1,15,"")</f>
        <v/>
      </c>
      <c r="B18" s="19">
        <f>IF($A18="","",INDEX('부의금 입력'!$B$2:$B$1001,MATCH($A18,'부의금 입력'!$H$2:$H$1001,0))&amp;"")</f>
        <v/>
      </c>
      <c r="C18" s="21">
        <f>IF($A18="","",INDEX('부의금 입력'!$C$2:$C$1001,MATCH($A18,'부의금 입력'!$H$2:$H$1001,0)))</f>
        <v/>
      </c>
      <c r="D18" s="19">
        <f>IF($A18="","",INDEX('부의금 입력'!$D$2:$D$1001,MATCH($A18,'부의금 입력'!$H$2:$H$1001,0))&amp;"")</f>
        <v/>
      </c>
      <c r="E18" s="19">
        <f>IF($A18="","",INDEX('부의금 입력'!$E$2:$E$1001,MATCH($A18,'부의금 입력'!$H$2:$H$1001,0))&amp;"")</f>
        <v/>
      </c>
      <c r="H18" s="19">
        <f>IF(15&gt;$I$1,"",INDEX('근조 화환'!$B$2:$B$501,MATCH(15,'근조 화환'!$G$2:$G$501,0))&amp;"")</f>
        <v/>
      </c>
      <c r="I18" s="19">
        <f>IF(15&gt;$I$1,"",INDEX('근조 화환'!$C$2:$C$501,MATCH(15,'근조 화환'!$G$2:$G$501,0))&amp;"")</f>
        <v/>
      </c>
      <c r="J18" s="19">
        <f>IF(15&gt;$I$1,"",INDEX('근조 화환'!$D$2:$D$501,MATCH(15,'근조 화환'!$G$2:$G$501,0))&amp;"")</f>
        <v/>
      </c>
      <c r="K18" s="19">
        <f>IF(15&gt;$I$1,"",INDEX('근조 화환'!$E$2:$E$501,MATCH(15,'근조 화환'!$G$2:$G$501,0))&amp;"")</f>
        <v/>
      </c>
    </row>
    <row r="19">
      <c r="A19" s="19">
        <f>IF(16&lt;=$F$1,16,"")</f>
        <v/>
      </c>
      <c r="B19" s="19">
        <f>IF($A19="","",INDEX('부의금 입력'!$B$2:$B$1001,MATCH($A19,'부의금 입력'!$H$2:$H$1001,0))&amp;"")</f>
        <v/>
      </c>
      <c r="C19" s="21">
        <f>IF($A19="","",INDEX('부의금 입력'!$C$2:$C$1001,MATCH($A19,'부의금 입력'!$H$2:$H$1001,0)))</f>
        <v/>
      </c>
      <c r="D19" s="19">
        <f>IF($A19="","",INDEX('부의금 입력'!$D$2:$D$1001,MATCH($A19,'부의금 입력'!$H$2:$H$1001,0))&amp;"")</f>
        <v/>
      </c>
      <c r="E19" s="19">
        <f>IF($A19="","",INDEX('부의금 입력'!$E$2:$E$1001,MATCH($A19,'부의금 입력'!$H$2:$H$1001,0))&amp;"")</f>
        <v/>
      </c>
      <c r="H19" s="19">
        <f>IF(16&gt;$I$1,"",INDEX('근조 화환'!$B$2:$B$501,MATCH(16,'근조 화환'!$G$2:$G$501,0))&amp;"")</f>
        <v/>
      </c>
      <c r="I19" s="19">
        <f>IF(16&gt;$I$1,"",INDEX('근조 화환'!$C$2:$C$501,MATCH(16,'근조 화환'!$G$2:$G$501,0))&amp;"")</f>
        <v/>
      </c>
      <c r="J19" s="19">
        <f>IF(16&gt;$I$1,"",INDEX('근조 화환'!$D$2:$D$501,MATCH(16,'근조 화환'!$G$2:$G$501,0))&amp;"")</f>
        <v/>
      </c>
      <c r="K19" s="19">
        <f>IF(16&gt;$I$1,"",INDEX('근조 화환'!$E$2:$E$501,MATCH(16,'근조 화환'!$G$2:$G$501,0))&amp;"")</f>
        <v/>
      </c>
    </row>
    <row r="20">
      <c r="A20" s="19">
        <f>IF(17&lt;=$F$1,17,"")</f>
        <v/>
      </c>
      <c r="B20" s="19">
        <f>IF($A20="","",INDEX('부의금 입력'!$B$2:$B$1001,MATCH($A20,'부의금 입력'!$H$2:$H$1001,0))&amp;"")</f>
        <v/>
      </c>
      <c r="C20" s="21">
        <f>IF($A20="","",INDEX('부의금 입력'!$C$2:$C$1001,MATCH($A20,'부의금 입력'!$H$2:$H$1001,0)))</f>
        <v/>
      </c>
      <c r="D20" s="19">
        <f>IF($A20="","",INDEX('부의금 입력'!$D$2:$D$1001,MATCH($A20,'부의금 입력'!$H$2:$H$1001,0))&amp;"")</f>
        <v/>
      </c>
      <c r="E20" s="19">
        <f>IF($A20="","",INDEX('부의금 입력'!$E$2:$E$1001,MATCH($A20,'부의금 입력'!$H$2:$H$1001,0))&amp;"")</f>
        <v/>
      </c>
      <c r="H20" s="19">
        <f>IF(17&gt;$I$1,"",INDEX('근조 화환'!$B$2:$B$501,MATCH(17,'근조 화환'!$G$2:$G$501,0))&amp;"")</f>
        <v/>
      </c>
      <c r="I20" s="19">
        <f>IF(17&gt;$I$1,"",INDEX('근조 화환'!$C$2:$C$501,MATCH(17,'근조 화환'!$G$2:$G$501,0))&amp;"")</f>
        <v/>
      </c>
      <c r="J20" s="19">
        <f>IF(17&gt;$I$1,"",INDEX('근조 화환'!$D$2:$D$501,MATCH(17,'근조 화환'!$G$2:$G$501,0))&amp;"")</f>
        <v/>
      </c>
      <c r="K20" s="19">
        <f>IF(17&gt;$I$1,"",INDEX('근조 화환'!$E$2:$E$501,MATCH(17,'근조 화환'!$G$2:$G$501,0))&amp;"")</f>
        <v/>
      </c>
    </row>
    <row r="21">
      <c r="A21" s="19">
        <f>IF(18&lt;=$F$1,18,"")</f>
        <v/>
      </c>
      <c r="B21" s="19">
        <f>IF($A21="","",INDEX('부의금 입력'!$B$2:$B$1001,MATCH($A21,'부의금 입력'!$H$2:$H$1001,0))&amp;"")</f>
        <v/>
      </c>
      <c r="C21" s="21">
        <f>IF($A21="","",INDEX('부의금 입력'!$C$2:$C$1001,MATCH($A21,'부의금 입력'!$H$2:$H$1001,0)))</f>
        <v/>
      </c>
      <c r="D21" s="19">
        <f>IF($A21="","",INDEX('부의금 입력'!$D$2:$D$1001,MATCH($A21,'부의금 입력'!$H$2:$H$1001,0))&amp;"")</f>
        <v/>
      </c>
      <c r="E21" s="19">
        <f>IF($A21="","",INDEX('부의금 입력'!$E$2:$E$1001,MATCH($A21,'부의금 입력'!$H$2:$H$1001,0))&amp;"")</f>
        <v/>
      </c>
      <c r="H21" s="19">
        <f>IF(18&gt;$I$1,"",INDEX('근조 화환'!$B$2:$B$501,MATCH(18,'근조 화환'!$G$2:$G$501,0))&amp;"")</f>
        <v/>
      </c>
      <c r="I21" s="19">
        <f>IF(18&gt;$I$1,"",INDEX('근조 화환'!$C$2:$C$501,MATCH(18,'근조 화환'!$G$2:$G$501,0))&amp;"")</f>
        <v/>
      </c>
      <c r="J21" s="19">
        <f>IF(18&gt;$I$1,"",INDEX('근조 화환'!$D$2:$D$501,MATCH(18,'근조 화환'!$G$2:$G$501,0))&amp;"")</f>
        <v/>
      </c>
      <c r="K21" s="19">
        <f>IF(18&gt;$I$1,"",INDEX('근조 화환'!$E$2:$E$501,MATCH(18,'근조 화환'!$G$2:$G$501,0))&amp;"")</f>
        <v/>
      </c>
    </row>
    <row r="22">
      <c r="A22" s="19">
        <f>IF(19&lt;=$F$1,19,"")</f>
        <v/>
      </c>
      <c r="B22" s="19">
        <f>IF($A22="","",INDEX('부의금 입력'!$B$2:$B$1001,MATCH($A22,'부의금 입력'!$H$2:$H$1001,0))&amp;"")</f>
        <v/>
      </c>
      <c r="C22" s="21">
        <f>IF($A22="","",INDEX('부의금 입력'!$C$2:$C$1001,MATCH($A22,'부의금 입력'!$H$2:$H$1001,0)))</f>
        <v/>
      </c>
      <c r="D22" s="19">
        <f>IF($A22="","",INDEX('부의금 입력'!$D$2:$D$1001,MATCH($A22,'부의금 입력'!$H$2:$H$1001,0))&amp;"")</f>
        <v/>
      </c>
      <c r="E22" s="19">
        <f>IF($A22="","",INDEX('부의금 입력'!$E$2:$E$1001,MATCH($A22,'부의금 입력'!$H$2:$H$1001,0))&amp;"")</f>
        <v/>
      </c>
      <c r="H22" s="19">
        <f>IF(19&gt;$I$1,"",INDEX('근조 화환'!$B$2:$B$501,MATCH(19,'근조 화환'!$G$2:$G$501,0))&amp;"")</f>
        <v/>
      </c>
      <c r="I22" s="19">
        <f>IF(19&gt;$I$1,"",INDEX('근조 화환'!$C$2:$C$501,MATCH(19,'근조 화환'!$G$2:$G$501,0))&amp;"")</f>
        <v/>
      </c>
      <c r="J22" s="19">
        <f>IF(19&gt;$I$1,"",INDEX('근조 화환'!$D$2:$D$501,MATCH(19,'근조 화환'!$G$2:$G$501,0))&amp;"")</f>
        <v/>
      </c>
      <c r="K22" s="19">
        <f>IF(19&gt;$I$1,"",INDEX('근조 화환'!$E$2:$E$501,MATCH(19,'근조 화환'!$G$2:$G$501,0))&amp;"")</f>
        <v/>
      </c>
    </row>
    <row r="23">
      <c r="A23" s="19">
        <f>IF(20&lt;=$F$1,20,"")</f>
        <v/>
      </c>
      <c r="B23" s="19">
        <f>IF($A23="","",INDEX('부의금 입력'!$B$2:$B$1001,MATCH($A23,'부의금 입력'!$H$2:$H$1001,0))&amp;"")</f>
        <v/>
      </c>
      <c r="C23" s="21">
        <f>IF($A23="","",INDEX('부의금 입력'!$C$2:$C$1001,MATCH($A23,'부의금 입력'!$H$2:$H$1001,0)))</f>
        <v/>
      </c>
      <c r="D23" s="19">
        <f>IF($A23="","",INDEX('부의금 입력'!$D$2:$D$1001,MATCH($A23,'부의금 입력'!$H$2:$H$1001,0))&amp;"")</f>
        <v/>
      </c>
      <c r="E23" s="19">
        <f>IF($A23="","",INDEX('부의금 입력'!$E$2:$E$1001,MATCH($A23,'부의금 입력'!$H$2:$H$1001,0))&amp;"")</f>
        <v/>
      </c>
      <c r="H23" s="19">
        <f>IF(20&gt;$I$1,"",INDEX('근조 화환'!$B$2:$B$501,MATCH(20,'근조 화환'!$G$2:$G$501,0))&amp;"")</f>
        <v/>
      </c>
      <c r="I23" s="19">
        <f>IF(20&gt;$I$1,"",INDEX('근조 화환'!$C$2:$C$501,MATCH(20,'근조 화환'!$G$2:$G$501,0))&amp;"")</f>
        <v/>
      </c>
      <c r="J23" s="19">
        <f>IF(20&gt;$I$1,"",INDEX('근조 화환'!$D$2:$D$501,MATCH(20,'근조 화환'!$G$2:$G$501,0))&amp;"")</f>
        <v/>
      </c>
      <c r="K23" s="19">
        <f>IF(20&gt;$I$1,"",INDEX('근조 화환'!$E$2:$E$501,MATCH(20,'근조 화환'!$G$2:$G$501,0))&amp;"")</f>
        <v/>
      </c>
    </row>
    <row r="24">
      <c r="A24" s="19">
        <f>IF(21&lt;=$F$1,21,"")</f>
        <v/>
      </c>
      <c r="B24" s="19">
        <f>IF($A24="","",INDEX('부의금 입력'!$B$2:$B$1001,MATCH($A24,'부의금 입력'!$H$2:$H$1001,0))&amp;"")</f>
        <v/>
      </c>
      <c r="C24" s="21">
        <f>IF($A24="","",INDEX('부의금 입력'!$C$2:$C$1001,MATCH($A24,'부의금 입력'!$H$2:$H$1001,0)))</f>
        <v/>
      </c>
      <c r="D24" s="19">
        <f>IF($A24="","",INDEX('부의금 입력'!$D$2:$D$1001,MATCH($A24,'부의금 입력'!$H$2:$H$1001,0))&amp;"")</f>
        <v/>
      </c>
      <c r="E24" s="19">
        <f>IF($A24="","",INDEX('부의금 입력'!$E$2:$E$1001,MATCH($A24,'부의금 입력'!$H$2:$H$1001,0))&amp;"")</f>
        <v/>
      </c>
      <c r="H24" s="19">
        <f>IF(21&gt;$I$1,"",INDEX('근조 화환'!$B$2:$B$501,MATCH(21,'근조 화환'!$G$2:$G$501,0))&amp;"")</f>
        <v/>
      </c>
      <c r="I24" s="19">
        <f>IF(21&gt;$I$1,"",INDEX('근조 화환'!$C$2:$C$501,MATCH(21,'근조 화환'!$G$2:$G$501,0))&amp;"")</f>
        <v/>
      </c>
      <c r="J24" s="19">
        <f>IF(21&gt;$I$1,"",INDEX('근조 화환'!$D$2:$D$501,MATCH(21,'근조 화환'!$G$2:$G$501,0))&amp;"")</f>
        <v/>
      </c>
      <c r="K24" s="19">
        <f>IF(21&gt;$I$1,"",INDEX('근조 화환'!$E$2:$E$501,MATCH(21,'근조 화환'!$G$2:$G$501,0))&amp;"")</f>
        <v/>
      </c>
    </row>
    <row r="25">
      <c r="A25" s="19">
        <f>IF(22&lt;=$F$1,22,"")</f>
        <v/>
      </c>
      <c r="B25" s="19">
        <f>IF($A25="","",INDEX('부의금 입력'!$B$2:$B$1001,MATCH($A25,'부의금 입력'!$H$2:$H$1001,0))&amp;"")</f>
        <v/>
      </c>
      <c r="C25" s="21">
        <f>IF($A25="","",INDEX('부의금 입력'!$C$2:$C$1001,MATCH($A25,'부의금 입력'!$H$2:$H$1001,0)))</f>
        <v/>
      </c>
      <c r="D25" s="19">
        <f>IF($A25="","",INDEX('부의금 입력'!$D$2:$D$1001,MATCH($A25,'부의금 입력'!$H$2:$H$1001,0))&amp;"")</f>
        <v/>
      </c>
      <c r="E25" s="19">
        <f>IF($A25="","",INDEX('부의금 입력'!$E$2:$E$1001,MATCH($A25,'부의금 입력'!$H$2:$H$1001,0))&amp;"")</f>
        <v/>
      </c>
      <c r="H25" s="19">
        <f>IF(22&gt;$I$1,"",INDEX('근조 화환'!$B$2:$B$501,MATCH(22,'근조 화환'!$G$2:$G$501,0))&amp;"")</f>
        <v/>
      </c>
      <c r="I25" s="19">
        <f>IF(22&gt;$I$1,"",INDEX('근조 화환'!$C$2:$C$501,MATCH(22,'근조 화환'!$G$2:$G$501,0))&amp;"")</f>
        <v/>
      </c>
      <c r="J25" s="19">
        <f>IF(22&gt;$I$1,"",INDEX('근조 화환'!$D$2:$D$501,MATCH(22,'근조 화환'!$G$2:$G$501,0))&amp;"")</f>
        <v/>
      </c>
      <c r="K25" s="19">
        <f>IF(22&gt;$I$1,"",INDEX('근조 화환'!$E$2:$E$501,MATCH(22,'근조 화환'!$G$2:$G$501,0))&amp;"")</f>
        <v/>
      </c>
    </row>
    <row r="26">
      <c r="A26" s="19">
        <f>IF(23&lt;=$F$1,23,"")</f>
        <v/>
      </c>
      <c r="B26" s="19">
        <f>IF($A26="","",INDEX('부의금 입력'!$B$2:$B$1001,MATCH($A26,'부의금 입력'!$H$2:$H$1001,0))&amp;"")</f>
        <v/>
      </c>
      <c r="C26" s="21">
        <f>IF($A26="","",INDEX('부의금 입력'!$C$2:$C$1001,MATCH($A26,'부의금 입력'!$H$2:$H$1001,0)))</f>
        <v/>
      </c>
      <c r="D26" s="19">
        <f>IF($A26="","",INDEX('부의금 입력'!$D$2:$D$1001,MATCH($A26,'부의금 입력'!$H$2:$H$1001,0))&amp;"")</f>
        <v/>
      </c>
      <c r="E26" s="19">
        <f>IF($A26="","",INDEX('부의금 입력'!$E$2:$E$1001,MATCH($A26,'부의금 입력'!$H$2:$H$1001,0))&amp;"")</f>
        <v/>
      </c>
      <c r="H26" s="19">
        <f>IF(23&gt;$I$1,"",INDEX('근조 화환'!$B$2:$B$501,MATCH(23,'근조 화환'!$G$2:$G$501,0))&amp;"")</f>
        <v/>
      </c>
      <c r="I26" s="19">
        <f>IF(23&gt;$I$1,"",INDEX('근조 화환'!$C$2:$C$501,MATCH(23,'근조 화환'!$G$2:$G$501,0))&amp;"")</f>
        <v/>
      </c>
      <c r="J26" s="19">
        <f>IF(23&gt;$I$1,"",INDEX('근조 화환'!$D$2:$D$501,MATCH(23,'근조 화환'!$G$2:$G$501,0))&amp;"")</f>
        <v/>
      </c>
      <c r="K26" s="19">
        <f>IF(23&gt;$I$1,"",INDEX('근조 화환'!$E$2:$E$501,MATCH(23,'근조 화환'!$G$2:$G$501,0))&amp;"")</f>
        <v/>
      </c>
    </row>
    <row r="27">
      <c r="A27" s="19">
        <f>IF(24&lt;=$F$1,24,"")</f>
        <v/>
      </c>
      <c r="B27" s="19">
        <f>IF($A27="","",INDEX('부의금 입력'!$B$2:$B$1001,MATCH($A27,'부의금 입력'!$H$2:$H$1001,0))&amp;"")</f>
        <v/>
      </c>
      <c r="C27" s="21">
        <f>IF($A27="","",INDEX('부의금 입력'!$C$2:$C$1001,MATCH($A27,'부의금 입력'!$H$2:$H$1001,0)))</f>
        <v/>
      </c>
      <c r="D27" s="19">
        <f>IF($A27="","",INDEX('부의금 입력'!$D$2:$D$1001,MATCH($A27,'부의금 입력'!$H$2:$H$1001,0))&amp;"")</f>
        <v/>
      </c>
      <c r="E27" s="19">
        <f>IF($A27="","",INDEX('부의금 입력'!$E$2:$E$1001,MATCH($A27,'부의금 입력'!$H$2:$H$1001,0))&amp;"")</f>
        <v/>
      </c>
      <c r="H27" s="19">
        <f>IF(24&gt;$I$1,"",INDEX('근조 화환'!$B$2:$B$501,MATCH(24,'근조 화환'!$G$2:$G$501,0))&amp;"")</f>
        <v/>
      </c>
      <c r="I27" s="19">
        <f>IF(24&gt;$I$1,"",INDEX('근조 화환'!$C$2:$C$501,MATCH(24,'근조 화환'!$G$2:$G$501,0))&amp;"")</f>
        <v/>
      </c>
      <c r="J27" s="19">
        <f>IF(24&gt;$I$1,"",INDEX('근조 화환'!$D$2:$D$501,MATCH(24,'근조 화환'!$G$2:$G$501,0))&amp;"")</f>
        <v/>
      </c>
      <c r="K27" s="19">
        <f>IF(24&gt;$I$1,"",INDEX('근조 화환'!$E$2:$E$501,MATCH(24,'근조 화환'!$G$2:$G$501,0))&amp;"")</f>
        <v/>
      </c>
    </row>
    <row r="28">
      <c r="A28" s="19">
        <f>IF(25&lt;=$F$1,25,"")</f>
        <v/>
      </c>
      <c r="B28" s="19">
        <f>IF($A28="","",INDEX('부의금 입력'!$B$2:$B$1001,MATCH($A28,'부의금 입력'!$H$2:$H$1001,0))&amp;"")</f>
        <v/>
      </c>
      <c r="C28" s="21">
        <f>IF($A28="","",INDEX('부의금 입력'!$C$2:$C$1001,MATCH($A28,'부의금 입력'!$H$2:$H$1001,0)))</f>
        <v/>
      </c>
      <c r="D28" s="19">
        <f>IF($A28="","",INDEX('부의금 입력'!$D$2:$D$1001,MATCH($A28,'부의금 입력'!$H$2:$H$1001,0))&amp;"")</f>
        <v/>
      </c>
      <c r="E28" s="19">
        <f>IF($A28="","",INDEX('부의금 입력'!$E$2:$E$1001,MATCH($A28,'부의금 입력'!$H$2:$H$1001,0))&amp;"")</f>
        <v/>
      </c>
      <c r="H28" s="19">
        <f>IF(25&gt;$I$1,"",INDEX('근조 화환'!$B$2:$B$501,MATCH(25,'근조 화환'!$G$2:$G$501,0))&amp;"")</f>
        <v/>
      </c>
      <c r="I28" s="19">
        <f>IF(25&gt;$I$1,"",INDEX('근조 화환'!$C$2:$C$501,MATCH(25,'근조 화환'!$G$2:$G$501,0))&amp;"")</f>
        <v/>
      </c>
      <c r="J28" s="19">
        <f>IF(25&gt;$I$1,"",INDEX('근조 화환'!$D$2:$D$501,MATCH(25,'근조 화환'!$G$2:$G$501,0))&amp;"")</f>
        <v/>
      </c>
      <c r="K28" s="19">
        <f>IF(25&gt;$I$1,"",INDEX('근조 화환'!$E$2:$E$501,MATCH(25,'근조 화환'!$G$2:$G$501,0))&amp;"")</f>
        <v/>
      </c>
    </row>
    <row r="29">
      <c r="A29" s="19">
        <f>IF(26&lt;=$F$1,26,"")</f>
        <v/>
      </c>
      <c r="B29" s="19">
        <f>IF($A29="","",INDEX('부의금 입력'!$B$2:$B$1001,MATCH($A29,'부의금 입력'!$H$2:$H$1001,0))&amp;"")</f>
        <v/>
      </c>
      <c r="C29" s="21">
        <f>IF($A29="","",INDEX('부의금 입력'!$C$2:$C$1001,MATCH($A29,'부의금 입력'!$H$2:$H$1001,0)))</f>
        <v/>
      </c>
      <c r="D29" s="19">
        <f>IF($A29="","",INDEX('부의금 입력'!$D$2:$D$1001,MATCH($A29,'부의금 입력'!$H$2:$H$1001,0))&amp;"")</f>
        <v/>
      </c>
      <c r="E29" s="19">
        <f>IF($A29="","",INDEX('부의금 입력'!$E$2:$E$1001,MATCH($A29,'부의금 입력'!$H$2:$H$1001,0))&amp;"")</f>
        <v/>
      </c>
      <c r="H29" s="19">
        <f>IF(26&gt;$I$1,"",INDEX('근조 화환'!$B$2:$B$501,MATCH(26,'근조 화환'!$G$2:$G$501,0))&amp;"")</f>
        <v/>
      </c>
      <c r="I29" s="19">
        <f>IF(26&gt;$I$1,"",INDEX('근조 화환'!$C$2:$C$501,MATCH(26,'근조 화환'!$G$2:$G$501,0))&amp;"")</f>
        <v/>
      </c>
      <c r="J29" s="19">
        <f>IF(26&gt;$I$1,"",INDEX('근조 화환'!$D$2:$D$501,MATCH(26,'근조 화환'!$G$2:$G$501,0))&amp;"")</f>
        <v/>
      </c>
      <c r="K29" s="19">
        <f>IF(26&gt;$I$1,"",INDEX('근조 화환'!$E$2:$E$501,MATCH(26,'근조 화환'!$G$2:$G$501,0))&amp;"")</f>
        <v/>
      </c>
    </row>
    <row r="30">
      <c r="A30" s="19">
        <f>IF(27&lt;=$F$1,27,"")</f>
        <v/>
      </c>
      <c r="B30" s="19">
        <f>IF($A30="","",INDEX('부의금 입력'!$B$2:$B$1001,MATCH($A30,'부의금 입력'!$H$2:$H$1001,0))&amp;"")</f>
        <v/>
      </c>
      <c r="C30" s="21">
        <f>IF($A30="","",INDEX('부의금 입력'!$C$2:$C$1001,MATCH($A30,'부의금 입력'!$H$2:$H$1001,0)))</f>
        <v/>
      </c>
      <c r="D30" s="19">
        <f>IF($A30="","",INDEX('부의금 입력'!$D$2:$D$1001,MATCH($A30,'부의금 입력'!$H$2:$H$1001,0))&amp;"")</f>
        <v/>
      </c>
      <c r="E30" s="19">
        <f>IF($A30="","",INDEX('부의금 입력'!$E$2:$E$1001,MATCH($A30,'부의금 입력'!$H$2:$H$1001,0))&amp;"")</f>
        <v/>
      </c>
      <c r="H30" s="19">
        <f>IF(27&gt;$I$1,"",INDEX('근조 화환'!$B$2:$B$501,MATCH(27,'근조 화환'!$G$2:$G$501,0))&amp;"")</f>
        <v/>
      </c>
      <c r="I30" s="19">
        <f>IF(27&gt;$I$1,"",INDEX('근조 화환'!$C$2:$C$501,MATCH(27,'근조 화환'!$G$2:$G$501,0))&amp;"")</f>
        <v/>
      </c>
      <c r="J30" s="19">
        <f>IF(27&gt;$I$1,"",INDEX('근조 화환'!$D$2:$D$501,MATCH(27,'근조 화환'!$G$2:$G$501,0))&amp;"")</f>
        <v/>
      </c>
      <c r="K30" s="19">
        <f>IF(27&gt;$I$1,"",INDEX('근조 화환'!$E$2:$E$501,MATCH(27,'근조 화환'!$G$2:$G$501,0))&amp;"")</f>
        <v/>
      </c>
    </row>
    <row r="31">
      <c r="A31" s="19">
        <f>IF(28&lt;=$F$1,28,"")</f>
        <v/>
      </c>
      <c r="B31" s="19">
        <f>IF($A31="","",INDEX('부의금 입력'!$B$2:$B$1001,MATCH($A31,'부의금 입력'!$H$2:$H$1001,0))&amp;"")</f>
        <v/>
      </c>
      <c r="C31" s="21">
        <f>IF($A31="","",INDEX('부의금 입력'!$C$2:$C$1001,MATCH($A31,'부의금 입력'!$H$2:$H$1001,0)))</f>
        <v/>
      </c>
      <c r="D31" s="19">
        <f>IF($A31="","",INDEX('부의금 입력'!$D$2:$D$1001,MATCH($A31,'부의금 입력'!$H$2:$H$1001,0))&amp;"")</f>
        <v/>
      </c>
      <c r="E31" s="19">
        <f>IF($A31="","",INDEX('부의금 입력'!$E$2:$E$1001,MATCH($A31,'부의금 입력'!$H$2:$H$1001,0))&amp;"")</f>
        <v/>
      </c>
      <c r="H31" s="19">
        <f>IF(28&gt;$I$1,"",INDEX('근조 화환'!$B$2:$B$501,MATCH(28,'근조 화환'!$G$2:$G$501,0))&amp;"")</f>
        <v/>
      </c>
      <c r="I31" s="19">
        <f>IF(28&gt;$I$1,"",INDEX('근조 화환'!$C$2:$C$501,MATCH(28,'근조 화환'!$G$2:$G$501,0))&amp;"")</f>
        <v/>
      </c>
      <c r="J31" s="19">
        <f>IF(28&gt;$I$1,"",INDEX('근조 화환'!$D$2:$D$501,MATCH(28,'근조 화환'!$G$2:$G$501,0))&amp;"")</f>
        <v/>
      </c>
      <c r="K31" s="19">
        <f>IF(28&gt;$I$1,"",INDEX('근조 화환'!$E$2:$E$501,MATCH(28,'근조 화환'!$G$2:$G$501,0))&amp;"")</f>
        <v/>
      </c>
    </row>
    <row r="32">
      <c r="A32" s="19">
        <f>IF(29&lt;=$F$1,29,"")</f>
        <v/>
      </c>
      <c r="B32" s="19">
        <f>IF($A32="","",INDEX('부의금 입력'!$B$2:$B$1001,MATCH($A32,'부의금 입력'!$H$2:$H$1001,0))&amp;"")</f>
        <v/>
      </c>
      <c r="C32" s="21">
        <f>IF($A32="","",INDEX('부의금 입력'!$C$2:$C$1001,MATCH($A32,'부의금 입력'!$H$2:$H$1001,0)))</f>
        <v/>
      </c>
      <c r="D32" s="19">
        <f>IF($A32="","",INDEX('부의금 입력'!$D$2:$D$1001,MATCH($A32,'부의금 입력'!$H$2:$H$1001,0))&amp;"")</f>
        <v/>
      </c>
      <c r="E32" s="19">
        <f>IF($A32="","",INDEX('부의금 입력'!$E$2:$E$1001,MATCH($A32,'부의금 입력'!$H$2:$H$1001,0))&amp;"")</f>
        <v/>
      </c>
      <c r="H32" s="19">
        <f>IF(29&gt;$I$1,"",INDEX('근조 화환'!$B$2:$B$501,MATCH(29,'근조 화환'!$G$2:$G$501,0))&amp;"")</f>
        <v/>
      </c>
      <c r="I32" s="19">
        <f>IF(29&gt;$I$1,"",INDEX('근조 화환'!$C$2:$C$501,MATCH(29,'근조 화환'!$G$2:$G$501,0))&amp;"")</f>
        <v/>
      </c>
      <c r="J32" s="19">
        <f>IF(29&gt;$I$1,"",INDEX('근조 화환'!$D$2:$D$501,MATCH(29,'근조 화환'!$G$2:$G$501,0))&amp;"")</f>
        <v/>
      </c>
      <c r="K32" s="19">
        <f>IF(29&gt;$I$1,"",INDEX('근조 화환'!$E$2:$E$501,MATCH(29,'근조 화환'!$G$2:$G$501,0))&amp;"")</f>
        <v/>
      </c>
    </row>
    <row r="33">
      <c r="A33" s="19">
        <f>IF(30&lt;=$F$1,30,"")</f>
        <v/>
      </c>
      <c r="B33" s="19">
        <f>IF($A33="","",INDEX('부의금 입력'!$B$2:$B$1001,MATCH($A33,'부의금 입력'!$H$2:$H$1001,0))&amp;"")</f>
        <v/>
      </c>
      <c r="C33" s="21">
        <f>IF($A33="","",INDEX('부의금 입력'!$C$2:$C$1001,MATCH($A33,'부의금 입력'!$H$2:$H$1001,0)))</f>
        <v/>
      </c>
      <c r="D33" s="19">
        <f>IF($A33="","",INDEX('부의금 입력'!$D$2:$D$1001,MATCH($A33,'부의금 입력'!$H$2:$H$1001,0))&amp;"")</f>
        <v/>
      </c>
      <c r="E33" s="19">
        <f>IF($A33="","",INDEX('부의금 입력'!$E$2:$E$1001,MATCH($A33,'부의금 입력'!$H$2:$H$1001,0))&amp;"")</f>
        <v/>
      </c>
      <c r="H33" s="19">
        <f>IF(30&gt;$I$1,"",INDEX('근조 화환'!$B$2:$B$501,MATCH(30,'근조 화환'!$G$2:$G$501,0))&amp;"")</f>
        <v/>
      </c>
      <c r="I33" s="19">
        <f>IF(30&gt;$I$1,"",INDEX('근조 화환'!$C$2:$C$501,MATCH(30,'근조 화환'!$G$2:$G$501,0))&amp;"")</f>
        <v/>
      </c>
      <c r="J33" s="19">
        <f>IF(30&gt;$I$1,"",INDEX('근조 화환'!$D$2:$D$501,MATCH(30,'근조 화환'!$G$2:$G$501,0))&amp;"")</f>
        <v/>
      </c>
      <c r="K33" s="19">
        <f>IF(30&gt;$I$1,"",INDEX('근조 화환'!$E$2:$E$501,MATCH(30,'근조 화환'!$G$2:$G$501,0))&amp;"")</f>
        <v/>
      </c>
    </row>
    <row r="34">
      <c r="A34" s="19">
        <f>IF(31&lt;=$F$1,31,"")</f>
        <v/>
      </c>
      <c r="B34" s="19">
        <f>IF($A34="","",INDEX('부의금 입력'!$B$2:$B$1001,MATCH($A34,'부의금 입력'!$H$2:$H$1001,0))&amp;"")</f>
        <v/>
      </c>
      <c r="C34" s="21">
        <f>IF($A34="","",INDEX('부의금 입력'!$C$2:$C$1001,MATCH($A34,'부의금 입력'!$H$2:$H$1001,0)))</f>
        <v/>
      </c>
      <c r="D34" s="19">
        <f>IF($A34="","",INDEX('부의금 입력'!$D$2:$D$1001,MATCH($A34,'부의금 입력'!$H$2:$H$1001,0))&amp;"")</f>
        <v/>
      </c>
      <c r="E34" s="19">
        <f>IF($A34="","",INDEX('부의금 입력'!$E$2:$E$1001,MATCH($A34,'부의금 입력'!$H$2:$H$1001,0))&amp;"")</f>
        <v/>
      </c>
      <c r="H34" s="19">
        <f>IF(31&gt;$I$1,"",INDEX('근조 화환'!$B$2:$B$501,MATCH(31,'근조 화환'!$G$2:$G$501,0))&amp;"")</f>
        <v/>
      </c>
      <c r="I34" s="19">
        <f>IF(31&gt;$I$1,"",INDEX('근조 화환'!$C$2:$C$501,MATCH(31,'근조 화환'!$G$2:$G$501,0))&amp;"")</f>
        <v/>
      </c>
      <c r="J34" s="19">
        <f>IF(31&gt;$I$1,"",INDEX('근조 화환'!$D$2:$D$501,MATCH(31,'근조 화환'!$G$2:$G$501,0))&amp;"")</f>
        <v/>
      </c>
      <c r="K34" s="19">
        <f>IF(31&gt;$I$1,"",INDEX('근조 화환'!$E$2:$E$501,MATCH(31,'근조 화환'!$G$2:$G$501,0))&amp;"")</f>
        <v/>
      </c>
    </row>
    <row r="35">
      <c r="A35" s="19">
        <f>IF(32&lt;=$F$1,32,"")</f>
        <v/>
      </c>
      <c r="B35" s="19">
        <f>IF($A35="","",INDEX('부의금 입력'!$B$2:$B$1001,MATCH($A35,'부의금 입력'!$H$2:$H$1001,0))&amp;"")</f>
        <v/>
      </c>
      <c r="C35" s="21">
        <f>IF($A35="","",INDEX('부의금 입력'!$C$2:$C$1001,MATCH($A35,'부의금 입력'!$H$2:$H$1001,0)))</f>
        <v/>
      </c>
      <c r="D35" s="19">
        <f>IF($A35="","",INDEX('부의금 입력'!$D$2:$D$1001,MATCH($A35,'부의금 입력'!$H$2:$H$1001,0))&amp;"")</f>
        <v/>
      </c>
      <c r="E35" s="19">
        <f>IF($A35="","",INDEX('부의금 입력'!$E$2:$E$1001,MATCH($A35,'부의금 입력'!$H$2:$H$1001,0))&amp;"")</f>
        <v/>
      </c>
      <c r="H35" s="19">
        <f>IF(32&gt;$I$1,"",INDEX('근조 화환'!$B$2:$B$501,MATCH(32,'근조 화환'!$G$2:$G$501,0))&amp;"")</f>
        <v/>
      </c>
      <c r="I35" s="19">
        <f>IF(32&gt;$I$1,"",INDEX('근조 화환'!$C$2:$C$501,MATCH(32,'근조 화환'!$G$2:$G$501,0))&amp;"")</f>
        <v/>
      </c>
      <c r="J35" s="19">
        <f>IF(32&gt;$I$1,"",INDEX('근조 화환'!$D$2:$D$501,MATCH(32,'근조 화환'!$G$2:$G$501,0))&amp;"")</f>
        <v/>
      </c>
      <c r="K35" s="19">
        <f>IF(32&gt;$I$1,"",INDEX('근조 화환'!$E$2:$E$501,MATCH(32,'근조 화환'!$G$2:$G$501,0))&amp;"")</f>
        <v/>
      </c>
    </row>
    <row r="36">
      <c r="A36" s="19">
        <f>IF(33&lt;=$F$1,33,"")</f>
        <v/>
      </c>
      <c r="B36" s="19">
        <f>IF($A36="","",INDEX('부의금 입력'!$B$2:$B$1001,MATCH($A36,'부의금 입력'!$H$2:$H$1001,0))&amp;"")</f>
        <v/>
      </c>
      <c r="C36" s="21">
        <f>IF($A36="","",INDEX('부의금 입력'!$C$2:$C$1001,MATCH($A36,'부의금 입력'!$H$2:$H$1001,0)))</f>
        <v/>
      </c>
      <c r="D36" s="19">
        <f>IF($A36="","",INDEX('부의금 입력'!$D$2:$D$1001,MATCH($A36,'부의금 입력'!$H$2:$H$1001,0))&amp;"")</f>
        <v/>
      </c>
      <c r="E36" s="19">
        <f>IF($A36="","",INDEX('부의금 입력'!$E$2:$E$1001,MATCH($A36,'부의금 입력'!$H$2:$H$1001,0))&amp;"")</f>
        <v/>
      </c>
      <c r="H36" s="19">
        <f>IF(33&gt;$I$1,"",INDEX('근조 화환'!$B$2:$B$501,MATCH(33,'근조 화환'!$G$2:$G$501,0))&amp;"")</f>
        <v/>
      </c>
      <c r="I36" s="19">
        <f>IF(33&gt;$I$1,"",INDEX('근조 화환'!$C$2:$C$501,MATCH(33,'근조 화환'!$G$2:$G$501,0))&amp;"")</f>
        <v/>
      </c>
      <c r="J36" s="19">
        <f>IF(33&gt;$I$1,"",INDEX('근조 화환'!$D$2:$D$501,MATCH(33,'근조 화환'!$G$2:$G$501,0))&amp;"")</f>
        <v/>
      </c>
      <c r="K36" s="19">
        <f>IF(33&gt;$I$1,"",INDEX('근조 화환'!$E$2:$E$501,MATCH(33,'근조 화환'!$G$2:$G$501,0))&amp;"")</f>
        <v/>
      </c>
    </row>
    <row r="37">
      <c r="A37" s="19">
        <f>IF(34&lt;=$F$1,34,"")</f>
        <v/>
      </c>
      <c r="B37" s="19">
        <f>IF($A37="","",INDEX('부의금 입력'!$B$2:$B$1001,MATCH($A37,'부의금 입력'!$H$2:$H$1001,0))&amp;"")</f>
        <v/>
      </c>
      <c r="C37" s="21">
        <f>IF($A37="","",INDEX('부의금 입력'!$C$2:$C$1001,MATCH($A37,'부의금 입력'!$H$2:$H$1001,0)))</f>
        <v/>
      </c>
      <c r="D37" s="19">
        <f>IF($A37="","",INDEX('부의금 입력'!$D$2:$D$1001,MATCH($A37,'부의금 입력'!$H$2:$H$1001,0))&amp;"")</f>
        <v/>
      </c>
      <c r="E37" s="19">
        <f>IF($A37="","",INDEX('부의금 입력'!$E$2:$E$1001,MATCH($A37,'부의금 입력'!$H$2:$H$1001,0))&amp;"")</f>
        <v/>
      </c>
      <c r="H37" s="19">
        <f>IF(34&gt;$I$1,"",INDEX('근조 화환'!$B$2:$B$501,MATCH(34,'근조 화환'!$G$2:$G$501,0))&amp;"")</f>
        <v/>
      </c>
      <c r="I37" s="19">
        <f>IF(34&gt;$I$1,"",INDEX('근조 화환'!$C$2:$C$501,MATCH(34,'근조 화환'!$G$2:$G$501,0))&amp;"")</f>
        <v/>
      </c>
      <c r="J37" s="19">
        <f>IF(34&gt;$I$1,"",INDEX('근조 화환'!$D$2:$D$501,MATCH(34,'근조 화환'!$G$2:$G$501,0))&amp;"")</f>
        <v/>
      </c>
      <c r="K37" s="19">
        <f>IF(34&gt;$I$1,"",INDEX('근조 화환'!$E$2:$E$501,MATCH(34,'근조 화환'!$G$2:$G$501,0))&amp;"")</f>
        <v/>
      </c>
    </row>
    <row r="38">
      <c r="A38" s="19">
        <f>IF(35&lt;=$F$1,35,"")</f>
        <v/>
      </c>
      <c r="B38" s="19">
        <f>IF($A38="","",INDEX('부의금 입력'!$B$2:$B$1001,MATCH($A38,'부의금 입력'!$H$2:$H$1001,0))&amp;"")</f>
        <v/>
      </c>
      <c r="C38" s="21">
        <f>IF($A38="","",INDEX('부의금 입력'!$C$2:$C$1001,MATCH($A38,'부의금 입력'!$H$2:$H$1001,0)))</f>
        <v/>
      </c>
      <c r="D38" s="19">
        <f>IF($A38="","",INDEX('부의금 입력'!$D$2:$D$1001,MATCH($A38,'부의금 입력'!$H$2:$H$1001,0))&amp;"")</f>
        <v/>
      </c>
      <c r="E38" s="19">
        <f>IF($A38="","",INDEX('부의금 입력'!$E$2:$E$1001,MATCH($A38,'부의금 입력'!$H$2:$H$1001,0))&amp;"")</f>
        <v/>
      </c>
      <c r="H38" s="19">
        <f>IF(35&gt;$I$1,"",INDEX('근조 화환'!$B$2:$B$501,MATCH(35,'근조 화환'!$G$2:$G$501,0))&amp;"")</f>
        <v/>
      </c>
      <c r="I38" s="19">
        <f>IF(35&gt;$I$1,"",INDEX('근조 화환'!$C$2:$C$501,MATCH(35,'근조 화환'!$G$2:$G$501,0))&amp;"")</f>
        <v/>
      </c>
      <c r="J38" s="19">
        <f>IF(35&gt;$I$1,"",INDEX('근조 화환'!$D$2:$D$501,MATCH(35,'근조 화환'!$G$2:$G$501,0))&amp;"")</f>
        <v/>
      </c>
      <c r="K38" s="19">
        <f>IF(35&gt;$I$1,"",INDEX('근조 화환'!$E$2:$E$501,MATCH(35,'근조 화환'!$G$2:$G$501,0))&amp;"")</f>
        <v/>
      </c>
    </row>
    <row r="39">
      <c r="A39" s="19">
        <f>IF(36&lt;=$F$1,36,"")</f>
        <v/>
      </c>
      <c r="B39" s="19">
        <f>IF($A39="","",INDEX('부의금 입력'!$B$2:$B$1001,MATCH($A39,'부의금 입력'!$H$2:$H$1001,0))&amp;"")</f>
        <v/>
      </c>
      <c r="C39" s="21">
        <f>IF($A39="","",INDEX('부의금 입력'!$C$2:$C$1001,MATCH($A39,'부의금 입력'!$H$2:$H$1001,0)))</f>
        <v/>
      </c>
      <c r="D39" s="19">
        <f>IF($A39="","",INDEX('부의금 입력'!$D$2:$D$1001,MATCH($A39,'부의금 입력'!$H$2:$H$1001,0))&amp;"")</f>
        <v/>
      </c>
      <c r="E39" s="19">
        <f>IF($A39="","",INDEX('부의금 입력'!$E$2:$E$1001,MATCH($A39,'부의금 입력'!$H$2:$H$1001,0))&amp;"")</f>
        <v/>
      </c>
      <c r="H39" s="19">
        <f>IF(36&gt;$I$1,"",INDEX('근조 화환'!$B$2:$B$501,MATCH(36,'근조 화환'!$G$2:$G$501,0))&amp;"")</f>
        <v/>
      </c>
      <c r="I39" s="19">
        <f>IF(36&gt;$I$1,"",INDEX('근조 화환'!$C$2:$C$501,MATCH(36,'근조 화환'!$G$2:$G$501,0))&amp;"")</f>
        <v/>
      </c>
      <c r="J39" s="19">
        <f>IF(36&gt;$I$1,"",INDEX('근조 화환'!$D$2:$D$501,MATCH(36,'근조 화환'!$G$2:$G$501,0))&amp;"")</f>
        <v/>
      </c>
      <c r="K39" s="19">
        <f>IF(36&gt;$I$1,"",INDEX('근조 화환'!$E$2:$E$501,MATCH(36,'근조 화환'!$G$2:$G$501,0))&amp;"")</f>
        <v/>
      </c>
    </row>
    <row r="40">
      <c r="A40" s="19">
        <f>IF(37&lt;=$F$1,37,"")</f>
        <v/>
      </c>
      <c r="B40" s="19">
        <f>IF($A40="","",INDEX('부의금 입력'!$B$2:$B$1001,MATCH($A40,'부의금 입력'!$H$2:$H$1001,0))&amp;"")</f>
        <v/>
      </c>
      <c r="C40" s="21">
        <f>IF($A40="","",INDEX('부의금 입력'!$C$2:$C$1001,MATCH($A40,'부의금 입력'!$H$2:$H$1001,0)))</f>
        <v/>
      </c>
      <c r="D40" s="19">
        <f>IF($A40="","",INDEX('부의금 입력'!$D$2:$D$1001,MATCH($A40,'부의금 입력'!$H$2:$H$1001,0))&amp;"")</f>
        <v/>
      </c>
      <c r="E40" s="19">
        <f>IF($A40="","",INDEX('부의금 입력'!$E$2:$E$1001,MATCH($A40,'부의금 입력'!$H$2:$H$1001,0))&amp;"")</f>
        <v/>
      </c>
      <c r="H40" s="19">
        <f>IF(37&gt;$I$1,"",INDEX('근조 화환'!$B$2:$B$501,MATCH(37,'근조 화환'!$G$2:$G$501,0))&amp;"")</f>
        <v/>
      </c>
      <c r="I40" s="19">
        <f>IF(37&gt;$I$1,"",INDEX('근조 화환'!$C$2:$C$501,MATCH(37,'근조 화환'!$G$2:$G$501,0))&amp;"")</f>
        <v/>
      </c>
      <c r="J40" s="19">
        <f>IF(37&gt;$I$1,"",INDEX('근조 화환'!$D$2:$D$501,MATCH(37,'근조 화환'!$G$2:$G$501,0))&amp;"")</f>
        <v/>
      </c>
      <c r="K40" s="19">
        <f>IF(37&gt;$I$1,"",INDEX('근조 화환'!$E$2:$E$501,MATCH(37,'근조 화환'!$G$2:$G$501,0))&amp;"")</f>
        <v/>
      </c>
    </row>
    <row r="41">
      <c r="A41" s="19">
        <f>IF(38&lt;=$F$1,38,"")</f>
        <v/>
      </c>
      <c r="B41" s="19">
        <f>IF($A41="","",INDEX('부의금 입력'!$B$2:$B$1001,MATCH($A41,'부의금 입력'!$H$2:$H$1001,0))&amp;"")</f>
        <v/>
      </c>
      <c r="C41" s="21">
        <f>IF($A41="","",INDEX('부의금 입력'!$C$2:$C$1001,MATCH($A41,'부의금 입력'!$H$2:$H$1001,0)))</f>
        <v/>
      </c>
      <c r="D41" s="19">
        <f>IF($A41="","",INDEX('부의금 입력'!$D$2:$D$1001,MATCH($A41,'부의금 입력'!$H$2:$H$1001,0))&amp;"")</f>
        <v/>
      </c>
      <c r="E41" s="19">
        <f>IF($A41="","",INDEX('부의금 입력'!$E$2:$E$1001,MATCH($A41,'부의금 입력'!$H$2:$H$1001,0))&amp;"")</f>
        <v/>
      </c>
      <c r="H41" s="19">
        <f>IF(38&gt;$I$1,"",INDEX('근조 화환'!$B$2:$B$501,MATCH(38,'근조 화환'!$G$2:$G$501,0))&amp;"")</f>
        <v/>
      </c>
      <c r="I41" s="19">
        <f>IF(38&gt;$I$1,"",INDEX('근조 화환'!$C$2:$C$501,MATCH(38,'근조 화환'!$G$2:$G$501,0))&amp;"")</f>
        <v/>
      </c>
      <c r="J41" s="19">
        <f>IF(38&gt;$I$1,"",INDEX('근조 화환'!$D$2:$D$501,MATCH(38,'근조 화환'!$G$2:$G$501,0))&amp;"")</f>
        <v/>
      </c>
      <c r="K41" s="19">
        <f>IF(38&gt;$I$1,"",INDEX('근조 화환'!$E$2:$E$501,MATCH(38,'근조 화환'!$G$2:$G$501,0))&amp;"")</f>
        <v/>
      </c>
    </row>
    <row r="42">
      <c r="A42" s="19">
        <f>IF(39&lt;=$F$1,39,"")</f>
        <v/>
      </c>
      <c r="B42" s="19">
        <f>IF($A42="","",INDEX('부의금 입력'!$B$2:$B$1001,MATCH($A42,'부의금 입력'!$H$2:$H$1001,0))&amp;"")</f>
        <v/>
      </c>
      <c r="C42" s="21">
        <f>IF($A42="","",INDEX('부의금 입력'!$C$2:$C$1001,MATCH($A42,'부의금 입력'!$H$2:$H$1001,0)))</f>
        <v/>
      </c>
      <c r="D42" s="19">
        <f>IF($A42="","",INDEX('부의금 입력'!$D$2:$D$1001,MATCH($A42,'부의금 입력'!$H$2:$H$1001,0))&amp;"")</f>
        <v/>
      </c>
      <c r="E42" s="19">
        <f>IF($A42="","",INDEX('부의금 입력'!$E$2:$E$1001,MATCH($A42,'부의금 입력'!$H$2:$H$1001,0))&amp;"")</f>
        <v/>
      </c>
      <c r="H42" s="19">
        <f>IF(39&gt;$I$1,"",INDEX('근조 화환'!$B$2:$B$501,MATCH(39,'근조 화환'!$G$2:$G$501,0))&amp;"")</f>
        <v/>
      </c>
      <c r="I42" s="19">
        <f>IF(39&gt;$I$1,"",INDEX('근조 화환'!$C$2:$C$501,MATCH(39,'근조 화환'!$G$2:$G$501,0))&amp;"")</f>
        <v/>
      </c>
      <c r="J42" s="19">
        <f>IF(39&gt;$I$1,"",INDEX('근조 화환'!$D$2:$D$501,MATCH(39,'근조 화환'!$G$2:$G$501,0))&amp;"")</f>
        <v/>
      </c>
      <c r="K42" s="19">
        <f>IF(39&gt;$I$1,"",INDEX('근조 화환'!$E$2:$E$501,MATCH(39,'근조 화환'!$G$2:$G$501,0))&amp;"")</f>
        <v/>
      </c>
    </row>
    <row r="43">
      <c r="A43" s="19">
        <f>IF(40&lt;=$F$1,40,"")</f>
        <v/>
      </c>
      <c r="B43" s="19">
        <f>IF($A43="","",INDEX('부의금 입력'!$B$2:$B$1001,MATCH($A43,'부의금 입력'!$H$2:$H$1001,0))&amp;"")</f>
        <v/>
      </c>
      <c r="C43" s="21">
        <f>IF($A43="","",INDEX('부의금 입력'!$C$2:$C$1001,MATCH($A43,'부의금 입력'!$H$2:$H$1001,0)))</f>
        <v/>
      </c>
      <c r="D43" s="19">
        <f>IF($A43="","",INDEX('부의금 입력'!$D$2:$D$1001,MATCH($A43,'부의금 입력'!$H$2:$H$1001,0))&amp;"")</f>
        <v/>
      </c>
      <c r="E43" s="19">
        <f>IF($A43="","",INDEX('부의금 입력'!$E$2:$E$1001,MATCH($A43,'부의금 입력'!$H$2:$H$1001,0))&amp;"")</f>
        <v/>
      </c>
      <c r="H43" s="19">
        <f>IF(40&gt;$I$1,"",INDEX('근조 화환'!$B$2:$B$501,MATCH(40,'근조 화환'!$G$2:$G$501,0))&amp;"")</f>
        <v/>
      </c>
      <c r="I43" s="19">
        <f>IF(40&gt;$I$1,"",INDEX('근조 화환'!$C$2:$C$501,MATCH(40,'근조 화환'!$G$2:$G$501,0))&amp;"")</f>
        <v/>
      </c>
      <c r="J43" s="19">
        <f>IF(40&gt;$I$1,"",INDEX('근조 화환'!$D$2:$D$501,MATCH(40,'근조 화환'!$G$2:$G$501,0))&amp;"")</f>
        <v/>
      </c>
      <c r="K43" s="19">
        <f>IF(40&gt;$I$1,"",INDEX('근조 화환'!$E$2:$E$501,MATCH(40,'근조 화환'!$G$2:$G$501,0))&amp;"")</f>
        <v/>
      </c>
    </row>
    <row r="44">
      <c r="A44" s="19">
        <f>IF(41&lt;=$F$1,41,"")</f>
        <v/>
      </c>
      <c r="B44" s="19">
        <f>IF($A44="","",INDEX('부의금 입력'!$B$2:$B$1001,MATCH($A44,'부의금 입력'!$H$2:$H$1001,0))&amp;"")</f>
        <v/>
      </c>
      <c r="C44" s="21">
        <f>IF($A44="","",INDEX('부의금 입력'!$C$2:$C$1001,MATCH($A44,'부의금 입력'!$H$2:$H$1001,0)))</f>
        <v/>
      </c>
      <c r="D44" s="19">
        <f>IF($A44="","",INDEX('부의금 입력'!$D$2:$D$1001,MATCH($A44,'부의금 입력'!$H$2:$H$1001,0))&amp;"")</f>
        <v/>
      </c>
      <c r="E44" s="19">
        <f>IF($A44="","",INDEX('부의금 입력'!$E$2:$E$1001,MATCH($A44,'부의금 입력'!$H$2:$H$1001,0))&amp;"")</f>
        <v/>
      </c>
      <c r="H44" s="19">
        <f>IF(41&gt;$I$1,"",INDEX('근조 화환'!$B$2:$B$501,MATCH(41,'근조 화환'!$G$2:$G$501,0))&amp;"")</f>
        <v/>
      </c>
      <c r="I44" s="19">
        <f>IF(41&gt;$I$1,"",INDEX('근조 화환'!$C$2:$C$501,MATCH(41,'근조 화환'!$G$2:$G$501,0))&amp;"")</f>
        <v/>
      </c>
      <c r="J44" s="19">
        <f>IF(41&gt;$I$1,"",INDEX('근조 화환'!$D$2:$D$501,MATCH(41,'근조 화환'!$G$2:$G$501,0))&amp;"")</f>
        <v/>
      </c>
      <c r="K44" s="19">
        <f>IF(41&gt;$I$1,"",INDEX('근조 화환'!$E$2:$E$501,MATCH(41,'근조 화환'!$G$2:$G$501,0))&amp;"")</f>
        <v/>
      </c>
    </row>
    <row r="45">
      <c r="A45" s="19">
        <f>IF(42&lt;=$F$1,42,"")</f>
        <v/>
      </c>
      <c r="B45" s="19">
        <f>IF($A45="","",INDEX('부의금 입력'!$B$2:$B$1001,MATCH($A45,'부의금 입력'!$H$2:$H$1001,0))&amp;"")</f>
        <v/>
      </c>
      <c r="C45" s="21">
        <f>IF($A45="","",INDEX('부의금 입력'!$C$2:$C$1001,MATCH($A45,'부의금 입력'!$H$2:$H$1001,0)))</f>
        <v/>
      </c>
      <c r="D45" s="19">
        <f>IF($A45="","",INDEX('부의금 입력'!$D$2:$D$1001,MATCH($A45,'부의금 입력'!$H$2:$H$1001,0))&amp;"")</f>
        <v/>
      </c>
      <c r="E45" s="19">
        <f>IF($A45="","",INDEX('부의금 입력'!$E$2:$E$1001,MATCH($A45,'부의금 입력'!$H$2:$H$1001,0))&amp;"")</f>
        <v/>
      </c>
      <c r="H45" s="19">
        <f>IF(42&gt;$I$1,"",INDEX('근조 화환'!$B$2:$B$501,MATCH(42,'근조 화환'!$G$2:$G$501,0))&amp;"")</f>
        <v/>
      </c>
      <c r="I45" s="19">
        <f>IF(42&gt;$I$1,"",INDEX('근조 화환'!$C$2:$C$501,MATCH(42,'근조 화환'!$G$2:$G$501,0))&amp;"")</f>
        <v/>
      </c>
      <c r="J45" s="19">
        <f>IF(42&gt;$I$1,"",INDEX('근조 화환'!$D$2:$D$501,MATCH(42,'근조 화환'!$G$2:$G$501,0))&amp;"")</f>
        <v/>
      </c>
      <c r="K45" s="19">
        <f>IF(42&gt;$I$1,"",INDEX('근조 화환'!$E$2:$E$501,MATCH(42,'근조 화환'!$G$2:$G$501,0))&amp;"")</f>
        <v/>
      </c>
    </row>
    <row r="46">
      <c r="A46" s="19">
        <f>IF(43&lt;=$F$1,43,"")</f>
        <v/>
      </c>
      <c r="B46" s="19">
        <f>IF($A46="","",INDEX('부의금 입력'!$B$2:$B$1001,MATCH($A46,'부의금 입력'!$H$2:$H$1001,0))&amp;"")</f>
        <v/>
      </c>
      <c r="C46" s="21">
        <f>IF($A46="","",INDEX('부의금 입력'!$C$2:$C$1001,MATCH($A46,'부의금 입력'!$H$2:$H$1001,0)))</f>
        <v/>
      </c>
      <c r="D46" s="19">
        <f>IF($A46="","",INDEX('부의금 입력'!$D$2:$D$1001,MATCH($A46,'부의금 입력'!$H$2:$H$1001,0))&amp;"")</f>
        <v/>
      </c>
      <c r="E46" s="19">
        <f>IF($A46="","",INDEX('부의금 입력'!$E$2:$E$1001,MATCH($A46,'부의금 입력'!$H$2:$H$1001,0))&amp;"")</f>
        <v/>
      </c>
      <c r="H46" s="19">
        <f>IF(43&gt;$I$1,"",INDEX('근조 화환'!$B$2:$B$501,MATCH(43,'근조 화환'!$G$2:$G$501,0))&amp;"")</f>
        <v/>
      </c>
      <c r="I46" s="19">
        <f>IF(43&gt;$I$1,"",INDEX('근조 화환'!$C$2:$C$501,MATCH(43,'근조 화환'!$G$2:$G$501,0))&amp;"")</f>
        <v/>
      </c>
      <c r="J46" s="19">
        <f>IF(43&gt;$I$1,"",INDEX('근조 화환'!$D$2:$D$501,MATCH(43,'근조 화환'!$G$2:$G$501,0))&amp;"")</f>
        <v/>
      </c>
      <c r="K46" s="19">
        <f>IF(43&gt;$I$1,"",INDEX('근조 화환'!$E$2:$E$501,MATCH(43,'근조 화환'!$G$2:$G$501,0))&amp;"")</f>
        <v/>
      </c>
    </row>
    <row r="47">
      <c r="A47" s="19">
        <f>IF(44&lt;=$F$1,44,"")</f>
        <v/>
      </c>
      <c r="B47" s="19">
        <f>IF($A47="","",INDEX('부의금 입력'!$B$2:$B$1001,MATCH($A47,'부의금 입력'!$H$2:$H$1001,0))&amp;"")</f>
        <v/>
      </c>
      <c r="C47" s="21">
        <f>IF($A47="","",INDEX('부의금 입력'!$C$2:$C$1001,MATCH($A47,'부의금 입력'!$H$2:$H$1001,0)))</f>
        <v/>
      </c>
      <c r="D47" s="19">
        <f>IF($A47="","",INDEX('부의금 입력'!$D$2:$D$1001,MATCH($A47,'부의금 입력'!$H$2:$H$1001,0))&amp;"")</f>
        <v/>
      </c>
      <c r="E47" s="19">
        <f>IF($A47="","",INDEX('부의금 입력'!$E$2:$E$1001,MATCH($A47,'부의금 입력'!$H$2:$H$1001,0))&amp;"")</f>
        <v/>
      </c>
      <c r="H47" s="19">
        <f>IF(44&gt;$I$1,"",INDEX('근조 화환'!$B$2:$B$501,MATCH(44,'근조 화환'!$G$2:$G$501,0))&amp;"")</f>
        <v/>
      </c>
      <c r="I47" s="19">
        <f>IF(44&gt;$I$1,"",INDEX('근조 화환'!$C$2:$C$501,MATCH(44,'근조 화환'!$G$2:$G$501,0))&amp;"")</f>
        <v/>
      </c>
      <c r="J47" s="19">
        <f>IF(44&gt;$I$1,"",INDEX('근조 화환'!$D$2:$D$501,MATCH(44,'근조 화환'!$G$2:$G$501,0))&amp;"")</f>
        <v/>
      </c>
      <c r="K47" s="19">
        <f>IF(44&gt;$I$1,"",INDEX('근조 화환'!$E$2:$E$501,MATCH(44,'근조 화환'!$G$2:$G$501,0))&amp;"")</f>
        <v/>
      </c>
    </row>
    <row r="48">
      <c r="A48" s="19">
        <f>IF(45&lt;=$F$1,45,"")</f>
        <v/>
      </c>
      <c r="B48" s="19">
        <f>IF($A48="","",INDEX('부의금 입력'!$B$2:$B$1001,MATCH($A48,'부의금 입력'!$H$2:$H$1001,0))&amp;"")</f>
        <v/>
      </c>
      <c r="C48" s="21">
        <f>IF($A48="","",INDEX('부의금 입력'!$C$2:$C$1001,MATCH($A48,'부의금 입력'!$H$2:$H$1001,0)))</f>
        <v/>
      </c>
      <c r="D48" s="19">
        <f>IF($A48="","",INDEX('부의금 입력'!$D$2:$D$1001,MATCH($A48,'부의금 입력'!$H$2:$H$1001,0))&amp;"")</f>
        <v/>
      </c>
      <c r="E48" s="19">
        <f>IF($A48="","",INDEX('부의금 입력'!$E$2:$E$1001,MATCH($A48,'부의금 입력'!$H$2:$H$1001,0))&amp;"")</f>
        <v/>
      </c>
      <c r="H48" s="19">
        <f>IF(45&gt;$I$1,"",INDEX('근조 화환'!$B$2:$B$501,MATCH(45,'근조 화환'!$G$2:$G$501,0))&amp;"")</f>
        <v/>
      </c>
      <c r="I48" s="19">
        <f>IF(45&gt;$I$1,"",INDEX('근조 화환'!$C$2:$C$501,MATCH(45,'근조 화환'!$G$2:$G$501,0))&amp;"")</f>
        <v/>
      </c>
      <c r="J48" s="19">
        <f>IF(45&gt;$I$1,"",INDEX('근조 화환'!$D$2:$D$501,MATCH(45,'근조 화환'!$G$2:$G$501,0))&amp;"")</f>
        <v/>
      </c>
      <c r="K48" s="19">
        <f>IF(45&gt;$I$1,"",INDEX('근조 화환'!$E$2:$E$501,MATCH(45,'근조 화환'!$G$2:$G$501,0))&amp;"")</f>
        <v/>
      </c>
    </row>
    <row r="49">
      <c r="A49" s="19">
        <f>IF(46&lt;=$F$1,46,"")</f>
        <v/>
      </c>
      <c r="B49" s="19">
        <f>IF($A49="","",INDEX('부의금 입력'!$B$2:$B$1001,MATCH($A49,'부의금 입력'!$H$2:$H$1001,0))&amp;"")</f>
        <v/>
      </c>
      <c r="C49" s="21">
        <f>IF($A49="","",INDEX('부의금 입력'!$C$2:$C$1001,MATCH($A49,'부의금 입력'!$H$2:$H$1001,0)))</f>
        <v/>
      </c>
      <c r="D49" s="19">
        <f>IF($A49="","",INDEX('부의금 입력'!$D$2:$D$1001,MATCH($A49,'부의금 입력'!$H$2:$H$1001,0))&amp;"")</f>
        <v/>
      </c>
      <c r="E49" s="19">
        <f>IF($A49="","",INDEX('부의금 입력'!$E$2:$E$1001,MATCH($A49,'부의금 입력'!$H$2:$H$1001,0))&amp;"")</f>
        <v/>
      </c>
      <c r="H49" s="19">
        <f>IF(46&gt;$I$1,"",INDEX('근조 화환'!$B$2:$B$501,MATCH(46,'근조 화환'!$G$2:$G$501,0))&amp;"")</f>
        <v/>
      </c>
      <c r="I49" s="19">
        <f>IF(46&gt;$I$1,"",INDEX('근조 화환'!$C$2:$C$501,MATCH(46,'근조 화환'!$G$2:$G$501,0))&amp;"")</f>
        <v/>
      </c>
      <c r="J49" s="19">
        <f>IF(46&gt;$I$1,"",INDEX('근조 화환'!$D$2:$D$501,MATCH(46,'근조 화환'!$G$2:$G$501,0))&amp;"")</f>
        <v/>
      </c>
      <c r="K49" s="19">
        <f>IF(46&gt;$I$1,"",INDEX('근조 화환'!$E$2:$E$501,MATCH(46,'근조 화환'!$G$2:$G$501,0))&amp;"")</f>
        <v/>
      </c>
    </row>
    <row r="50">
      <c r="A50" s="19">
        <f>IF(47&lt;=$F$1,47,"")</f>
        <v/>
      </c>
      <c r="B50" s="19">
        <f>IF($A50="","",INDEX('부의금 입력'!$B$2:$B$1001,MATCH($A50,'부의금 입력'!$H$2:$H$1001,0))&amp;"")</f>
        <v/>
      </c>
      <c r="C50" s="21">
        <f>IF($A50="","",INDEX('부의금 입력'!$C$2:$C$1001,MATCH($A50,'부의금 입력'!$H$2:$H$1001,0)))</f>
        <v/>
      </c>
      <c r="D50" s="19">
        <f>IF($A50="","",INDEX('부의금 입력'!$D$2:$D$1001,MATCH($A50,'부의금 입력'!$H$2:$H$1001,0))&amp;"")</f>
        <v/>
      </c>
      <c r="E50" s="19">
        <f>IF($A50="","",INDEX('부의금 입력'!$E$2:$E$1001,MATCH($A50,'부의금 입력'!$H$2:$H$1001,0))&amp;"")</f>
        <v/>
      </c>
      <c r="H50" s="19">
        <f>IF(47&gt;$I$1,"",INDEX('근조 화환'!$B$2:$B$501,MATCH(47,'근조 화환'!$G$2:$G$501,0))&amp;"")</f>
        <v/>
      </c>
      <c r="I50" s="19">
        <f>IF(47&gt;$I$1,"",INDEX('근조 화환'!$C$2:$C$501,MATCH(47,'근조 화환'!$G$2:$G$501,0))&amp;"")</f>
        <v/>
      </c>
      <c r="J50" s="19">
        <f>IF(47&gt;$I$1,"",INDEX('근조 화환'!$D$2:$D$501,MATCH(47,'근조 화환'!$G$2:$G$501,0))&amp;"")</f>
        <v/>
      </c>
      <c r="K50" s="19">
        <f>IF(47&gt;$I$1,"",INDEX('근조 화환'!$E$2:$E$501,MATCH(47,'근조 화환'!$G$2:$G$501,0))&amp;"")</f>
        <v/>
      </c>
    </row>
    <row r="51">
      <c r="A51" s="19">
        <f>IF(48&lt;=$F$1,48,"")</f>
        <v/>
      </c>
      <c r="B51" s="19">
        <f>IF($A51="","",INDEX('부의금 입력'!$B$2:$B$1001,MATCH($A51,'부의금 입력'!$H$2:$H$1001,0))&amp;"")</f>
        <v/>
      </c>
      <c r="C51" s="21">
        <f>IF($A51="","",INDEX('부의금 입력'!$C$2:$C$1001,MATCH($A51,'부의금 입력'!$H$2:$H$1001,0)))</f>
        <v/>
      </c>
      <c r="D51" s="19">
        <f>IF($A51="","",INDEX('부의금 입력'!$D$2:$D$1001,MATCH($A51,'부의금 입력'!$H$2:$H$1001,0))&amp;"")</f>
        <v/>
      </c>
      <c r="E51" s="19">
        <f>IF($A51="","",INDEX('부의금 입력'!$E$2:$E$1001,MATCH($A51,'부의금 입력'!$H$2:$H$1001,0))&amp;"")</f>
        <v/>
      </c>
      <c r="H51" s="19">
        <f>IF(48&gt;$I$1,"",INDEX('근조 화환'!$B$2:$B$501,MATCH(48,'근조 화환'!$G$2:$G$501,0))&amp;"")</f>
        <v/>
      </c>
      <c r="I51" s="19">
        <f>IF(48&gt;$I$1,"",INDEX('근조 화환'!$C$2:$C$501,MATCH(48,'근조 화환'!$G$2:$G$501,0))&amp;"")</f>
        <v/>
      </c>
      <c r="J51" s="19">
        <f>IF(48&gt;$I$1,"",INDEX('근조 화환'!$D$2:$D$501,MATCH(48,'근조 화환'!$G$2:$G$501,0))&amp;"")</f>
        <v/>
      </c>
      <c r="K51" s="19">
        <f>IF(48&gt;$I$1,"",INDEX('근조 화환'!$E$2:$E$501,MATCH(48,'근조 화환'!$G$2:$G$501,0))&amp;"")</f>
        <v/>
      </c>
    </row>
    <row r="52">
      <c r="A52" s="19">
        <f>IF(49&lt;=$F$1,49,"")</f>
        <v/>
      </c>
      <c r="B52" s="19">
        <f>IF($A52="","",INDEX('부의금 입력'!$B$2:$B$1001,MATCH($A52,'부의금 입력'!$H$2:$H$1001,0))&amp;"")</f>
        <v/>
      </c>
      <c r="C52" s="21">
        <f>IF($A52="","",INDEX('부의금 입력'!$C$2:$C$1001,MATCH($A52,'부의금 입력'!$H$2:$H$1001,0)))</f>
        <v/>
      </c>
      <c r="D52" s="19">
        <f>IF($A52="","",INDEX('부의금 입력'!$D$2:$D$1001,MATCH($A52,'부의금 입력'!$H$2:$H$1001,0))&amp;"")</f>
        <v/>
      </c>
      <c r="E52" s="19">
        <f>IF($A52="","",INDEX('부의금 입력'!$E$2:$E$1001,MATCH($A52,'부의금 입력'!$H$2:$H$1001,0))&amp;"")</f>
        <v/>
      </c>
      <c r="H52" s="19">
        <f>IF(49&gt;$I$1,"",INDEX('근조 화환'!$B$2:$B$501,MATCH(49,'근조 화환'!$G$2:$G$501,0))&amp;"")</f>
        <v/>
      </c>
      <c r="I52" s="19">
        <f>IF(49&gt;$I$1,"",INDEX('근조 화환'!$C$2:$C$501,MATCH(49,'근조 화환'!$G$2:$G$501,0))&amp;"")</f>
        <v/>
      </c>
      <c r="J52" s="19">
        <f>IF(49&gt;$I$1,"",INDEX('근조 화환'!$D$2:$D$501,MATCH(49,'근조 화환'!$G$2:$G$501,0))&amp;"")</f>
        <v/>
      </c>
      <c r="K52" s="19">
        <f>IF(49&gt;$I$1,"",INDEX('근조 화환'!$E$2:$E$501,MATCH(49,'근조 화환'!$G$2:$G$501,0))&amp;"")</f>
        <v/>
      </c>
    </row>
    <row r="53">
      <c r="A53" s="19">
        <f>IF(50&lt;=$F$1,50,"")</f>
        <v/>
      </c>
      <c r="B53" s="19">
        <f>IF($A53="","",INDEX('부의금 입력'!$B$2:$B$1001,MATCH($A53,'부의금 입력'!$H$2:$H$1001,0))&amp;"")</f>
        <v/>
      </c>
      <c r="C53" s="21">
        <f>IF($A53="","",INDEX('부의금 입력'!$C$2:$C$1001,MATCH($A53,'부의금 입력'!$H$2:$H$1001,0)))</f>
        <v/>
      </c>
      <c r="D53" s="19">
        <f>IF($A53="","",INDEX('부의금 입력'!$D$2:$D$1001,MATCH($A53,'부의금 입력'!$H$2:$H$1001,0))&amp;"")</f>
        <v/>
      </c>
      <c r="E53" s="19">
        <f>IF($A53="","",INDEX('부의금 입력'!$E$2:$E$1001,MATCH($A53,'부의금 입력'!$H$2:$H$1001,0))&amp;"")</f>
        <v/>
      </c>
      <c r="H53" s="19">
        <f>IF(50&gt;$I$1,"",INDEX('근조 화환'!$B$2:$B$501,MATCH(50,'근조 화환'!$G$2:$G$501,0))&amp;"")</f>
        <v/>
      </c>
      <c r="I53" s="19">
        <f>IF(50&gt;$I$1,"",INDEX('근조 화환'!$C$2:$C$501,MATCH(50,'근조 화환'!$G$2:$G$501,0))&amp;"")</f>
        <v/>
      </c>
      <c r="J53" s="19">
        <f>IF(50&gt;$I$1,"",INDEX('근조 화환'!$D$2:$D$501,MATCH(50,'근조 화환'!$G$2:$G$501,0))&amp;"")</f>
        <v/>
      </c>
      <c r="K53" s="19">
        <f>IF(50&gt;$I$1,"",INDEX('근조 화환'!$E$2:$E$501,MATCH(50,'근조 화환'!$G$2:$G$501,0))&amp;"")</f>
        <v/>
      </c>
    </row>
    <row r="54">
      <c r="A54" s="19">
        <f>IF(51&lt;=$F$1,51,"")</f>
        <v/>
      </c>
      <c r="B54" s="19">
        <f>IF($A54="","",INDEX('부의금 입력'!$B$2:$B$1001,MATCH($A54,'부의금 입력'!$H$2:$H$1001,0))&amp;"")</f>
        <v/>
      </c>
      <c r="C54" s="21">
        <f>IF($A54="","",INDEX('부의금 입력'!$C$2:$C$1001,MATCH($A54,'부의금 입력'!$H$2:$H$1001,0)))</f>
        <v/>
      </c>
      <c r="D54" s="19">
        <f>IF($A54="","",INDEX('부의금 입력'!$D$2:$D$1001,MATCH($A54,'부의금 입력'!$H$2:$H$1001,0))&amp;"")</f>
        <v/>
      </c>
      <c r="E54" s="19">
        <f>IF($A54="","",INDEX('부의금 입력'!$E$2:$E$1001,MATCH($A54,'부의금 입력'!$H$2:$H$1001,0))&amp;"")</f>
        <v/>
      </c>
      <c r="H54" s="19">
        <f>IF(51&gt;$I$1,"",INDEX('근조 화환'!$B$2:$B$501,MATCH(51,'근조 화환'!$G$2:$G$501,0))&amp;"")</f>
        <v/>
      </c>
      <c r="I54" s="19">
        <f>IF(51&gt;$I$1,"",INDEX('근조 화환'!$C$2:$C$501,MATCH(51,'근조 화환'!$G$2:$G$501,0))&amp;"")</f>
        <v/>
      </c>
      <c r="J54" s="19">
        <f>IF(51&gt;$I$1,"",INDEX('근조 화환'!$D$2:$D$501,MATCH(51,'근조 화환'!$G$2:$G$501,0))&amp;"")</f>
        <v/>
      </c>
      <c r="K54" s="19">
        <f>IF(51&gt;$I$1,"",INDEX('근조 화환'!$E$2:$E$501,MATCH(51,'근조 화환'!$G$2:$G$501,0))&amp;"")</f>
        <v/>
      </c>
    </row>
    <row r="55">
      <c r="A55" s="19">
        <f>IF(52&lt;=$F$1,52,"")</f>
        <v/>
      </c>
      <c r="B55" s="19">
        <f>IF($A55="","",INDEX('부의금 입력'!$B$2:$B$1001,MATCH($A55,'부의금 입력'!$H$2:$H$1001,0))&amp;"")</f>
        <v/>
      </c>
      <c r="C55" s="21">
        <f>IF($A55="","",INDEX('부의금 입력'!$C$2:$C$1001,MATCH($A55,'부의금 입력'!$H$2:$H$1001,0)))</f>
        <v/>
      </c>
      <c r="D55" s="19">
        <f>IF($A55="","",INDEX('부의금 입력'!$D$2:$D$1001,MATCH($A55,'부의금 입력'!$H$2:$H$1001,0))&amp;"")</f>
        <v/>
      </c>
      <c r="E55" s="19">
        <f>IF($A55="","",INDEX('부의금 입력'!$E$2:$E$1001,MATCH($A55,'부의금 입력'!$H$2:$H$1001,0))&amp;"")</f>
        <v/>
      </c>
      <c r="H55" s="19">
        <f>IF(52&gt;$I$1,"",INDEX('근조 화환'!$B$2:$B$501,MATCH(52,'근조 화환'!$G$2:$G$501,0))&amp;"")</f>
        <v/>
      </c>
      <c r="I55" s="19">
        <f>IF(52&gt;$I$1,"",INDEX('근조 화환'!$C$2:$C$501,MATCH(52,'근조 화환'!$G$2:$G$501,0))&amp;"")</f>
        <v/>
      </c>
      <c r="J55" s="19">
        <f>IF(52&gt;$I$1,"",INDEX('근조 화환'!$D$2:$D$501,MATCH(52,'근조 화환'!$G$2:$G$501,0))&amp;"")</f>
        <v/>
      </c>
      <c r="K55" s="19">
        <f>IF(52&gt;$I$1,"",INDEX('근조 화환'!$E$2:$E$501,MATCH(52,'근조 화환'!$G$2:$G$501,0))&amp;"")</f>
        <v/>
      </c>
    </row>
    <row r="56">
      <c r="A56" s="19">
        <f>IF(53&lt;=$F$1,53,"")</f>
        <v/>
      </c>
      <c r="B56" s="19">
        <f>IF($A56="","",INDEX('부의금 입력'!$B$2:$B$1001,MATCH($A56,'부의금 입력'!$H$2:$H$1001,0))&amp;"")</f>
        <v/>
      </c>
      <c r="C56" s="21">
        <f>IF($A56="","",INDEX('부의금 입력'!$C$2:$C$1001,MATCH($A56,'부의금 입력'!$H$2:$H$1001,0)))</f>
        <v/>
      </c>
      <c r="D56" s="19">
        <f>IF($A56="","",INDEX('부의금 입력'!$D$2:$D$1001,MATCH($A56,'부의금 입력'!$H$2:$H$1001,0))&amp;"")</f>
        <v/>
      </c>
      <c r="E56" s="19">
        <f>IF($A56="","",INDEX('부의금 입력'!$E$2:$E$1001,MATCH($A56,'부의금 입력'!$H$2:$H$1001,0))&amp;"")</f>
        <v/>
      </c>
      <c r="H56" s="19">
        <f>IF(53&gt;$I$1,"",INDEX('근조 화환'!$B$2:$B$501,MATCH(53,'근조 화환'!$G$2:$G$501,0))&amp;"")</f>
        <v/>
      </c>
      <c r="I56" s="19">
        <f>IF(53&gt;$I$1,"",INDEX('근조 화환'!$C$2:$C$501,MATCH(53,'근조 화환'!$G$2:$G$501,0))&amp;"")</f>
        <v/>
      </c>
      <c r="J56" s="19">
        <f>IF(53&gt;$I$1,"",INDEX('근조 화환'!$D$2:$D$501,MATCH(53,'근조 화환'!$G$2:$G$501,0))&amp;"")</f>
        <v/>
      </c>
      <c r="K56" s="19">
        <f>IF(53&gt;$I$1,"",INDEX('근조 화환'!$E$2:$E$501,MATCH(53,'근조 화환'!$G$2:$G$501,0))&amp;"")</f>
        <v/>
      </c>
    </row>
    <row r="57">
      <c r="A57" s="19">
        <f>IF(54&lt;=$F$1,54,"")</f>
        <v/>
      </c>
      <c r="B57" s="19">
        <f>IF($A57="","",INDEX('부의금 입력'!$B$2:$B$1001,MATCH($A57,'부의금 입력'!$H$2:$H$1001,0))&amp;"")</f>
        <v/>
      </c>
      <c r="C57" s="21">
        <f>IF($A57="","",INDEX('부의금 입력'!$C$2:$C$1001,MATCH($A57,'부의금 입력'!$H$2:$H$1001,0)))</f>
        <v/>
      </c>
      <c r="D57" s="19">
        <f>IF($A57="","",INDEX('부의금 입력'!$D$2:$D$1001,MATCH($A57,'부의금 입력'!$H$2:$H$1001,0))&amp;"")</f>
        <v/>
      </c>
      <c r="E57" s="19">
        <f>IF($A57="","",INDEX('부의금 입력'!$E$2:$E$1001,MATCH($A57,'부의금 입력'!$H$2:$H$1001,0))&amp;"")</f>
        <v/>
      </c>
      <c r="H57" s="19">
        <f>IF(54&gt;$I$1,"",INDEX('근조 화환'!$B$2:$B$501,MATCH(54,'근조 화환'!$G$2:$G$501,0))&amp;"")</f>
        <v/>
      </c>
      <c r="I57" s="19">
        <f>IF(54&gt;$I$1,"",INDEX('근조 화환'!$C$2:$C$501,MATCH(54,'근조 화환'!$G$2:$G$501,0))&amp;"")</f>
        <v/>
      </c>
      <c r="J57" s="19">
        <f>IF(54&gt;$I$1,"",INDEX('근조 화환'!$D$2:$D$501,MATCH(54,'근조 화환'!$G$2:$G$501,0))&amp;"")</f>
        <v/>
      </c>
      <c r="K57" s="19">
        <f>IF(54&gt;$I$1,"",INDEX('근조 화환'!$E$2:$E$501,MATCH(54,'근조 화환'!$G$2:$G$501,0))&amp;"")</f>
        <v/>
      </c>
    </row>
    <row r="58">
      <c r="A58" s="19">
        <f>IF(55&lt;=$F$1,55,"")</f>
        <v/>
      </c>
      <c r="B58" s="19">
        <f>IF($A58="","",INDEX('부의금 입력'!$B$2:$B$1001,MATCH($A58,'부의금 입력'!$H$2:$H$1001,0))&amp;"")</f>
        <v/>
      </c>
      <c r="C58" s="21">
        <f>IF($A58="","",INDEX('부의금 입력'!$C$2:$C$1001,MATCH($A58,'부의금 입력'!$H$2:$H$1001,0)))</f>
        <v/>
      </c>
      <c r="D58" s="19">
        <f>IF($A58="","",INDEX('부의금 입력'!$D$2:$D$1001,MATCH($A58,'부의금 입력'!$H$2:$H$1001,0))&amp;"")</f>
        <v/>
      </c>
      <c r="E58" s="19">
        <f>IF($A58="","",INDEX('부의금 입력'!$E$2:$E$1001,MATCH($A58,'부의금 입력'!$H$2:$H$1001,0))&amp;"")</f>
        <v/>
      </c>
      <c r="H58" s="19">
        <f>IF(55&gt;$I$1,"",INDEX('근조 화환'!$B$2:$B$501,MATCH(55,'근조 화환'!$G$2:$G$501,0))&amp;"")</f>
        <v/>
      </c>
      <c r="I58" s="19">
        <f>IF(55&gt;$I$1,"",INDEX('근조 화환'!$C$2:$C$501,MATCH(55,'근조 화환'!$G$2:$G$501,0))&amp;"")</f>
        <v/>
      </c>
      <c r="J58" s="19">
        <f>IF(55&gt;$I$1,"",INDEX('근조 화환'!$D$2:$D$501,MATCH(55,'근조 화환'!$G$2:$G$501,0))&amp;"")</f>
        <v/>
      </c>
      <c r="K58" s="19">
        <f>IF(55&gt;$I$1,"",INDEX('근조 화환'!$E$2:$E$501,MATCH(55,'근조 화환'!$G$2:$G$501,0))&amp;"")</f>
        <v/>
      </c>
    </row>
    <row r="59">
      <c r="A59" s="19">
        <f>IF(56&lt;=$F$1,56,"")</f>
        <v/>
      </c>
      <c r="B59" s="19">
        <f>IF($A59="","",INDEX('부의금 입력'!$B$2:$B$1001,MATCH($A59,'부의금 입력'!$H$2:$H$1001,0))&amp;"")</f>
        <v/>
      </c>
      <c r="C59" s="21">
        <f>IF($A59="","",INDEX('부의금 입력'!$C$2:$C$1001,MATCH($A59,'부의금 입력'!$H$2:$H$1001,0)))</f>
        <v/>
      </c>
      <c r="D59" s="19">
        <f>IF($A59="","",INDEX('부의금 입력'!$D$2:$D$1001,MATCH($A59,'부의금 입력'!$H$2:$H$1001,0))&amp;"")</f>
        <v/>
      </c>
      <c r="E59" s="19">
        <f>IF($A59="","",INDEX('부의금 입력'!$E$2:$E$1001,MATCH($A59,'부의금 입력'!$H$2:$H$1001,0))&amp;"")</f>
        <v/>
      </c>
      <c r="H59" s="19">
        <f>IF(56&gt;$I$1,"",INDEX('근조 화환'!$B$2:$B$501,MATCH(56,'근조 화환'!$G$2:$G$501,0))&amp;"")</f>
        <v/>
      </c>
      <c r="I59" s="19">
        <f>IF(56&gt;$I$1,"",INDEX('근조 화환'!$C$2:$C$501,MATCH(56,'근조 화환'!$G$2:$G$501,0))&amp;"")</f>
        <v/>
      </c>
      <c r="J59" s="19">
        <f>IF(56&gt;$I$1,"",INDEX('근조 화환'!$D$2:$D$501,MATCH(56,'근조 화환'!$G$2:$G$501,0))&amp;"")</f>
        <v/>
      </c>
      <c r="K59" s="19">
        <f>IF(56&gt;$I$1,"",INDEX('근조 화환'!$E$2:$E$501,MATCH(56,'근조 화환'!$G$2:$G$501,0))&amp;"")</f>
        <v/>
      </c>
    </row>
    <row r="60">
      <c r="A60" s="19">
        <f>IF(57&lt;=$F$1,57,"")</f>
        <v/>
      </c>
      <c r="B60" s="19">
        <f>IF($A60="","",INDEX('부의금 입력'!$B$2:$B$1001,MATCH($A60,'부의금 입력'!$H$2:$H$1001,0))&amp;"")</f>
        <v/>
      </c>
      <c r="C60" s="21">
        <f>IF($A60="","",INDEX('부의금 입력'!$C$2:$C$1001,MATCH($A60,'부의금 입력'!$H$2:$H$1001,0)))</f>
        <v/>
      </c>
      <c r="D60" s="19">
        <f>IF($A60="","",INDEX('부의금 입력'!$D$2:$D$1001,MATCH($A60,'부의금 입력'!$H$2:$H$1001,0))&amp;"")</f>
        <v/>
      </c>
      <c r="E60" s="19">
        <f>IF($A60="","",INDEX('부의금 입력'!$E$2:$E$1001,MATCH($A60,'부의금 입력'!$H$2:$H$1001,0))&amp;"")</f>
        <v/>
      </c>
      <c r="H60" s="19">
        <f>IF(57&gt;$I$1,"",INDEX('근조 화환'!$B$2:$B$501,MATCH(57,'근조 화환'!$G$2:$G$501,0))&amp;"")</f>
        <v/>
      </c>
      <c r="I60" s="19">
        <f>IF(57&gt;$I$1,"",INDEX('근조 화환'!$C$2:$C$501,MATCH(57,'근조 화환'!$G$2:$G$501,0))&amp;"")</f>
        <v/>
      </c>
      <c r="J60" s="19">
        <f>IF(57&gt;$I$1,"",INDEX('근조 화환'!$D$2:$D$501,MATCH(57,'근조 화환'!$G$2:$G$501,0))&amp;"")</f>
        <v/>
      </c>
      <c r="K60" s="19">
        <f>IF(57&gt;$I$1,"",INDEX('근조 화환'!$E$2:$E$501,MATCH(57,'근조 화환'!$G$2:$G$501,0))&amp;"")</f>
        <v/>
      </c>
    </row>
    <row r="61">
      <c r="A61" s="19">
        <f>IF(58&lt;=$F$1,58,"")</f>
        <v/>
      </c>
      <c r="B61" s="19">
        <f>IF($A61="","",INDEX('부의금 입력'!$B$2:$B$1001,MATCH($A61,'부의금 입력'!$H$2:$H$1001,0))&amp;"")</f>
        <v/>
      </c>
      <c r="C61" s="21">
        <f>IF($A61="","",INDEX('부의금 입력'!$C$2:$C$1001,MATCH($A61,'부의금 입력'!$H$2:$H$1001,0)))</f>
        <v/>
      </c>
      <c r="D61" s="19">
        <f>IF($A61="","",INDEX('부의금 입력'!$D$2:$D$1001,MATCH($A61,'부의금 입력'!$H$2:$H$1001,0))&amp;"")</f>
        <v/>
      </c>
      <c r="E61" s="19">
        <f>IF($A61="","",INDEX('부의금 입력'!$E$2:$E$1001,MATCH($A61,'부의금 입력'!$H$2:$H$1001,0))&amp;"")</f>
        <v/>
      </c>
      <c r="H61" s="19">
        <f>IF(58&gt;$I$1,"",INDEX('근조 화환'!$B$2:$B$501,MATCH(58,'근조 화환'!$G$2:$G$501,0))&amp;"")</f>
        <v/>
      </c>
      <c r="I61" s="19">
        <f>IF(58&gt;$I$1,"",INDEX('근조 화환'!$C$2:$C$501,MATCH(58,'근조 화환'!$G$2:$G$501,0))&amp;"")</f>
        <v/>
      </c>
      <c r="J61" s="19">
        <f>IF(58&gt;$I$1,"",INDEX('근조 화환'!$D$2:$D$501,MATCH(58,'근조 화환'!$G$2:$G$501,0))&amp;"")</f>
        <v/>
      </c>
      <c r="K61" s="19">
        <f>IF(58&gt;$I$1,"",INDEX('근조 화환'!$E$2:$E$501,MATCH(58,'근조 화환'!$G$2:$G$501,0))&amp;"")</f>
        <v/>
      </c>
    </row>
    <row r="62">
      <c r="A62" s="19">
        <f>IF(59&lt;=$F$1,59,"")</f>
        <v/>
      </c>
      <c r="B62" s="19">
        <f>IF($A62="","",INDEX('부의금 입력'!$B$2:$B$1001,MATCH($A62,'부의금 입력'!$H$2:$H$1001,0))&amp;"")</f>
        <v/>
      </c>
      <c r="C62" s="21">
        <f>IF($A62="","",INDEX('부의금 입력'!$C$2:$C$1001,MATCH($A62,'부의금 입력'!$H$2:$H$1001,0)))</f>
        <v/>
      </c>
      <c r="D62" s="19">
        <f>IF($A62="","",INDEX('부의금 입력'!$D$2:$D$1001,MATCH($A62,'부의금 입력'!$H$2:$H$1001,0))&amp;"")</f>
        <v/>
      </c>
      <c r="E62" s="19">
        <f>IF($A62="","",INDEX('부의금 입력'!$E$2:$E$1001,MATCH($A62,'부의금 입력'!$H$2:$H$1001,0))&amp;"")</f>
        <v/>
      </c>
      <c r="H62" s="19">
        <f>IF(59&gt;$I$1,"",INDEX('근조 화환'!$B$2:$B$501,MATCH(59,'근조 화환'!$G$2:$G$501,0))&amp;"")</f>
        <v/>
      </c>
      <c r="I62" s="19">
        <f>IF(59&gt;$I$1,"",INDEX('근조 화환'!$C$2:$C$501,MATCH(59,'근조 화환'!$G$2:$G$501,0))&amp;"")</f>
        <v/>
      </c>
      <c r="J62" s="19">
        <f>IF(59&gt;$I$1,"",INDEX('근조 화환'!$D$2:$D$501,MATCH(59,'근조 화환'!$G$2:$G$501,0))&amp;"")</f>
        <v/>
      </c>
      <c r="K62" s="19">
        <f>IF(59&gt;$I$1,"",INDEX('근조 화환'!$E$2:$E$501,MATCH(59,'근조 화환'!$G$2:$G$501,0))&amp;"")</f>
        <v/>
      </c>
    </row>
    <row r="63">
      <c r="A63" s="19">
        <f>IF(60&lt;=$F$1,60,"")</f>
        <v/>
      </c>
      <c r="B63" s="19">
        <f>IF($A63="","",INDEX('부의금 입력'!$B$2:$B$1001,MATCH($A63,'부의금 입력'!$H$2:$H$1001,0))&amp;"")</f>
        <v/>
      </c>
      <c r="C63" s="21">
        <f>IF($A63="","",INDEX('부의금 입력'!$C$2:$C$1001,MATCH($A63,'부의금 입력'!$H$2:$H$1001,0)))</f>
        <v/>
      </c>
      <c r="D63" s="19">
        <f>IF($A63="","",INDEX('부의금 입력'!$D$2:$D$1001,MATCH($A63,'부의금 입력'!$H$2:$H$1001,0))&amp;"")</f>
        <v/>
      </c>
      <c r="E63" s="19">
        <f>IF($A63="","",INDEX('부의금 입력'!$E$2:$E$1001,MATCH($A63,'부의금 입력'!$H$2:$H$1001,0))&amp;"")</f>
        <v/>
      </c>
      <c r="H63" s="19">
        <f>IF(60&gt;$I$1,"",INDEX('근조 화환'!$B$2:$B$501,MATCH(60,'근조 화환'!$G$2:$G$501,0))&amp;"")</f>
        <v/>
      </c>
      <c r="I63" s="19">
        <f>IF(60&gt;$I$1,"",INDEX('근조 화환'!$C$2:$C$501,MATCH(60,'근조 화환'!$G$2:$G$501,0))&amp;"")</f>
        <v/>
      </c>
      <c r="J63" s="19">
        <f>IF(60&gt;$I$1,"",INDEX('근조 화환'!$D$2:$D$501,MATCH(60,'근조 화환'!$G$2:$G$501,0))&amp;"")</f>
        <v/>
      </c>
      <c r="K63" s="19">
        <f>IF(60&gt;$I$1,"",INDEX('근조 화환'!$E$2:$E$501,MATCH(60,'근조 화환'!$G$2:$G$501,0))&amp;"")</f>
        <v/>
      </c>
    </row>
    <row r="64">
      <c r="A64" s="19">
        <f>IF(61&lt;=$F$1,61,"")</f>
        <v/>
      </c>
      <c r="B64" s="19">
        <f>IF($A64="","",INDEX('부의금 입력'!$B$2:$B$1001,MATCH($A64,'부의금 입력'!$H$2:$H$1001,0))&amp;"")</f>
        <v/>
      </c>
      <c r="C64" s="21">
        <f>IF($A64="","",INDEX('부의금 입력'!$C$2:$C$1001,MATCH($A64,'부의금 입력'!$H$2:$H$1001,0)))</f>
        <v/>
      </c>
      <c r="D64" s="19">
        <f>IF($A64="","",INDEX('부의금 입력'!$D$2:$D$1001,MATCH($A64,'부의금 입력'!$H$2:$H$1001,0))&amp;"")</f>
        <v/>
      </c>
      <c r="E64" s="19">
        <f>IF($A64="","",INDEX('부의금 입력'!$E$2:$E$1001,MATCH($A64,'부의금 입력'!$H$2:$H$1001,0))&amp;"")</f>
        <v/>
      </c>
      <c r="H64" s="19">
        <f>IF(61&gt;$I$1,"",INDEX('근조 화환'!$B$2:$B$501,MATCH(61,'근조 화환'!$G$2:$G$501,0))&amp;"")</f>
        <v/>
      </c>
      <c r="I64" s="19">
        <f>IF(61&gt;$I$1,"",INDEX('근조 화환'!$C$2:$C$501,MATCH(61,'근조 화환'!$G$2:$G$501,0))&amp;"")</f>
        <v/>
      </c>
      <c r="J64" s="19">
        <f>IF(61&gt;$I$1,"",INDEX('근조 화환'!$D$2:$D$501,MATCH(61,'근조 화환'!$G$2:$G$501,0))&amp;"")</f>
        <v/>
      </c>
      <c r="K64" s="19">
        <f>IF(61&gt;$I$1,"",INDEX('근조 화환'!$E$2:$E$501,MATCH(61,'근조 화환'!$G$2:$G$501,0))&amp;"")</f>
        <v/>
      </c>
    </row>
    <row r="65">
      <c r="A65" s="19">
        <f>IF(62&lt;=$F$1,62,"")</f>
        <v/>
      </c>
      <c r="B65" s="19">
        <f>IF($A65="","",INDEX('부의금 입력'!$B$2:$B$1001,MATCH($A65,'부의금 입력'!$H$2:$H$1001,0))&amp;"")</f>
        <v/>
      </c>
      <c r="C65" s="21">
        <f>IF($A65="","",INDEX('부의금 입력'!$C$2:$C$1001,MATCH($A65,'부의금 입력'!$H$2:$H$1001,0)))</f>
        <v/>
      </c>
      <c r="D65" s="19">
        <f>IF($A65="","",INDEX('부의금 입력'!$D$2:$D$1001,MATCH($A65,'부의금 입력'!$H$2:$H$1001,0))&amp;"")</f>
        <v/>
      </c>
      <c r="E65" s="19">
        <f>IF($A65="","",INDEX('부의금 입력'!$E$2:$E$1001,MATCH($A65,'부의금 입력'!$H$2:$H$1001,0))&amp;"")</f>
        <v/>
      </c>
      <c r="H65" s="19">
        <f>IF(62&gt;$I$1,"",INDEX('근조 화환'!$B$2:$B$501,MATCH(62,'근조 화환'!$G$2:$G$501,0))&amp;"")</f>
        <v/>
      </c>
      <c r="I65" s="19">
        <f>IF(62&gt;$I$1,"",INDEX('근조 화환'!$C$2:$C$501,MATCH(62,'근조 화환'!$G$2:$G$501,0))&amp;"")</f>
        <v/>
      </c>
      <c r="J65" s="19">
        <f>IF(62&gt;$I$1,"",INDEX('근조 화환'!$D$2:$D$501,MATCH(62,'근조 화환'!$G$2:$G$501,0))&amp;"")</f>
        <v/>
      </c>
      <c r="K65" s="19">
        <f>IF(62&gt;$I$1,"",INDEX('근조 화환'!$E$2:$E$501,MATCH(62,'근조 화환'!$G$2:$G$501,0))&amp;"")</f>
        <v/>
      </c>
    </row>
    <row r="66">
      <c r="A66" s="19">
        <f>IF(63&lt;=$F$1,63,"")</f>
        <v/>
      </c>
      <c r="B66" s="19">
        <f>IF($A66="","",INDEX('부의금 입력'!$B$2:$B$1001,MATCH($A66,'부의금 입력'!$H$2:$H$1001,0))&amp;"")</f>
        <v/>
      </c>
      <c r="C66" s="21">
        <f>IF($A66="","",INDEX('부의금 입력'!$C$2:$C$1001,MATCH($A66,'부의금 입력'!$H$2:$H$1001,0)))</f>
        <v/>
      </c>
      <c r="D66" s="19">
        <f>IF($A66="","",INDEX('부의금 입력'!$D$2:$D$1001,MATCH($A66,'부의금 입력'!$H$2:$H$1001,0))&amp;"")</f>
        <v/>
      </c>
      <c r="E66" s="19">
        <f>IF($A66="","",INDEX('부의금 입력'!$E$2:$E$1001,MATCH($A66,'부의금 입력'!$H$2:$H$1001,0))&amp;"")</f>
        <v/>
      </c>
      <c r="H66" s="19">
        <f>IF(63&gt;$I$1,"",INDEX('근조 화환'!$B$2:$B$501,MATCH(63,'근조 화환'!$G$2:$G$501,0))&amp;"")</f>
        <v/>
      </c>
      <c r="I66" s="19">
        <f>IF(63&gt;$I$1,"",INDEX('근조 화환'!$C$2:$C$501,MATCH(63,'근조 화환'!$G$2:$G$501,0))&amp;"")</f>
        <v/>
      </c>
      <c r="J66" s="19">
        <f>IF(63&gt;$I$1,"",INDEX('근조 화환'!$D$2:$D$501,MATCH(63,'근조 화환'!$G$2:$G$501,0))&amp;"")</f>
        <v/>
      </c>
      <c r="K66" s="19">
        <f>IF(63&gt;$I$1,"",INDEX('근조 화환'!$E$2:$E$501,MATCH(63,'근조 화환'!$G$2:$G$501,0))&amp;"")</f>
        <v/>
      </c>
    </row>
    <row r="67">
      <c r="A67" s="19">
        <f>IF(64&lt;=$F$1,64,"")</f>
        <v/>
      </c>
      <c r="B67" s="19">
        <f>IF($A67="","",INDEX('부의금 입력'!$B$2:$B$1001,MATCH($A67,'부의금 입력'!$H$2:$H$1001,0))&amp;"")</f>
        <v/>
      </c>
      <c r="C67" s="21">
        <f>IF($A67="","",INDEX('부의금 입력'!$C$2:$C$1001,MATCH($A67,'부의금 입력'!$H$2:$H$1001,0)))</f>
        <v/>
      </c>
      <c r="D67" s="19">
        <f>IF($A67="","",INDEX('부의금 입력'!$D$2:$D$1001,MATCH($A67,'부의금 입력'!$H$2:$H$1001,0))&amp;"")</f>
        <v/>
      </c>
      <c r="E67" s="19">
        <f>IF($A67="","",INDEX('부의금 입력'!$E$2:$E$1001,MATCH($A67,'부의금 입력'!$H$2:$H$1001,0))&amp;"")</f>
        <v/>
      </c>
      <c r="H67" s="19">
        <f>IF(64&gt;$I$1,"",INDEX('근조 화환'!$B$2:$B$501,MATCH(64,'근조 화환'!$G$2:$G$501,0))&amp;"")</f>
        <v/>
      </c>
      <c r="I67" s="19">
        <f>IF(64&gt;$I$1,"",INDEX('근조 화환'!$C$2:$C$501,MATCH(64,'근조 화환'!$G$2:$G$501,0))&amp;"")</f>
        <v/>
      </c>
      <c r="J67" s="19">
        <f>IF(64&gt;$I$1,"",INDEX('근조 화환'!$D$2:$D$501,MATCH(64,'근조 화환'!$G$2:$G$501,0))&amp;"")</f>
        <v/>
      </c>
      <c r="K67" s="19">
        <f>IF(64&gt;$I$1,"",INDEX('근조 화환'!$E$2:$E$501,MATCH(64,'근조 화환'!$G$2:$G$501,0))&amp;"")</f>
        <v/>
      </c>
    </row>
    <row r="68">
      <c r="A68" s="19">
        <f>IF(65&lt;=$F$1,65,"")</f>
        <v/>
      </c>
      <c r="B68" s="19">
        <f>IF($A68="","",INDEX('부의금 입력'!$B$2:$B$1001,MATCH($A68,'부의금 입력'!$H$2:$H$1001,0))&amp;"")</f>
        <v/>
      </c>
      <c r="C68" s="21">
        <f>IF($A68="","",INDEX('부의금 입력'!$C$2:$C$1001,MATCH($A68,'부의금 입력'!$H$2:$H$1001,0)))</f>
        <v/>
      </c>
      <c r="D68" s="19">
        <f>IF($A68="","",INDEX('부의금 입력'!$D$2:$D$1001,MATCH($A68,'부의금 입력'!$H$2:$H$1001,0))&amp;"")</f>
        <v/>
      </c>
      <c r="E68" s="19">
        <f>IF($A68="","",INDEX('부의금 입력'!$E$2:$E$1001,MATCH($A68,'부의금 입력'!$H$2:$H$1001,0))&amp;"")</f>
        <v/>
      </c>
      <c r="H68" s="19">
        <f>IF(65&gt;$I$1,"",INDEX('근조 화환'!$B$2:$B$501,MATCH(65,'근조 화환'!$G$2:$G$501,0))&amp;"")</f>
        <v/>
      </c>
      <c r="I68" s="19">
        <f>IF(65&gt;$I$1,"",INDEX('근조 화환'!$C$2:$C$501,MATCH(65,'근조 화환'!$G$2:$G$501,0))&amp;"")</f>
        <v/>
      </c>
      <c r="J68" s="19">
        <f>IF(65&gt;$I$1,"",INDEX('근조 화환'!$D$2:$D$501,MATCH(65,'근조 화환'!$G$2:$G$501,0))&amp;"")</f>
        <v/>
      </c>
      <c r="K68" s="19">
        <f>IF(65&gt;$I$1,"",INDEX('근조 화환'!$E$2:$E$501,MATCH(65,'근조 화환'!$G$2:$G$501,0))&amp;"")</f>
        <v/>
      </c>
    </row>
    <row r="69">
      <c r="A69" s="19">
        <f>IF(66&lt;=$F$1,66,"")</f>
        <v/>
      </c>
      <c r="B69" s="19">
        <f>IF($A69="","",INDEX('부의금 입력'!$B$2:$B$1001,MATCH($A69,'부의금 입력'!$H$2:$H$1001,0))&amp;"")</f>
        <v/>
      </c>
      <c r="C69" s="21">
        <f>IF($A69="","",INDEX('부의금 입력'!$C$2:$C$1001,MATCH($A69,'부의금 입력'!$H$2:$H$1001,0)))</f>
        <v/>
      </c>
      <c r="D69" s="19">
        <f>IF($A69="","",INDEX('부의금 입력'!$D$2:$D$1001,MATCH($A69,'부의금 입력'!$H$2:$H$1001,0))&amp;"")</f>
        <v/>
      </c>
      <c r="E69" s="19">
        <f>IF($A69="","",INDEX('부의금 입력'!$E$2:$E$1001,MATCH($A69,'부의금 입력'!$H$2:$H$1001,0))&amp;"")</f>
        <v/>
      </c>
      <c r="H69" s="19">
        <f>IF(66&gt;$I$1,"",INDEX('근조 화환'!$B$2:$B$501,MATCH(66,'근조 화환'!$G$2:$G$501,0))&amp;"")</f>
        <v/>
      </c>
      <c r="I69" s="19">
        <f>IF(66&gt;$I$1,"",INDEX('근조 화환'!$C$2:$C$501,MATCH(66,'근조 화환'!$G$2:$G$501,0))&amp;"")</f>
        <v/>
      </c>
      <c r="J69" s="19">
        <f>IF(66&gt;$I$1,"",INDEX('근조 화환'!$D$2:$D$501,MATCH(66,'근조 화환'!$G$2:$G$501,0))&amp;"")</f>
        <v/>
      </c>
      <c r="K69" s="19">
        <f>IF(66&gt;$I$1,"",INDEX('근조 화환'!$E$2:$E$501,MATCH(66,'근조 화환'!$G$2:$G$501,0))&amp;"")</f>
        <v/>
      </c>
    </row>
    <row r="70">
      <c r="A70" s="19">
        <f>IF(67&lt;=$F$1,67,"")</f>
        <v/>
      </c>
      <c r="B70" s="19">
        <f>IF($A70="","",INDEX('부의금 입력'!$B$2:$B$1001,MATCH($A70,'부의금 입력'!$H$2:$H$1001,0))&amp;"")</f>
        <v/>
      </c>
      <c r="C70" s="21">
        <f>IF($A70="","",INDEX('부의금 입력'!$C$2:$C$1001,MATCH($A70,'부의금 입력'!$H$2:$H$1001,0)))</f>
        <v/>
      </c>
      <c r="D70" s="19">
        <f>IF($A70="","",INDEX('부의금 입력'!$D$2:$D$1001,MATCH($A70,'부의금 입력'!$H$2:$H$1001,0))&amp;"")</f>
        <v/>
      </c>
      <c r="E70" s="19">
        <f>IF($A70="","",INDEX('부의금 입력'!$E$2:$E$1001,MATCH($A70,'부의금 입력'!$H$2:$H$1001,0))&amp;"")</f>
        <v/>
      </c>
      <c r="H70" s="19">
        <f>IF(67&gt;$I$1,"",INDEX('근조 화환'!$B$2:$B$501,MATCH(67,'근조 화환'!$G$2:$G$501,0))&amp;"")</f>
        <v/>
      </c>
      <c r="I70" s="19">
        <f>IF(67&gt;$I$1,"",INDEX('근조 화환'!$C$2:$C$501,MATCH(67,'근조 화환'!$G$2:$G$501,0))&amp;"")</f>
        <v/>
      </c>
      <c r="J70" s="19">
        <f>IF(67&gt;$I$1,"",INDEX('근조 화환'!$D$2:$D$501,MATCH(67,'근조 화환'!$G$2:$G$501,0))&amp;"")</f>
        <v/>
      </c>
      <c r="K70" s="19">
        <f>IF(67&gt;$I$1,"",INDEX('근조 화환'!$E$2:$E$501,MATCH(67,'근조 화환'!$G$2:$G$501,0))&amp;"")</f>
        <v/>
      </c>
    </row>
    <row r="71">
      <c r="A71" s="19">
        <f>IF(68&lt;=$F$1,68,"")</f>
        <v/>
      </c>
      <c r="B71" s="19">
        <f>IF($A71="","",INDEX('부의금 입력'!$B$2:$B$1001,MATCH($A71,'부의금 입력'!$H$2:$H$1001,0))&amp;"")</f>
        <v/>
      </c>
      <c r="C71" s="21">
        <f>IF($A71="","",INDEX('부의금 입력'!$C$2:$C$1001,MATCH($A71,'부의금 입력'!$H$2:$H$1001,0)))</f>
        <v/>
      </c>
      <c r="D71" s="19">
        <f>IF($A71="","",INDEX('부의금 입력'!$D$2:$D$1001,MATCH($A71,'부의금 입력'!$H$2:$H$1001,0))&amp;"")</f>
        <v/>
      </c>
      <c r="E71" s="19">
        <f>IF($A71="","",INDEX('부의금 입력'!$E$2:$E$1001,MATCH($A71,'부의금 입력'!$H$2:$H$1001,0))&amp;"")</f>
        <v/>
      </c>
      <c r="H71" s="19">
        <f>IF(68&gt;$I$1,"",INDEX('근조 화환'!$B$2:$B$501,MATCH(68,'근조 화환'!$G$2:$G$501,0))&amp;"")</f>
        <v/>
      </c>
      <c r="I71" s="19">
        <f>IF(68&gt;$I$1,"",INDEX('근조 화환'!$C$2:$C$501,MATCH(68,'근조 화환'!$G$2:$G$501,0))&amp;"")</f>
        <v/>
      </c>
      <c r="J71" s="19">
        <f>IF(68&gt;$I$1,"",INDEX('근조 화환'!$D$2:$D$501,MATCH(68,'근조 화환'!$G$2:$G$501,0))&amp;"")</f>
        <v/>
      </c>
      <c r="K71" s="19">
        <f>IF(68&gt;$I$1,"",INDEX('근조 화환'!$E$2:$E$501,MATCH(68,'근조 화환'!$G$2:$G$501,0))&amp;"")</f>
        <v/>
      </c>
    </row>
    <row r="72">
      <c r="A72" s="19">
        <f>IF(69&lt;=$F$1,69,"")</f>
        <v/>
      </c>
      <c r="B72" s="19">
        <f>IF($A72="","",INDEX('부의금 입력'!$B$2:$B$1001,MATCH($A72,'부의금 입력'!$H$2:$H$1001,0))&amp;"")</f>
        <v/>
      </c>
      <c r="C72" s="21">
        <f>IF($A72="","",INDEX('부의금 입력'!$C$2:$C$1001,MATCH($A72,'부의금 입력'!$H$2:$H$1001,0)))</f>
        <v/>
      </c>
      <c r="D72" s="19">
        <f>IF($A72="","",INDEX('부의금 입력'!$D$2:$D$1001,MATCH($A72,'부의금 입력'!$H$2:$H$1001,0))&amp;"")</f>
        <v/>
      </c>
      <c r="E72" s="19">
        <f>IF($A72="","",INDEX('부의금 입력'!$E$2:$E$1001,MATCH($A72,'부의금 입력'!$H$2:$H$1001,0))&amp;"")</f>
        <v/>
      </c>
      <c r="H72" s="19">
        <f>IF(69&gt;$I$1,"",INDEX('근조 화환'!$B$2:$B$501,MATCH(69,'근조 화환'!$G$2:$G$501,0))&amp;"")</f>
        <v/>
      </c>
      <c r="I72" s="19">
        <f>IF(69&gt;$I$1,"",INDEX('근조 화환'!$C$2:$C$501,MATCH(69,'근조 화환'!$G$2:$G$501,0))&amp;"")</f>
        <v/>
      </c>
      <c r="J72" s="19">
        <f>IF(69&gt;$I$1,"",INDEX('근조 화환'!$D$2:$D$501,MATCH(69,'근조 화환'!$G$2:$G$501,0))&amp;"")</f>
        <v/>
      </c>
      <c r="K72" s="19">
        <f>IF(69&gt;$I$1,"",INDEX('근조 화환'!$E$2:$E$501,MATCH(69,'근조 화환'!$G$2:$G$501,0))&amp;"")</f>
        <v/>
      </c>
    </row>
    <row r="73">
      <c r="A73" s="19">
        <f>IF(70&lt;=$F$1,70,"")</f>
        <v/>
      </c>
      <c r="B73" s="19">
        <f>IF($A73="","",INDEX('부의금 입력'!$B$2:$B$1001,MATCH($A73,'부의금 입력'!$H$2:$H$1001,0))&amp;"")</f>
        <v/>
      </c>
      <c r="C73" s="21">
        <f>IF($A73="","",INDEX('부의금 입력'!$C$2:$C$1001,MATCH($A73,'부의금 입력'!$H$2:$H$1001,0)))</f>
        <v/>
      </c>
      <c r="D73" s="19">
        <f>IF($A73="","",INDEX('부의금 입력'!$D$2:$D$1001,MATCH($A73,'부의금 입력'!$H$2:$H$1001,0))&amp;"")</f>
        <v/>
      </c>
      <c r="E73" s="19">
        <f>IF($A73="","",INDEX('부의금 입력'!$E$2:$E$1001,MATCH($A73,'부의금 입력'!$H$2:$H$1001,0))&amp;"")</f>
        <v/>
      </c>
      <c r="H73" s="19">
        <f>IF(70&gt;$I$1,"",INDEX('근조 화환'!$B$2:$B$501,MATCH(70,'근조 화환'!$G$2:$G$501,0))&amp;"")</f>
        <v/>
      </c>
      <c r="I73" s="19">
        <f>IF(70&gt;$I$1,"",INDEX('근조 화환'!$C$2:$C$501,MATCH(70,'근조 화환'!$G$2:$G$501,0))&amp;"")</f>
        <v/>
      </c>
      <c r="J73" s="19">
        <f>IF(70&gt;$I$1,"",INDEX('근조 화환'!$D$2:$D$501,MATCH(70,'근조 화환'!$G$2:$G$501,0))&amp;"")</f>
        <v/>
      </c>
      <c r="K73" s="19">
        <f>IF(70&gt;$I$1,"",INDEX('근조 화환'!$E$2:$E$501,MATCH(70,'근조 화환'!$G$2:$G$501,0))&amp;"")</f>
        <v/>
      </c>
    </row>
    <row r="74">
      <c r="A74" s="19">
        <f>IF(71&lt;=$F$1,71,"")</f>
        <v/>
      </c>
      <c r="B74" s="19">
        <f>IF($A74="","",INDEX('부의금 입력'!$B$2:$B$1001,MATCH($A74,'부의금 입력'!$H$2:$H$1001,0))&amp;"")</f>
        <v/>
      </c>
      <c r="C74" s="21">
        <f>IF($A74="","",INDEX('부의금 입력'!$C$2:$C$1001,MATCH($A74,'부의금 입력'!$H$2:$H$1001,0)))</f>
        <v/>
      </c>
      <c r="D74" s="19">
        <f>IF($A74="","",INDEX('부의금 입력'!$D$2:$D$1001,MATCH($A74,'부의금 입력'!$H$2:$H$1001,0))&amp;"")</f>
        <v/>
      </c>
      <c r="E74" s="19">
        <f>IF($A74="","",INDEX('부의금 입력'!$E$2:$E$1001,MATCH($A74,'부의금 입력'!$H$2:$H$1001,0))&amp;"")</f>
        <v/>
      </c>
      <c r="H74" s="19">
        <f>IF(71&gt;$I$1,"",INDEX('근조 화환'!$B$2:$B$501,MATCH(71,'근조 화환'!$G$2:$G$501,0))&amp;"")</f>
        <v/>
      </c>
      <c r="I74" s="19">
        <f>IF(71&gt;$I$1,"",INDEX('근조 화환'!$C$2:$C$501,MATCH(71,'근조 화환'!$G$2:$G$501,0))&amp;"")</f>
        <v/>
      </c>
      <c r="J74" s="19">
        <f>IF(71&gt;$I$1,"",INDEX('근조 화환'!$D$2:$D$501,MATCH(71,'근조 화환'!$G$2:$G$501,0))&amp;"")</f>
        <v/>
      </c>
      <c r="K74" s="19">
        <f>IF(71&gt;$I$1,"",INDEX('근조 화환'!$E$2:$E$501,MATCH(71,'근조 화환'!$G$2:$G$501,0))&amp;"")</f>
        <v/>
      </c>
    </row>
    <row r="75">
      <c r="A75" s="19">
        <f>IF(72&lt;=$F$1,72,"")</f>
        <v/>
      </c>
      <c r="B75" s="19">
        <f>IF($A75="","",INDEX('부의금 입력'!$B$2:$B$1001,MATCH($A75,'부의금 입력'!$H$2:$H$1001,0))&amp;"")</f>
        <v/>
      </c>
      <c r="C75" s="21">
        <f>IF($A75="","",INDEX('부의금 입력'!$C$2:$C$1001,MATCH($A75,'부의금 입력'!$H$2:$H$1001,0)))</f>
        <v/>
      </c>
      <c r="D75" s="19">
        <f>IF($A75="","",INDEX('부의금 입력'!$D$2:$D$1001,MATCH($A75,'부의금 입력'!$H$2:$H$1001,0))&amp;"")</f>
        <v/>
      </c>
      <c r="E75" s="19">
        <f>IF($A75="","",INDEX('부의금 입력'!$E$2:$E$1001,MATCH($A75,'부의금 입력'!$H$2:$H$1001,0))&amp;"")</f>
        <v/>
      </c>
      <c r="H75" s="19">
        <f>IF(72&gt;$I$1,"",INDEX('근조 화환'!$B$2:$B$501,MATCH(72,'근조 화환'!$G$2:$G$501,0))&amp;"")</f>
        <v/>
      </c>
      <c r="I75" s="19">
        <f>IF(72&gt;$I$1,"",INDEX('근조 화환'!$C$2:$C$501,MATCH(72,'근조 화환'!$G$2:$G$501,0))&amp;"")</f>
        <v/>
      </c>
      <c r="J75" s="19">
        <f>IF(72&gt;$I$1,"",INDEX('근조 화환'!$D$2:$D$501,MATCH(72,'근조 화환'!$G$2:$G$501,0))&amp;"")</f>
        <v/>
      </c>
      <c r="K75" s="19">
        <f>IF(72&gt;$I$1,"",INDEX('근조 화환'!$E$2:$E$501,MATCH(72,'근조 화환'!$G$2:$G$501,0))&amp;"")</f>
        <v/>
      </c>
    </row>
    <row r="76">
      <c r="A76" s="19">
        <f>IF(73&lt;=$F$1,73,"")</f>
        <v/>
      </c>
      <c r="B76" s="19">
        <f>IF($A76="","",INDEX('부의금 입력'!$B$2:$B$1001,MATCH($A76,'부의금 입력'!$H$2:$H$1001,0))&amp;"")</f>
        <v/>
      </c>
      <c r="C76" s="21">
        <f>IF($A76="","",INDEX('부의금 입력'!$C$2:$C$1001,MATCH($A76,'부의금 입력'!$H$2:$H$1001,0)))</f>
        <v/>
      </c>
      <c r="D76" s="19">
        <f>IF($A76="","",INDEX('부의금 입력'!$D$2:$D$1001,MATCH($A76,'부의금 입력'!$H$2:$H$1001,0))&amp;"")</f>
        <v/>
      </c>
      <c r="E76" s="19">
        <f>IF($A76="","",INDEX('부의금 입력'!$E$2:$E$1001,MATCH($A76,'부의금 입력'!$H$2:$H$1001,0))&amp;"")</f>
        <v/>
      </c>
      <c r="H76" s="19">
        <f>IF(73&gt;$I$1,"",INDEX('근조 화환'!$B$2:$B$501,MATCH(73,'근조 화환'!$G$2:$G$501,0))&amp;"")</f>
        <v/>
      </c>
      <c r="I76" s="19">
        <f>IF(73&gt;$I$1,"",INDEX('근조 화환'!$C$2:$C$501,MATCH(73,'근조 화환'!$G$2:$G$501,0))&amp;"")</f>
        <v/>
      </c>
      <c r="J76" s="19">
        <f>IF(73&gt;$I$1,"",INDEX('근조 화환'!$D$2:$D$501,MATCH(73,'근조 화환'!$G$2:$G$501,0))&amp;"")</f>
        <v/>
      </c>
      <c r="K76" s="19">
        <f>IF(73&gt;$I$1,"",INDEX('근조 화환'!$E$2:$E$501,MATCH(73,'근조 화환'!$G$2:$G$501,0))&amp;"")</f>
        <v/>
      </c>
    </row>
    <row r="77">
      <c r="A77" s="19">
        <f>IF(74&lt;=$F$1,74,"")</f>
        <v/>
      </c>
      <c r="B77" s="19">
        <f>IF($A77="","",INDEX('부의금 입력'!$B$2:$B$1001,MATCH($A77,'부의금 입력'!$H$2:$H$1001,0))&amp;"")</f>
        <v/>
      </c>
      <c r="C77" s="21">
        <f>IF($A77="","",INDEX('부의금 입력'!$C$2:$C$1001,MATCH($A77,'부의금 입력'!$H$2:$H$1001,0)))</f>
        <v/>
      </c>
      <c r="D77" s="19">
        <f>IF($A77="","",INDEX('부의금 입력'!$D$2:$D$1001,MATCH($A77,'부의금 입력'!$H$2:$H$1001,0))&amp;"")</f>
        <v/>
      </c>
      <c r="E77" s="19">
        <f>IF($A77="","",INDEX('부의금 입력'!$E$2:$E$1001,MATCH($A77,'부의금 입력'!$H$2:$H$1001,0))&amp;"")</f>
        <v/>
      </c>
      <c r="H77" s="19">
        <f>IF(74&gt;$I$1,"",INDEX('근조 화환'!$B$2:$B$501,MATCH(74,'근조 화환'!$G$2:$G$501,0))&amp;"")</f>
        <v/>
      </c>
      <c r="I77" s="19">
        <f>IF(74&gt;$I$1,"",INDEX('근조 화환'!$C$2:$C$501,MATCH(74,'근조 화환'!$G$2:$G$501,0))&amp;"")</f>
        <v/>
      </c>
      <c r="J77" s="19">
        <f>IF(74&gt;$I$1,"",INDEX('근조 화환'!$D$2:$D$501,MATCH(74,'근조 화환'!$G$2:$G$501,0))&amp;"")</f>
        <v/>
      </c>
      <c r="K77" s="19">
        <f>IF(74&gt;$I$1,"",INDEX('근조 화환'!$E$2:$E$501,MATCH(74,'근조 화환'!$G$2:$G$501,0))&amp;"")</f>
        <v/>
      </c>
    </row>
    <row r="78">
      <c r="A78" s="19">
        <f>IF(75&lt;=$F$1,75,"")</f>
        <v/>
      </c>
      <c r="B78" s="19">
        <f>IF($A78="","",INDEX('부의금 입력'!$B$2:$B$1001,MATCH($A78,'부의금 입력'!$H$2:$H$1001,0))&amp;"")</f>
        <v/>
      </c>
      <c r="C78" s="21">
        <f>IF($A78="","",INDEX('부의금 입력'!$C$2:$C$1001,MATCH($A78,'부의금 입력'!$H$2:$H$1001,0)))</f>
        <v/>
      </c>
      <c r="D78" s="19">
        <f>IF($A78="","",INDEX('부의금 입력'!$D$2:$D$1001,MATCH($A78,'부의금 입력'!$H$2:$H$1001,0))&amp;"")</f>
        <v/>
      </c>
      <c r="E78" s="19">
        <f>IF($A78="","",INDEX('부의금 입력'!$E$2:$E$1001,MATCH($A78,'부의금 입력'!$H$2:$H$1001,0))&amp;"")</f>
        <v/>
      </c>
      <c r="H78" s="19">
        <f>IF(75&gt;$I$1,"",INDEX('근조 화환'!$B$2:$B$501,MATCH(75,'근조 화환'!$G$2:$G$501,0))&amp;"")</f>
        <v/>
      </c>
      <c r="I78" s="19">
        <f>IF(75&gt;$I$1,"",INDEX('근조 화환'!$C$2:$C$501,MATCH(75,'근조 화환'!$G$2:$G$501,0))&amp;"")</f>
        <v/>
      </c>
      <c r="J78" s="19">
        <f>IF(75&gt;$I$1,"",INDEX('근조 화환'!$D$2:$D$501,MATCH(75,'근조 화환'!$G$2:$G$501,0))&amp;"")</f>
        <v/>
      </c>
      <c r="K78" s="19">
        <f>IF(75&gt;$I$1,"",INDEX('근조 화환'!$E$2:$E$501,MATCH(75,'근조 화환'!$G$2:$G$501,0))&amp;"")</f>
        <v/>
      </c>
    </row>
    <row r="79">
      <c r="A79" s="19">
        <f>IF(76&lt;=$F$1,76,"")</f>
        <v/>
      </c>
      <c r="B79" s="19">
        <f>IF($A79="","",INDEX('부의금 입력'!$B$2:$B$1001,MATCH($A79,'부의금 입력'!$H$2:$H$1001,0))&amp;"")</f>
        <v/>
      </c>
      <c r="C79" s="21">
        <f>IF($A79="","",INDEX('부의금 입력'!$C$2:$C$1001,MATCH($A79,'부의금 입력'!$H$2:$H$1001,0)))</f>
        <v/>
      </c>
      <c r="D79" s="19">
        <f>IF($A79="","",INDEX('부의금 입력'!$D$2:$D$1001,MATCH($A79,'부의금 입력'!$H$2:$H$1001,0))&amp;"")</f>
        <v/>
      </c>
      <c r="E79" s="19">
        <f>IF($A79="","",INDEX('부의금 입력'!$E$2:$E$1001,MATCH($A79,'부의금 입력'!$H$2:$H$1001,0))&amp;"")</f>
        <v/>
      </c>
      <c r="H79" s="19">
        <f>IF(76&gt;$I$1,"",INDEX('근조 화환'!$B$2:$B$501,MATCH(76,'근조 화환'!$G$2:$G$501,0))&amp;"")</f>
        <v/>
      </c>
      <c r="I79" s="19">
        <f>IF(76&gt;$I$1,"",INDEX('근조 화환'!$C$2:$C$501,MATCH(76,'근조 화환'!$G$2:$G$501,0))&amp;"")</f>
        <v/>
      </c>
      <c r="J79" s="19">
        <f>IF(76&gt;$I$1,"",INDEX('근조 화환'!$D$2:$D$501,MATCH(76,'근조 화환'!$G$2:$G$501,0))&amp;"")</f>
        <v/>
      </c>
      <c r="K79" s="19">
        <f>IF(76&gt;$I$1,"",INDEX('근조 화환'!$E$2:$E$501,MATCH(76,'근조 화환'!$G$2:$G$501,0))&amp;"")</f>
        <v/>
      </c>
    </row>
    <row r="80">
      <c r="A80" s="19">
        <f>IF(77&lt;=$F$1,77,"")</f>
        <v/>
      </c>
      <c r="B80" s="19">
        <f>IF($A80="","",INDEX('부의금 입력'!$B$2:$B$1001,MATCH($A80,'부의금 입력'!$H$2:$H$1001,0))&amp;"")</f>
        <v/>
      </c>
      <c r="C80" s="21">
        <f>IF($A80="","",INDEX('부의금 입력'!$C$2:$C$1001,MATCH($A80,'부의금 입력'!$H$2:$H$1001,0)))</f>
        <v/>
      </c>
      <c r="D80" s="19">
        <f>IF($A80="","",INDEX('부의금 입력'!$D$2:$D$1001,MATCH($A80,'부의금 입력'!$H$2:$H$1001,0))&amp;"")</f>
        <v/>
      </c>
      <c r="E80" s="19">
        <f>IF($A80="","",INDEX('부의금 입력'!$E$2:$E$1001,MATCH($A80,'부의금 입력'!$H$2:$H$1001,0))&amp;"")</f>
        <v/>
      </c>
      <c r="H80" s="19">
        <f>IF(77&gt;$I$1,"",INDEX('근조 화환'!$B$2:$B$501,MATCH(77,'근조 화환'!$G$2:$G$501,0))&amp;"")</f>
        <v/>
      </c>
      <c r="I80" s="19">
        <f>IF(77&gt;$I$1,"",INDEX('근조 화환'!$C$2:$C$501,MATCH(77,'근조 화환'!$G$2:$G$501,0))&amp;"")</f>
        <v/>
      </c>
      <c r="J80" s="19">
        <f>IF(77&gt;$I$1,"",INDEX('근조 화환'!$D$2:$D$501,MATCH(77,'근조 화환'!$G$2:$G$501,0))&amp;"")</f>
        <v/>
      </c>
      <c r="K80" s="19">
        <f>IF(77&gt;$I$1,"",INDEX('근조 화환'!$E$2:$E$501,MATCH(77,'근조 화환'!$G$2:$G$501,0))&amp;"")</f>
        <v/>
      </c>
    </row>
    <row r="81">
      <c r="A81" s="19">
        <f>IF(78&lt;=$F$1,78,"")</f>
        <v/>
      </c>
      <c r="B81" s="19">
        <f>IF($A81="","",INDEX('부의금 입력'!$B$2:$B$1001,MATCH($A81,'부의금 입력'!$H$2:$H$1001,0))&amp;"")</f>
        <v/>
      </c>
      <c r="C81" s="21">
        <f>IF($A81="","",INDEX('부의금 입력'!$C$2:$C$1001,MATCH($A81,'부의금 입력'!$H$2:$H$1001,0)))</f>
        <v/>
      </c>
      <c r="D81" s="19">
        <f>IF($A81="","",INDEX('부의금 입력'!$D$2:$D$1001,MATCH($A81,'부의금 입력'!$H$2:$H$1001,0))&amp;"")</f>
        <v/>
      </c>
      <c r="E81" s="19">
        <f>IF($A81="","",INDEX('부의금 입력'!$E$2:$E$1001,MATCH($A81,'부의금 입력'!$H$2:$H$1001,0))&amp;"")</f>
        <v/>
      </c>
      <c r="H81" s="19">
        <f>IF(78&gt;$I$1,"",INDEX('근조 화환'!$B$2:$B$501,MATCH(78,'근조 화환'!$G$2:$G$501,0))&amp;"")</f>
        <v/>
      </c>
      <c r="I81" s="19">
        <f>IF(78&gt;$I$1,"",INDEX('근조 화환'!$C$2:$C$501,MATCH(78,'근조 화환'!$G$2:$G$501,0))&amp;"")</f>
        <v/>
      </c>
      <c r="J81" s="19">
        <f>IF(78&gt;$I$1,"",INDEX('근조 화환'!$D$2:$D$501,MATCH(78,'근조 화환'!$G$2:$G$501,0))&amp;"")</f>
        <v/>
      </c>
      <c r="K81" s="19">
        <f>IF(78&gt;$I$1,"",INDEX('근조 화환'!$E$2:$E$501,MATCH(78,'근조 화환'!$G$2:$G$501,0))&amp;"")</f>
        <v/>
      </c>
    </row>
    <row r="82">
      <c r="A82" s="19">
        <f>IF(79&lt;=$F$1,79,"")</f>
        <v/>
      </c>
      <c r="B82" s="19">
        <f>IF($A82="","",INDEX('부의금 입력'!$B$2:$B$1001,MATCH($A82,'부의금 입력'!$H$2:$H$1001,0))&amp;"")</f>
        <v/>
      </c>
      <c r="C82" s="21">
        <f>IF($A82="","",INDEX('부의금 입력'!$C$2:$C$1001,MATCH($A82,'부의금 입력'!$H$2:$H$1001,0)))</f>
        <v/>
      </c>
      <c r="D82" s="19">
        <f>IF($A82="","",INDEX('부의금 입력'!$D$2:$D$1001,MATCH($A82,'부의금 입력'!$H$2:$H$1001,0))&amp;"")</f>
        <v/>
      </c>
      <c r="E82" s="19">
        <f>IF($A82="","",INDEX('부의금 입력'!$E$2:$E$1001,MATCH($A82,'부의금 입력'!$H$2:$H$1001,0))&amp;"")</f>
        <v/>
      </c>
      <c r="H82" s="19">
        <f>IF(79&gt;$I$1,"",INDEX('근조 화환'!$B$2:$B$501,MATCH(79,'근조 화환'!$G$2:$G$501,0))&amp;"")</f>
        <v/>
      </c>
      <c r="I82" s="19">
        <f>IF(79&gt;$I$1,"",INDEX('근조 화환'!$C$2:$C$501,MATCH(79,'근조 화환'!$G$2:$G$501,0))&amp;"")</f>
        <v/>
      </c>
      <c r="J82" s="19">
        <f>IF(79&gt;$I$1,"",INDEX('근조 화환'!$D$2:$D$501,MATCH(79,'근조 화환'!$G$2:$G$501,0))&amp;"")</f>
        <v/>
      </c>
      <c r="K82" s="19">
        <f>IF(79&gt;$I$1,"",INDEX('근조 화환'!$E$2:$E$501,MATCH(79,'근조 화환'!$G$2:$G$501,0))&amp;"")</f>
        <v/>
      </c>
    </row>
    <row r="83">
      <c r="A83" s="19">
        <f>IF(80&lt;=$F$1,80,"")</f>
        <v/>
      </c>
      <c r="B83" s="19">
        <f>IF($A83="","",INDEX('부의금 입력'!$B$2:$B$1001,MATCH($A83,'부의금 입력'!$H$2:$H$1001,0))&amp;"")</f>
        <v/>
      </c>
      <c r="C83" s="21">
        <f>IF($A83="","",INDEX('부의금 입력'!$C$2:$C$1001,MATCH($A83,'부의금 입력'!$H$2:$H$1001,0)))</f>
        <v/>
      </c>
      <c r="D83" s="19">
        <f>IF($A83="","",INDEX('부의금 입력'!$D$2:$D$1001,MATCH($A83,'부의금 입력'!$H$2:$H$1001,0))&amp;"")</f>
        <v/>
      </c>
      <c r="E83" s="19">
        <f>IF($A83="","",INDEX('부의금 입력'!$E$2:$E$1001,MATCH($A83,'부의금 입력'!$H$2:$H$1001,0))&amp;"")</f>
        <v/>
      </c>
      <c r="H83" s="19">
        <f>IF(80&gt;$I$1,"",INDEX('근조 화환'!$B$2:$B$501,MATCH(80,'근조 화환'!$G$2:$G$501,0))&amp;"")</f>
        <v/>
      </c>
      <c r="I83" s="19">
        <f>IF(80&gt;$I$1,"",INDEX('근조 화환'!$C$2:$C$501,MATCH(80,'근조 화환'!$G$2:$G$501,0))&amp;"")</f>
        <v/>
      </c>
      <c r="J83" s="19">
        <f>IF(80&gt;$I$1,"",INDEX('근조 화환'!$D$2:$D$501,MATCH(80,'근조 화환'!$G$2:$G$501,0))&amp;"")</f>
        <v/>
      </c>
      <c r="K83" s="19">
        <f>IF(80&gt;$I$1,"",INDEX('근조 화환'!$E$2:$E$501,MATCH(80,'근조 화환'!$G$2:$G$501,0))&amp;"")</f>
        <v/>
      </c>
    </row>
    <row r="84">
      <c r="A84" s="19">
        <f>IF(81&lt;=$F$1,81,"")</f>
        <v/>
      </c>
      <c r="B84" s="19">
        <f>IF($A84="","",INDEX('부의금 입력'!$B$2:$B$1001,MATCH($A84,'부의금 입력'!$H$2:$H$1001,0))&amp;"")</f>
        <v/>
      </c>
      <c r="C84" s="21">
        <f>IF($A84="","",INDEX('부의금 입력'!$C$2:$C$1001,MATCH($A84,'부의금 입력'!$H$2:$H$1001,0)))</f>
        <v/>
      </c>
      <c r="D84" s="19">
        <f>IF($A84="","",INDEX('부의금 입력'!$D$2:$D$1001,MATCH($A84,'부의금 입력'!$H$2:$H$1001,0))&amp;"")</f>
        <v/>
      </c>
      <c r="E84" s="19">
        <f>IF($A84="","",INDEX('부의금 입력'!$E$2:$E$1001,MATCH($A84,'부의금 입력'!$H$2:$H$1001,0))&amp;"")</f>
        <v/>
      </c>
      <c r="H84" s="19">
        <f>IF(81&gt;$I$1,"",INDEX('근조 화환'!$B$2:$B$501,MATCH(81,'근조 화환'!$G$2:$G$501,0))&amp;"")</f>
        <v/>
      </c>
      <c r="I84" s="19">
        <f>IF(81&gt;$I$1,"",INDEX('근조 화환'!$C$2:$C$501,MATCH(81,'근조 화환'!$G$2:$G$501,0))&amp;"")</f>
        <v/>
      </c>
      <c r="J84" s="19">
        <f>IF(81&gt;$I$1,"",INDEX('근조 화환'!$D$2:$D$501,MATCH(81,'근조 화환'!$G$2:$G$501,0))&amp;"")</f>
        <v/>
      </c>
      <c r="K84" s="19">
        <f>IF(81&gt;$I$1,"",INDEX('근조 화환'!$E$2:$E$501,MATCH(81,'근조 화환'!$G$2:$G$501,0))&amp;"")</f>
        <v/>
      </c>
    </row>
    <row r="85">
      <c r="A85" s="19">
        <f>IF(82&lt;=$F$1,82,"")</f>
        <v/>
      </c>
      <c r="B85" s="19">
        <f>IF($A85="","",INDEX('부의금 입력'!$B$2:$B$1001,MATCH($A85,'부의금 입력'!$H$2:$H$1001,0))&amp;"")</f>
        <v/>
      </c>
      <c r="C85" s="21">
        <f>IF($A85="","",INDEX('부의금 입력'!$C$2:$C$1001,MATCH($A85,'부의금 입력'!$H$2:$H$1001,0)))</f>
        <v/>
      </c>
      <c r="D85" s="19">
        <f>IF($A85="","",INDEX('부의금 입력'!$D$2:$D$1001,MATCH($A85,'부의금 입력'!$H$2:$H$1001,0))&amp;"")</f>
        <v/>
      </c>
      <c r="E85" s="19">
        <f>IF($A85="","",INDEX('부의금 입력'!$E$2:$E$1001,MATCH($A85,'부의금 입력'!$H$2:$H$1001,0))&amp;"")</f>
        <v/>
      </c>
      <c r="H85" s="19">
        <f>IF(82&gt;$I$1,"",INDEX('근조 화환'!$B$2:$B$501,MATCH(82,'근조 화환'!$G$2:$G$501,0))&amp;"")</f>
        <v/>
      </c>
      <c r="I85" s="19">
        <f>IF(82&gt;$I$1,"",INDEX('근조 화환'!$C$2:$C$501,MATCH(82,'근조 화환'!$G$2:$G$501,0))&amp;"")</f>
        <v/>
      </c>
      <c r="J85" s="19">
        <f>IF(82&gt;$I$1,"",INDEX('근조 화환'!$D$2:$D$501,MATCH(82,'근조 화환'!$G$2:$G$501,0))&amp;"")</f>
        <v/>
      </c>
      <c r="K85" s="19">
        <f>IF(82&gt;$I$1,"",INDEX('근조 화환'!$E$2:$E$501,MATCH(82,'근조 화환'!$G$2:$G$501,0))&amp;"")</f>
        <v/>
      </c>
    </row>
    <row r="86">
      <c r="A86" s="19">
        <f>IF(83&lt;=$F$1,83,"")</f>
        <v/>
      </c>
      <c r="B86" s="19">
        <f>IF($A86="","",INDEX('부의금 입력'!$B$2:$B$1001,MATCH($A86,'부의금 입력'!$H$2:$H$1001,0))&amp;"")</f>
        <v/>
      </c>
      <c r="C86" s="21">
        <f>IF($A86="","",INDEX('부의금 입력'!$C$2:$C$1001,MATCH($A86,'부의금 입력'!$H$2:$H$1001,0)))</f>
        <v/>
      </c>
      <c r="D86" s="19">
        <f>IF($A86="","",INDEX('부의금 입력'!$D$2:$D$1001,MATCH($A86,'부의금 입력'!$H$2:$H$1001,0))&amp;"")</f>
        <v/>
      </c>
      <c r="E86" s="19">
        <f>IF($A86="","",INDEX('부의금 입력'!$E$2:$E$1001,MATCH($A86,'부의금 입력'!$H$2:$H$1001,0))&amp;"")</f>
        <v/>
      </c>
      <c r="H86" s="19">
        <f>IF(83&gt;$I$1,"",INDEX('근조 화환'!$B$2:$B$501,MATCH(83,'근조 화환'!$G$2:$G$501,0))&amp;"")</f>
        <v/>
      </c>
      <c r="I86" s="19">
        <f>IF(83&gt;$I$1,"",INDEX('근조 화환'!$C$2:$C$501,MATCH(83,'근조 화환'!$G$2:$G$501,0))&amp;"")</f>
        <v/>
      </c>
      <c r="J86" s="19">
        <f>IF(83&gt;$I$1,"",INDEX('근조 화환'!$D$2:$D$501,MATCH(83,'근조 화환'!$G$2:$G$501,0))&amp;"")</f>
        <v/>
      </c>
      <c r="K86" s="19">
        <f>IF(83&gt;$I$1,"",INDEX('근조 화환'!$E$2:$E$501,MATCH(83,'근조 화환'!$G$2:$G$501,0))&amp;"")</f>
        <v/>
      </c>
    </row>
    <row r="87">
      <c r="A87" s="19">
        <f>IF(84&lt;=$F$1,84,"")</f>
        <v/>
      </c>
      <c r="B87" s="19">
        <f>IF($A87="","",INDEX('부의금 입력'!$B$2:$B$1001,MATCH($A87,'부의금 입력'!$H$2:$H$1001,0))&amp;"")</f>
        <v/>
      </c>
      <c r="C87" s="21">
        <f>IF($A87="","",INDEX('부의금 입력'!$C$2:$C$1001,MATCH($A87,'부의금 입력'!$H$2:$H$1001,0)))</f>
        <v/>
      </c>
      <c r="D87" s="19">
        <f>IF($A87="","",INDEX('부의금 입력'!$D$2:$D$1001,MATCH($A87,'부의금 입력'!$H$2:$H$1001,0))&amp;"")</f>
        <v/>
      </c>
      <c r="E87" s="19">
        <f>IF($A87="","",INDEX('부의금 입력'!$E$2:$E$1001,MATCH($A87,'부의금 입력'!$H$2:$H$1001,0))&amp;"")</f>
        <v/>
      </c>
      <c r="H87" s="19">
        <f>IF(84&gt;$I$1,"",INDEX('근조 화환'!$B$2:$B$501,MATCH(84,'근조 화환'!$G$2:$G$501,0))&amp;"")</f>
        <v/>
      </c>
      <c r="I87" s="19">
        <f>IF(84&gt;$I$1,"",INDEX('근조 화환'!$C$2:$C$501,MATCH(84,'근조 화환'!$G$2:$G$501,0))&amp;"")</f>
        <v/>
      </c>
      <c r="J87" s="19">
        <f>IF(84&gt;$I$1,"",INDEX('근조 화환'!$D$2:$D$501,MATCH(84,'근조 화환'!$G$2:$G$501,0))&amp;"")</f>
        <v/>
      </c>
      <c r="K87" s="19">
        <f>IF(84&gt;$I$1,"",INDEX('근조 화환'!$E$2:$E$501,MATCH(84,'근조 화환'!$G$2:$G$501,0))&amp;"")</f>
        <v/>
      </c>
    </row>
    <row r="88">
      <c r="A88" s="19">
        <f>IF(85&lt;=$F$1,85,"")</f>
        <v/>
      </c>
      <c r="B88" s="19">
        <f>IF($A88="","",INDEX('부의금 입력'!$B$2:$B$1001,MATCH($A88,'부의금 입력'!$H$2:$H$1001,0))&amp;"")</f>
        <v/>
      </c>
      <c r="C88" s="21">
        <f>IF($A88="","",INDEX('부의금 입력'!$C$2:$C$1001,MATCH($A88,'부의금 입력'!$H$2:$H$1001,0)))</f>
        <v/>
      </c>
      <c r="D88" s="19">
        <f>IF($A88="","",INDEX('부의금 입력'!$D$2:$D$1001,MATCH($A88,'부의금 입력'!$H$2:$H$1001,0))&amp;"")</f>
        <v/>
      </c>
      <c r="E88" s="19">
        <f>IF($A88="","",INDEX('부의금 입력'!$E$2:$E$1001,MATCH($A88,'부의금 입력'!$H$2:$H$1001,0))&amp;"")</f>
        <v/>
      </c>
      <c r="H88" s="19">
        <f>IF(85&gt;$I$1,"",INDEX('근조 화환'!$B$2:$B$501,MATCH(85,'근조 화환'!$G$2:$G$501,0))&amp;"")</f>
        <v/>
      </c>
      <c r="I88" s="19">
        <f>IF(85&gt;$I$1,"",INDEX('근조 화환'!$C$2:$C$501,MATCH(85,'근조 화환'!$G$2:$G$501,0))&amp;"")</f>
        <v/>
      </c>
      <c r="J88" s="19">
        <f>IF(85&gt;$I$1,"",INDEX('근조 화환'!$D$2:$D$501,MATCH(85,'근조 화환'!$G$2:$G$501,0))&amp;"")</f>
        <v/>
      </c>
      <c r="K88" s="19">
        <f>IF(85&gt;$I$1,"",INDEX('근조 화환'!$E$2:$E$501,MATCH(85,'근조 화환'!$G$2:$G$501,0))&amp;"")</f>
        <v/>
      </c>
    </row>
    <row r="89">
      <c r="A89" s="19">
        <f>IF(86&lt;=$F$1,86,"")</f>
        <v/>
      </c>
      <c r="B89" s="19">
        <f>IF($A89="","",INDEX('부의금 입력'!$B$2:$B$1001,MATCH($A89,'부의금 입력'!$H$2:$H$1001,0))&amp;"")</f>
        <v/>
      </c>
      <c r="C89" s="21">
        <f>IF($A89="","",INDEX('부의금 입력'!$C$2:$C$1001,MATCH($A89,'부의금 입력'!$H$2:$H$1001,0)))</f>
        <v/>
      </c>
      <c r="D89" s="19">
        <f>IF($A89="","",INDEX('부의금 입력'!$D$2:$D$1001,MATCH($A89,'부의금 입력'!$H$2:$H$1001,0))&amp;"")</f>
        <v/>
      </c>
      <c r="E89" s="19">
        <f>IF($A89="","",INDEX('부의금 입력'!$E$2:$E$1001,MATCH($A89,'부의금 입력'!$H$2:$H$1001,0))&amp;"")</f>
        <v/>
      </c>
      <c r="H89" s="19">
        <f>IF(86&gt;$I$1,"",INDEX('근조 화환'!$B$2:$B$501,MATCH(86,'근조 화환'!$G$2:$G$501,0))&amp;"")</f>
        <v/>
      </c>
      <c r="I89" s="19">
        <f>IF(86&gt;$I$1,"",INDEX('근조 화환'!$C$2:$C$501,MATCH(86,'근조 화환'!$G$2:$G$501,0))&amp;"")</f>
        <v/>
      </c>
      <c r="J89" s="19">
        <f>IF(86&gt;$I$1,"",INDEX('근조 화환'!$D$2:$D$501,MATCH(86,'근조 화환'!$G$2:$G$501,0))&amp;"")</f>
        <v/>
      </c>
      <c r="K89" s="19">
        <f>IF(86&gt;$I$1,"",INDEX('근조 화환'!$E$2:$E$501,MATCH(86,'근조 화환'!$G$2:$G$501,0))&amp;"")</f>
        <v/>
      </c>
    </row>
    <row r="90">
      <c r="A90" s="19">
        <f>IF(87&lt;=$F$1,87,"")</f>
        <v/>
      </c>
      <c r="B90" s="19">
        <f>IF($A90="","",INDEX('부의금 입력'!$B$2:$B$1001,MATCH($A90,'부의금 입력'!$H$2:$H$1001,0))&amp;"")</f>
        <v/>
      </c>
      <c r="C90" s="21">
        <f>IF($A90="","",INDEX('부의금 입력'!$C$2:$C$1001,MATCH($A90,'부의금 입력'!$H$2:$H$1001,0)))</f>
        <v/>
      </c>
      <c r="D90" s="19">
        <f>IF($A90="","",INDEX('부의금 입력'!$D$2:$D$1001,MATCH($A90,'부의금 입력'!$H$2:$H$1001,0))&amp;"")</f>
        <v/>
      </c>
      <c r="E90" s="19">
        <f>IF($A90="","",INDEX('부의금 입력'!$E$2:$E$1001,MATCH($A90,'부의금 입력'!$H$2:$H$1001,0))&amp;"")</f>
        <v/>
      </c>
      <c r="H90" s="19">
        <f>IF(87&gt;$I$1,"",INDEX('근조 화환'!$B$2:$B$501,MATCH(87,'근조 화환'!$G$2:$G$501,0))&amp;"")</f>
        <v/>
      </c>
      <c r="I90" s="19">
        <f>IF(87&gt;$I$1,"",INDEX('근조 화환'!$C$2:$C$501,MATCH(87,'근조 화환'!$G$2:$G$501,0))&amp;"")</f>
        <v/>
      </c>
      <c r="J90" s="19">
        <f>IF(87&gt;$I$1,"",INDEX('근조 화환'!$D$2:$D$501,MATCH(87,'근조 화환'!$G$2:$G$501,0))&amp;"")</f>
        <v/>
      </c>
      <c r="K90" s="19">
        <f>IF(87&gt;$I$1,"",INDEX('근조 화환'!$E$2:$E$501,MATCH(87,'근조 화환'!$G$2:$G$501,0))&amp;"")</f>
        <v/>
      </c>
    </row>
    <row r="91">
      <c r="A91" s="19">
        <f>IF(88&lt;=$F$1,88,"")</f>
        <v/>
      </c>
      <c r="B91" s="19">
        <f>IF($A91="","",INDEX('부의금 입력'!$B$2:$B$1001,MATCH($A91,'부의금 입력'!$H$2:$H$1001,0))&amp;"")</f>
        <v/>
      </c>
      <c r="C91" s="21">
        <f>IF($A91="","",INDEX('부의금 입력'!$C$2:$C$1001,MATCH($A91,'부의금 입력'!$H$2:$H$1001,0)))</f>
        <v/>
      </c>
      <c r="D91" s="19">
        <f>IF($A91="","",INDEX('부의금 입력'!$D$2:$D$1001,MATCH($A91,'부의금 입력'!$H$2:$H$1001,0))&amp;"")</f>
        <v/>
      </c>
      <c r="E91" s="19">
        <f>IF($A91="","",INDEX('부의금 입력'!$E$2:$E$1001,MATCH($A91,'부의금 입력'!$H$2:$H$1001,0))&amp;"")</f>
        <v/>
      </c>
      <c r="H91" s="19">
        <f>IF(88&gt;$I$1,"",INDEX('근조 화환'!$B$2:$B$501,MATCH(88,'근조 화환'!$G$2:$G$501,0))&amp;"")</f>
        <v/>
      </c>
      <c r="I91" s="19">
        <f>IF(88&gt;$I$1,"",INDEX('근조 화환'!$C$2:$C$501,MATCH(88,'근조 화환'!$G$2:$G$501,0))&amp;"")</f>
        <v/>
      </c>
      <c r="J91" s="19">
        <f>IF(88&gt;$I$1,"",INDEX('근조 화환'!$D$2:$D$501,MATCH(88,'근조 화환'!$G$2:$G$501,0))&amp;"")</f>
        <v/>
      </c>
      <c r="K91" s="19">
        <f>IF(88&gt;$I$1,"",INDEX('근조 화환'!$E$2:$E$501,MATCH(88,'근조 화환'!$G$2:$G$501,0))&amp;"")</f>
        <v/>
      </c>
    </row>
    <row r="92">
      <c r="A92" s="19">
        <f>IF(89&lt;=$F$1,89,"")</f>
        <v/>
      </c>
      <c r="B92" s="19">
        <f>IF($A92="","",INDEX('부의금 입력'!$B$2:$B$1001,MATCH($A92,'부의금 입력'!$H$2:$H$1001,0))&amp;"")</f>
        <v/>
      </c>
      <c r="C92" s="21">
        <f>IF($A92="","",INDEX('부의금 입력'!$C$2:$C$1001,MATCH($A92,'부의금 입력'!$H$2:$H$1001,0)))</f>
        <v/>
      </c>
      <c r="D92" s="19">
        <f>IF($A92="","",INDEX('부의금 입력'!$D$2:$D$1001,MATCH($A92,'부의금 입력'!$H$2:$H$1001,0))&amp;"")</f>
        <v/>
      </c>
      <c r="E92" s="19">
        <f>IF($A92="","",INDEX('부의금 입력'!$E$2:$E$1001,MATCH($A92,'부의금 입력'!$H$2:$H$1001,0))&amp;"")</f>
        <v/>
      </c>
      <c r="H92" s="19">
        <f>IF(89&gt;$I$1,"",INDEX('근조 화환'!$B$2:$B$501,MATCH(89,'근조 화환'!$G$2:$G$501,0))&amp;"")</f>
        <v/>
      </c>
      <c r="I92" s="19">
        <f>IF(89&gt;$I$1,"",INDEX('근조 화환'!$C$2:$C$501,MATCH(89,'근조 화환'!$G$2:$G$501,0))&amp;"")</f>
        <v/>
      </c>
      <c r="J92" s="19">
        <f>IF(89&gt;$I$1,"",INDEX('근조 화환'!$D$2:$D$501,MATCH(89,'근조 화환'!$G$2:$G$501,0))&amp;"")</f>
        <v/>
      </c>
      <c r="K92" s="19">
        <f>IF(89&gt;$I$1,"",INDEX('근조 화환'!$E$2:$E$501,MATCH(89,'근조 화환'!$G$2:$G$501,0))&amp;"")</f>
        <v/>
      </c>
    </row>
    <row r="93">
      <c r="A93" s="19">
        <f>IF(90&lt;=$F$1,90,"")</f>
        <v/>
      </c>
      <c r="B93" s="19">
        <f>IF($A93="","",INDEX('부의금 입력'!$B$2:$B$1001,MATCH($A93,'부의금 입력'!$H$2:$H$1001,0))&amp;"")</f>
        <v/>
      </c>
      <c r="C93" s="21">
        <f>IF($A93="","",INDEX('부의금 입력'!$C$2:$C$1001,MATCH($A93,'부의금 입력'!$H$2:$H$1001,0)))</f>
        <v/>
      </c>
      <c r="D93" s="19">
        <f>IF($A93="","",INDEX('부의금 입력'!$D$2:$D$1001,MATCH($A93,'부의금 입력'!$H$2:$H$1001,0))&amp;"")</f>
        <v/>
      </c>
      <c r="E93" s="19">
        <f>IF($A93="","",INDEX('부의금 입력'!$E$2:$E$1001,MATCH($A93,'부의금 입력'!$H$2:$H$1001,0))&amp;"")</f>
        <v/>
      </c>
      <c r="H93" s="19">
        <f>IF(90&gt;$I$1,"",INDEX('근조 화환'!$B$2:$B$501,MATCH(90,'근조 화환'!$G$2:$G$501,0))&amp;"")</f>
        <v/>
      </c>
      <c r="I93" s="19">
        <f>IF(90&gt;$I$1,"",INDEX('근조 화환'!$C$2:$C$501,MATCH(90,'근조 화환'!$G$2:$G$501,0))&amp;"")</f>
        <v/>
      </c>
      <c r="J93" s="19">
        <f>IF(90&gt;$I$1,"",INDEX('근조 화환'!$D$2:$D$501,MATCH(90,'근조 화환'!$G$2:$G$501,0))&amp;"")</f>
        <v/>
      </c>
      <c r="K93" s="19">
        <f>IF(90&gt;$I$1,"",INDEX('근조 화환'!$E$2:$E$501,MATCH(90,'근조 화환'!$G$2:$G$501,0))&amp;"")</f>
        <v/>
      </c>
    </row>
    <row r="94">
      <c r="A94" s="19">
        <f>IF(91&lt;=$F$1,91,"")</f>
        <v/>
      </c>
      <c r="B94" s="19">
        <f>IF($A94="","",INDEX('부의금 입력'!$B$2:$B$1001,MATCH($A94,'부의금 입력'!$H$2:$H$1001,0))&amp;"")</f>
        <v/>
      </c>
      <c r="C94" s="21">
        <f>IF($A94="","",INDEX('부의금 입력'!$C$2:$C$1001,MATCH($A94,'부의금 입력'!$H$2:$H$1001,0)))</f>
        <v/>
      </c>
      <c r="D94" s="19">
        <f>IF($A94="","",INDEX('부의금 입력'!$D$2:$D$1001,MATCH($A94,'부의금 입력'!$H$2:$H$1001,0))&amp;"")</f>
        <v/>
      </c>
      <c r="E94" s="19">
        <f>IF($A94="","",INDEX('부의금 입력'!$E$2:$E$1001,MATCH($A94,'부의금 입력'!$H$2:$H$1001,0))&amp;"")</f>
        <v/>
      </c>
      <c r="H94" s="19">
        <f>IF(91&gt;$I$1,"",INDEX('근조 화환'!$B$2:$B$501,MATCH(91,'근조 화환'!$G$2:$G$501,0))&amp;"")</f>
        <v/>
      </c>
      <c r="I94" s="19">
        <f>IF(91&gt;$I$1,"",INDEX('근조 화환'!$C$2:$C$501,MATCH(91,'근조 화환'!$G$2:$G$501,0))&amp;"")</f>
        <v/>
      </c>
      <c r="J94" s="19">
        <f>IF(91&gt;$I$1,"",INDEX('근조 화환'!$D$2:$D$501,MATCH(91,'근조 화환'!$G$2:$G$501,0))&amp;"")</f>
        <v/>
      </c>
      <c r="K94" s="19">
        <f>IF(91&gt;$I$1,"",INDEX('근조 화환'!$E$2:$E$501,MATCH(91,'근조 화환'!$G$2:$G$501,0))&amp;"")</f>
        <v/>
      </c>
    </row>
    <row r="95">
      <c r="A95" s="19">
        <f>IF(92&lt;=$F$1,92,"")</f>
        <v/>
      </c>
      <c r="B95" s="19">
        <f>IF($A95="","",INDEX('부의금 입력'!$B$2:$B$1001,MATCH($A95,'부의금 입력'!$H$2:$H$1001,0))&amp;"")</f>
        <v/>
      </c>
      <c r="C95" s="21">
        <f>IF($A95="","",INDEX('부의금 입력'!$C$2:$C$1001,MATCH($A95,'부의금 입력'!$H$2:$H$1001,0)))</f>
        <v/>
      </c>
      <c r="D95" s="19">
        <f>IF($A95="","",INDEX('부의금 입력'!$D$2:$D$1001,MATCH($A95,'부의금 입력'!$H$2:$H$1001,0))&amp;"")</f>
        <v/>
      </c>
      <c r="E95" s="19">
        <f>IF($A95="","",INDEX('부의금 입력'!$E$2:$E$1001,MATCH($A95,'부의금 입력'!$H$2:$H$1001,0))&amp;"")</f>
        <v/>
      </c>
      <c r="H95" s="19">
        <f>IF(92&gt;$I$1,"",INDEX('근조 화환'!$B$2:$B$501,MATCH(92,'근조 화환'!$G$2:$G$501,0))&amp;"")</f>
        <v/>
      </c>
      <c r="I95" s="19">
        <f>IF(92&gt;$I$1,"",INDEX('근조 화환'!$C$2:$C$501,MATCH(92,'근조 화환'!$G$2:$G$501,0))&amp;"")</f>
        <v/>
      </c>
      <c r="J95" s="19">
        <f>IF(92&gt;$I$1,"",INDEX('근조 화환'!$D$2:$D$501,MATCH(92,'근조 화환'!$G$2:$G$501,0))&amp;"")</f>
        <v/>
      </c>
      <c r="K95" s="19">
        <f>IF(92&gt;$I$1,"",INDEX('근조 화환'!$E$2:$E$501,MATCH(92,'근조 화환'!$G$2:$G$501,0))&amp;"")</f>
        <v/>
      </c>
    </row>
    <row r="96">
      <c r="A96" s="19">
        <f>IF(93&lt;=$F$1,93,"")</f>
        <v/>
      </c>
      <c r="B96" s="19">
        <f>IF($A96="","",INDEX('부의금 입력'!$B$2:$B$1001,MATCH($A96,'부의금 입력'!$H$2:$H$1001,0))&amp;"")</f>
        <v/>
      </c>
      <c r="C96" s="21">
        <f>IF($A96="","",INDEX('부의금 입력'!$C$2:$C$1001,MATCH($A96,'부의금 입력'!$H$2:$H$1001,0)))</f>
        <v/>
      </c>
      <c r="D96" s="19">
        <f>IF($A96="","",INDEX('부의금 입력'!$D$2:$D$1001,MATCH($A96,'부의금 입력'!$H$2:$H$1001,0))&amp;"")</f>
        <v/>
      </c>
      <c r="E96" s="19">
        <f>IF($A96="","",INDEX('부의금 입력'!$E$2:$E$1001,MATCH($A96,'부의금 입력'!$H$2:$H$1001,0))&amp;"")</f>
        <v/>
      </c>
      <c r="H96" s="19">
        <f>IF(93&gt;$I$1,"",INDEX('근조 화환'!$B$2:$B$501,MATCH(93,'근조 화환'!$G$2:$G$501,0))&amp;"")</f>
        <v/>
      </c>
      <c r="I96" s="19">
        <f>IF(93&gt;$I$1,"",INDEX('근조 화환'!$C$2:$C$501,MATCH(93,'근조 화환'!$G$2:$G$501,0))&amp;"")</f>
        <v/>
      </c>
      <c r="J96" s="19">
        <f>IF(93&gt;$I$1,"",INDEX('근조 화환'!$D$2:$D$501,MATCH(93,'근조 화환'!$G$2:$G$501,0))&amp;"")</f>
        <v/>
      </c>
      <c r="K96" s="19">
        <f>IF(93&gt;$I$1,"",INDEX('근조 화환'!$E$2:$E$501,MATCH(93,'근조 화환'!$G$2:$G$501,0))&amp;"")</f>
        <v/>
      </c>
    </row>
    <row r="97">
      <c r="A97" s="19">
        <f>IF(94&lt;=$F$1,94,"")</f>
        <v/>
      </c>
      <c r="B97" s="19">
        <f>IF($A97="","",INDEX('부의금 입력'!$B$2:$B$1001,MATCH($A97,'부의금 입력'!$H$2:$H$1001,0))&amp;"")</f>
        <v/>
      </c>
      <c r="C97" s="21">
        <f>IF($A97="","",INDEX('부의금 입력'!$C$2:$C$1001,MATCH($A97,'부의금 입력'!$H$2:$H$1001,0)))</f>
        <v/>
      </c>
      <c r="D97" s="19">
        <f>IF($A97="","",INDEX('부의금 입력'!$D$2:$D$1001,MATCH($A97,'부의금 입력'!$H$2:$H$1001,0))&amp;"")</f>
        <v/>
      </c>
      <c r="E97" s="19">
        <f>IF($A97="","",INDEX('부의금 입력'!$E$2:$E$1001,MATCH($A97,'부의금 입력'!$H$2:$H$1001,0))&amp;"")</f>
        <v/>
      </c>
      <c r="H97" s="19">
        <f>IF(94&gt;$I$1,"",INDEX('근조 화환'!$B$2:$B$501,MATCH(94,'근조 화환'!$G$2:$G$501,0))&amp;"")</f>
        <v/>
      </c>
      <c r="I97" s="19">
        <f>IF(94&gt;$I$1,"",INDEX('근조 화환'!$C$2:$C$501,MATCH(94,'근조 화환'!$G$2:$G$501,0))&amp;"")</f>
        <v/>
      </c>
      <c r="J97" s="19">
        <f>IF(94&gt;$I$1,"",INDEX('근조 화환'!$D$2:$D$501,MATCH(94,'근조 화환'!$G$2:$G$501,0))&amp;"")</f>
        <v/>
      </c>
      <c r="K97" s="19">
        <f>IF(94&gt;$I$1,"",INDEX('근조 화환'!$E$2:$E$501,MATCH(94,'근조 화환'!$G$2:$G$501,0))&amp;"")</f>
        <v/>
      </c>
    </row>
    <row r="98">
      <c r="A98" s="19">
        <f>IF(95&lt;=$F$1,95,"")</f>
        <v/>
      </c>
      <c r="B98" s="19">
        <f>IF($A98="","",INDEX('부의금 입력'!$B$2:$B$1001,MATCH($A98,'부의금 입력'!$H$2:$H$1001,0))&amp;"")</f>
        <v/>
      </c>
      <c r="C98" s="21">
        <f>IF($A98="","",INDEX('부의금 입력'!$C$2:$C$1001,MATCH($A98,'부의금 입력'!$H$2:$H$1001,0)))</f>
        <v/>
      </c>
      <c r="D98" s="19">
        <f>IF($A98="","",INDEX('부의금 입력'!$D$2:$D$1001,MATCH($A98,'부의금 입력'!$H$2:$H$1001,0))&amp;"")</f>
        <v/>
      </c>
      <c r="E98" s="19">
        <f>IF($A98="","",INDEX('부의금 입력'!$E$2:$E$1001,MATCH($A98,'부의금 입력'!$H$2:$H$1001,0))&amp;"")</f>
        <v/>
      </c>
      <c r="H98" s="19">
        <f>IF(95&gt;$I$1,"",INDEX('근조 화환'!$B$2:$B$501,MATCH(95,'근조 화환'!$G$2:$G$501,0))&amp;"")</f>
        <v/>
      </c>
      <c r="I98" s="19">
        <f>IF(95&gt;$I$1,"",INDEX('근조 화환'!$C$2:$C$501,MATCH(95,'근조 화환'!$G$2:$G$501,0))&amp;"")</f>
        <v/>
      </c>
      <c r="J98" s="19">
        <f>IF(95&gt;$I$1,"",INDEX('근조 화환'!$D$2:$D$501,MATCH(95,'근조 화환'!$G$2:$G$501,0))&amp;"")</f>
        <v/>
      </c>
      <c r="K98" s="19">
        <f>IF(95&gt;$I$1,"",INDEX('근조 화환'!$E$2:$E$501,MATCH(95,'근조 화환'!$G$2:$G$501,0))&amp;"")</f>
        <v/>
      </c>
    </row>
    <row r="99">
      <c r="A99" s="19">
        <f>IF(96&lt;=$F$1,96,"")</f>
        <v/>
      </c>
      <c r="B99" s="19">
        <f>IF($A99="","",INDEX('부의금 입력'!$B$2:$B$1001,MATCH($A99,'부의금 입력'!$H$2:$H$1001,0))&amp;"")</f>
        <v/>
      </c>
      <c r="C99" s="21">
        <f>IF($A99="","",INDEX('부의금 입력'!$C$2:$C$1001,MATCH($A99,'부의금 입력'!$H$2:$H$1001,0)))</f>
        <v/>
      </c>
      <c r="D99" s="19">
        <f>IF($A99="","",INDEX('부의금 입력'!$D$2:$D$1001,MATCH($A99,'부의금 입력'!$H$2:$H$1001,0))&amp;"")</f>
        <v/>
      </c>
      <c r="E99" s="19">
        <f>IF($A99="","",INDEX('부의금 입력'!$E$2:$E$1001,MATCH($A99,'부의금 입력'!$H$2:$H$1001,0))&amp;"")</f>
        <v/>
      </c>
      <c r="H99" s="19">
        <f>IF(96&gt;$I$1,"",INDEX('근조 화환'!$B$2:$B$501,MATCH(96,'근조 화환'!$G$2:$G$501,0))&amp;"")</f>
        <v/>
      </c>
      <c r="I99" s="19">
        <f>IF(96&gt;$I$1,"",INDEX('근조 화환'!$C$2:$C$501,MATCH(96,'근조 화환'!$G$2:$G$501,0))&amp;"")</f>
        <v/>
      </c>
      <c r="J99" s="19">
        <f>IF(96&gt;$I$1,"",INDEX('근조 화환'!$D$2:$D$501,MATCH(96,'근조 화환'!$G$2:$G$501,0))&amp;"")</f>
        <v/>
      </c>
      <c r="K99" s="19">
        <f>IF(96&gt;$I$1,"",INDEX('근조 화환'!$E$2:$E$501,MATCH(96,'근조 화환'!$G$2:$G$501,0))&amp;"")</f>
        <v/>
      </c>
    </row>
    <row r="100">
      <c r="A100" s="19">
        <f>IF(97&lt;=$F$1,97,"")</f>
        <v/>
      </c>
      <c r="B100" s="19">
        <f>IF($A100="","",INDEX('부의금 입력'!$B$2:$B$1001,MATCH($A100,'부의금 입력'!$H$2:$H$1001,0))&amp;"")</f>
        <v/>
      </c>
      <c r="C100" s="21">
        <f>IF($A100="","",INDEX('부의금 입력'!$C$2:$C$1001,MATCH($A100,'부의금 입력'!$H$2:$H$1001,0)))</f>
        <v/>
      </c>
      <c r="D100" s="19">
        <f>IF($A100="","",INDEX('부의금 입력'!$D$2:$D$1001,MATCH($A100,'부의금 입력'!$H$2:$H$1001,0))&amp;"")</f>
        <v/>
      </c>
      <c r="E100" s="19">
        <f>IF($A100="","",INDEX('부의금 입력'!$E$2:$E$1001,MATCH($A100,'부의금 입력'!$H$2:$H$1001,0))&amp;"")</f>
        <v/>
      </c>
      <c r="H100" s="19">
        <f>IF(97&gt;$I$1,"",INDEX('근조 화환'!$B$2:$B$501,MATCH(97,'근조 화환'!$G$2:$G$501,0))&amp;"")</f>
        <v/>
      </c>
      <c r="I100" s="19">
        <f>IF(97&gt;$I$1,"",INDEX('근조 화환'!$C$2:$C$501,MATCH(97,'근조 화환'!$G$2:$G$501,0))&amp;"")</f>
        <v/>
      </c>
      <c r="J100" s="19">
        <f>IF(97&gt;$I$1,"",INDEX('근조 화환'!$D$2:$D$501,MATCH(97,'근조 화환'!$G$2:$G$501,0))&amp;"")</f>
        <v/>
      </c>
      <c r="K100" s="19">
        <f>IF(97&gt;$I$1,"",INDEX('근조 화환'!$E$2:$E$501,MATCH(97,'근조 화환'!$G$2:$G$501,0))&amp;"")</f>
        <v/>
      </c>
    </row>
    <row r="101">
      <c r="A101" s="19">
        <f>IF(98&lt;=$F$1,98,"")</f>
        <v/>
      </c>
      <c r="B101" s="19">
        <f>IF($A101="","",INDEX('부의금 입력'!$B$2:$B$1001,MATCH($A101,'부의금 입력'!$H$2:$H$1001,0))&amp;"")</f>
        <v/>
      </c>
      <c r="C101" s="21">
        <f>IF($A101="","",INDEX('부의금 입력'!$C$2:$C$1001,MATCH($A101,'부의금 입력'!$H$2:$H$1001,0)))</f>
        <v/>
      </c>
      <c r="D101" s="19">
        <f>IF($A101="","",INDEX('부의금 입력'!$D$2:$D$1001,MATCH($A101,'부의금 입력'!$H$2:$H$1001,0))&amp;"")</f>
        <v/>
      </c>
      <c r="E101" s="19">
        <f>IF($A101="","",INDEX('부의금 입력'!$E$2:$E$1001,MATCH($A101,'부의금 입력'!$H$2:$H$1001,0))&amp;"")</f>
        <v/>
      </c>
      <c r="H101" s="19">
        <f>IF(98&gt;$I$1,"",INDEX('근조 화환'!$B$2:$B$501,MATCH(98,'근조 화환'!$G$2:$G$501,0))&amp;"")</f>
        <v/>
      </c>
      <c r="I101" s="19">
        <f>IF(98&gt;$I$1,"",INDEX('근조 화환'!$C$2:$C$501,MATCH(98,'근조 화환'!$G$2:$G$501,0))&amp;"")</f>
        <v/>
      </c>
      <c r="J101" s="19">
        <f>IF(98&gt;$I$1,"",INDEX('근조 화환'!$D$2:$D$501,MATCH(98,'근조 화환'!$G$2:$G$501,0))&amp;"")</f>
        <v/>
      </c>
      <c r="K101" s="19">
        <f>IF(98&gt;$I$1,"",INDEX('근조 화환'!$E$2:$E$501,MATCH(98,'근조 화환'!$G$2:$G$501,0))&amp;"")</f>
        <v/>
      </c>
    </row>
    <row r="102">
      <c r="A102" s="19">
        <f>IF(99&lt;=$F$1,99,"")</f>
        <v/>
      </c>
      <c r="B102" s="19">
        <f>IF($A102="","",INDEX('부의금 입력'!$B$2:$B$1001,MATCH($A102,'부의금 입력'!$H$2:$H$1001,0))&amp;"")</f>
        <v/>
      </c>
      <c r="C102" s="21">
        <f>IF($A102="","",INDEX('부의금 입력'!$C$2:$C$1001,MATCH($A102,'부의금 입력'!$H$2:$H$1001,0)))</f>
        <v/>
      </c>
      <c r="D102" s="19">
        <f>IF($A102="","",INDEX('부의금 입력'!$D$2:$D$1001,MATCH($A102,'부의금 입력'!$H$2:$H$1001,0))&amp;"")</f>
        <v/>
      </c>
      <c r="E102" s="19">
        <f>IF($A102="","",INDEX('부의금 입력'!$E$2:$E$1001,MATCH($A102,'부의금 입력'!$H$2:$H$1001,0))&amp;"")</f>
        <v/>
      </c>
      <c r="H102" s="19">
        <f>IF(99&gt;$I$1,"",INDEX('근조 화환'!$B$2:$B$501,MATCH(99,'근조 화환'!$G$2:$G$501,0))&amp;"")</f>
        <v/>
      </c>
      <c r="I102" s="19">
        <f>IF(99&gt;$I$1,"",INDEX('근조 화환'!$C$2:$C$501,MATCH(99,'근조 화환'!$G$2:$G$501,0))&amp;"")</f>
        <v/>
      </c>
      <c r="J102" s="19">
        <f>IF(99&gt;$I$1,"",INDEX('근조 화환'!$D$2:$D$501,MATCH(99,'근조 화환'!$G$2:$G$501,0))&amp;"")</f>
        <v/>
      </c>
      <c r="K102" s="19">
        <f>IF(99&gt;$I$1,"",INDEX('근조 화환'!$E$2:$E$501,MATCH(99,'근조 화환'!$G$2:$G$501,0))&amp;"")</f>
        <v/>
      </c>
    </row>
    <row r="103">
      <c r="A103" s="19">
        <f>IF(100&lt;=$F$1,100,"")</f>
        <v/>
      </c>
      <c r="B103" s="19">
        <f>IF($A103="","",INDEX('부의금 입력'!$B$2:$B$1001,MATCH($A103,'부의금 입력'!$H$2:$H$1001,0))&amp;"")</f>
        <v/>
      </c>
      <c r="C103" s="21">
        <f>IF($A103="","",INDEX('부의금 입력'!$C$2:$C$1001,MATCH($A103,'부의금 입력'!$H$2:$H$1001,0)))</f>
        <v/>
      </c>
      <c r="D103" s="19">
        <f>IF($A103="","",INDEX('부의금 입력'!$D$2:$D$1001,MATCH($A103,'부의금 입력'!$H$2:$H$1001,0))&amp;"")</f>
        <v/>
      </c>
      <c r="E103" s="19">
        <f>IF($A103="","",INDEX('부의금 입력'!$E$2:$E$1001,MATCH($A103,'부의금 입력'!$H$2:$H$1001,0))&amp;"")</f>
        <v/>
      </c>
      <c r="H103" s="19">
        <f>IF(100&gt;$I$1,"",INDEX('근조 화환'!$B$2:$B$501,MATCH(100,'근조 화환'!$G$2:$G$501,0))&amp;"")</f>
        <v/>
      </c>
      <c r="I103" s="19">
        <f>IF(100&gt;$I$1,"",INDEX('근조 화환'!$C$2:$C$501,MATCH(100,'근조 화환'!$G$2:$G$501,0))&amp;"")</f>
        <v/>
      </c>
      <c r="J103" s="19">
        <f>IF(100&gt;$I$1,"",INDEX('근조 화환'!$D$2:$D$501,MATCH(100,'근조 화환'!$G$2:$G$501,0))&amp;"")</f>
        <v/>
      </c>
      <c r="K103" s="19">
        <f>IF(100&gt;$I$1,"",INDEX('근조 화환'!$E$2:$E$501,MATCH(100,'근조 화환'!$G$2:$G$501,0))&amp;"")</f>
        <v/>
      </c>
    </row>
    <row r="104">
      <c r="A104" s="19">
        <f>IF(101&lt;=$F$1,101,"")</f>
        <v/>
      </c>
      <c r="B104" s="19">
        <f>IF($A104="","",INDEX('부의금 입력'!$B$2:$B$1001,MATCH($A104,'부의금 입력'!$H$2:$H$1001,0))&amp;"")</f>
        <v/>
      </c>
      <c r="C104" s="21">
        <f>IF($A104="","",INDEX('부의금 입력'!$C$2:$C$1001,MATCH($A104,'부의금 입력'!$H$2:$H$1001,0)))</f>
        <v/>
      </c>
      <c r="D104" s="19">
        <f>IF($A104="","",INDEX('부의금 입력'!$D$2:$D$1001,MATCH($A104,'부의금 입력'!$H$2:$H$1001,0))&amp;"")</f>
        <v/>
      </c>
      <c r="E104" s="19">
        <f>IF($A104="","",INDEX('부의금 입력'!$E$2:$E$1001,MATCH($A104,'부의금 입력'!$H$2:$H$1001,0))&amp;"")</f>
        <v/>
      </c>
      <c r="H104" s="19">
        <f>IF(101&gt;$I$1,"",INDEX('근조 화환'!$B$2:$B$501,MATCH(101,'근조 화환'!$G$2:$G$501,0))&amp;"")</f>
        <v/>
      </c>
      <c r="I104" s="19">
        <f>IF(101&gt;$I$1,"",INDEX('근조 화환'!$C$2:$C$501,MATCH(101,'근조 화환'!$G$2:$G$501,0))&amp;"")</f>
        <v/>
      </c>
      <c r="J104" s="19">
        <f>IF(101&gt;$I$1,"",INDEX('근조 화환'!$D$2:$D$501,MATCH(101,'근조 화환'!$G$2:$G$501,0))&amp;"")</f>
        <v/>
      </c>
      <c r="K104" s="19">
        <f>IF(101&gt;$I$1,"",INDEX('근조 화환'!$E$2:$E$501,MATCH(101,'근조 화환'!$G$2:$G$501,0))&amp;"")</f>
        <v/>
      </c>
    </row>
    <row r="105">
      <c r="A105" s="19">
        <f>IF(102&lt;=$F$1,102,"")</f>
        <v/>
      </c>
      <c r="B105" s="19">
        <f>IF($A105="","",INDEX('부의금 입력'!$B$2:$B$1001,MATCH($A105,'부의금 입력'!$H$2:$H$1001,0))&amp;"")</f>
        <v/>
      </c>
      <c r="C105" s="21">
        <f>IF($A105="","",INDEX('부의금 입력'!$C$2:$C$1001,MATCH($A105,'부의금 입력'!$H$2:$H$1001,0)))</f>
        <v/>
      </c>
      <c r="D105" s="19">
        <f>IF($A105="","",INDEX('부의금 입력'!$D$2:$D$1001,MATCH($A105,'부의금 입력'!$H$2:$H$1001,0))&amp;"")</f>
        <v/>
      </c>
      <c r="E105" s="19">
        <f>IF($A105="","",INDEX('부의금 입력'!$E$2:$E$1001,MATCH($A105,'부의금 입력'!$H$2:$H$1001,0))&amp;"")</f>
        <v/>
      </c>
      <c r="H105" s="19">
        <f>IF(102&gt;$I$1,"",INDEX('근조 화환'!$B$2:$B$501,MATCH(102,'근조 화환'!$G$2:$G$501,0))&amp;"")</f>
        <v/>
      </c>
      <c r="I105" s="19">
        <f>IF(102&gt;$I$1,"",INDEX('근조 화환'!$C$2:$C$501,MATCH(102,'근조 화환'!$G$2:$G$501,0))&amp;"")</f>
        <v/>
      </c>
      <c r="J105" s="19">
        <f>IF(102&gt;$I$1,"",INDEX('근조 화환'!$D$2:$D$501,MATCH(102,'근조 화환'!$G$2:$G$501,0))&amp;"")</f>
        <v/>
      </c>
      <c r="K105" s="19">
        <f>IF(102&gt;$I$1,"",INDEX('근조 화환'!$E$2:$E$501,MATCH(102,'근조 화환'!$G$2:$G$501,0))&amp;"")</f>
        <v/>
      </c>
    </row>
    <row r="106">
      <c r="A106" s="19">
        <f>IF(103&lt;=$F$1,103,"")</f>
        <v/>
      </c>
      <c r="B106" s="19">
        <f>IF($A106="","",INDEX('부의금 입력'!$B$2:$B$1001,MATCH($A106,'부의금 입력'!$H$2:$H$1001,0))&amp;"")</f>
        <v/>
      </c>
      <c r="C106" s="21">
        <f>IF($A106="","",INDEX('부의금 입력'!$C$2:$C$1001,MATCH($A106,'부의금 입력'!$H$2:$H$1001,0)))</f>
        <v/>
      </c>
      <c r="D106" s="19">
        <f>IF($A106="","",INDEX('부의금 입력'!$D$2:$D$1001,MATCH($A106,'부의금 입력'!$H$2:$H$1001,0))&amp;"")</f>
        <v/>
      </c>
      <c r="E106" s="19">
        <f>IF($A106="","",INDEX('부의금 입력'!$E$2:$E$1001,MATCH($A106,'부의금 입력'!$H$2:$H$1001,0))&amp;"")</f>
        <v/>
      </c>
      <c r="H106" s="19">
        <f>IF(103&gt;$I$1,"",INDEX('근조 화환'!$B$2:$B$501,MATCH(103,'근조 화환'!$G$2:$G$501,0))&amp;"")</f>
        <v/>
      </c>
      <c r="I106" s="19">
        <f>IF(103&gt;$I$1,"",INDEX('근조 화환'!$C$2:$C$501,MATCH(103,'근조 화환'!$G$2:$G$501,0))&amp;"")</f>
        <v/>
      </c>
      <c r="J106" s="19">
        <f>IF(103&gt;$I$1,"",INDEX('근조 화환'!$D$2:$D$501,MATCH(103,'근조 화환'!$G$2:$G$501,0))&amp;"")</f>
        <v/>
      </c>
      <c r="K106" s="19">
        <f>IF(103&gt;$I$1,"",INDEX('근조 화환'!$E$2:$E$501,MATCH(103,'근조 화환'!$G$2:$G$501,0))&amp;"")</f>
        <v/>
      </c>
    </row>
    <row r="107">
      <c r="A107" s="19">
        <f>IF(104&lt;=$F$1,104,"")</f>
        <v/>
      </c>
      <c r="B107" s="19">
        <f>IF($A107="","",INDEX('부의금 입력'!$B$2:$B$1001,MATCH($A107,'부의금 입력'!$H$2:$H$1001,0))&amp;"")</f>
        <v/>
      </c>
      <c r="C107" s="21">
        <f>IF($A107="","",INDEX('부의금 입력'!$C$2:$C$1001,MATCH($A107,'부의금 입력'!$H$2:$H$1001,0)))</f>
        <v/>
      </c>
      <c r="D107" s="19">
        <f>IF($A107="","",INDEX('부의금 입력'!$D$2:$D$1001,MATCH($A107,'부의금 입력'!$H$2:$H$1001,0))&amp;"")</f>
        <v/>
      </c>
      <c r="E107" s="19">
        <f>IF($A107="","",INDEX('부의금 입력'!$E$2:$E$1001,MATCH($A107,'부의금 입력'!$H$2:$H$1001,0))&amp;"")</f>
        <v/>
      </c>
      <c r="H107" s="19">
        <f>IF(104&gt;$I$1,"",INDEX('근조 화환'!$B$2:$B$501,MATCH(104,'근조 화환'!$G$2:$G$501,0))&amp;"")</f>
        <v/>
      </c>
      <c r="I107" s="19">
        <f>IF(104&gt;$I$1,"",INDEX('근조 화환'!$C$2:$C$501,MATCH(104,'근조 화환'!$G$2:$G$501,0))&amp;"")</f>
        <v/>
      </c>
      <c r="J107" s="19">
        <f>IF(104&gt;$I$1,"",INDEX('근조 화환'!$D$2:$D$501,MATCH(104,'근조 화환'!$G$2:$G$501,0))&amp;"")</f>
        <v/>
      </c>
      <c r="K107" s="19">
        <f>IF(104&gt;$I$1,"",INDEX('근조 화환'!$E$2:$E$501,MATCH(104,'근조 화환'!$G$2:$G$501,0))&amp;"")</f>
        <v/>
      </c>
    </row>
    <row r="108">
      <c r="A108" s="19">
        <f>IF(105&lt;=$F$1,105,"")</f>
        <v/>
      </c>
      <c r="B108" s="19">
        <f>IF($A108="","",INDEX('부의금 입력'!$B$2:$B$1001,MATCH($A108,'부의금 입력'!$H$2:$H$1001,0))&amp;"")</f>
        <v/>
      </c>
      <c r="C108" s="21">
        <f>IF($A108="","",INDEX('부의금 입력'!$C$2:$C$1001,MATCH($A108,'부의금 입력'!$H$2:$H$1001,0)))</f>
        <v/>
      </c>
      <c r="D108" s="19">
        <f>IF($A108="","",INDEX('부의금 입력'!$D$2:$D$1001,MATCH($A108,'부의금 입력'!$H$2:$H$1001,0))&amp;"")</f>
        <v/>
      </c>
      <c r="E108" s="19">
        <f>IF($A108="","",INDEX('부의금 입력'!$E$2:$E$1001,MATCH($A108,'부의금 입력'!$H$2:$H$1001,0))&amp;"")</f>
        <v/>
      </c>
      <c r="H108" s="19">
        <f>IF(105&gt;$I$1,"",INDEX('근조 화환'!$B$2:$B$501,MATCH(105,'근조 화환'!$G$2:$G$501,0))&amp;"")</f>
        <v/>
      </c>
      <c r="I108" s="19">
        <f>IF(105&gt;$I$1,"",INDEX('근조 화환'!$C$2:$C$501,MATCH(105,'근조 화환'!$G$2:$G$501,0))&amp;"")</f>
        <v/>
      </c>
      <c r="J108" s="19">
        <f>IF(105&gt;$I$1,"",INDEX('근조 화환'!$D$2:$D$501,MATCH(105,'근조 화환'!$G$2:$G$501,0))&amp;"")</f>
        <v/>
      </c>
      <c r="K108" s="19">
        <f>IF(105&gt;$I$1,"",INDEX('근조 화환'!$E$2:$E$501,MATCH(105,'근조 화환'!$G$2:$G$501,0))&amp;"")</f>
        <v/>
      </c>
    </row>
    <row r="109">
      <c r="A109" s="19">
        <f>IF(106&lt;=$F$1,106,"")</f>
        <v/>
      </c>
      <c r="B109" s="19">
        <f>IF($A109="","",INDEX('부의금 입력'!$B$2:$B$1001,MATCH($A109,'부의금 입력'!$H$2:$H$1001,0))&amp;"")</f>
        <v/>
      </c>
      <c r="C109" s="21">
        <f>IF($A109="","",INDEX('부의금 입력'!$C$2:$C$1001,MATCH($A109,'부의금 입력'!$H$2:$H$1001,0)))</f>
        <v/>
      </c>
      <c r="D109" s="19">
        <f>IF($A109="","",INDEX('부의금 입력'!$D$2:$D$1001,MATCH($A109,'부의금 입력'!$H$2:$H$1001,0))&amp;"")</f>
        <v/>
      </c>
      <c r="E109" s="19">
        <f>IF($A109="","",INDEX('부의금 입력'!$E$2:$E$1001,MATCH($A109,'부의금 입력'!$H$2:$H$1001,0))&amp;"")</f>
        <v/>
      </c>
      <c r="H109" s="19">
        <f>IF(106&gt;$I$1,"",INDEX('근조 화환'!$B$2:$B$501,MATCH(106,'근조 화환'!$G$2:$G$501,0))&amp;"")</f>
        <v/>
      </c>
      <c r="I109" s="19">
        <f>IF(106&gt;$I$1,"",INDEX('근조 화환'!$C$2:$C$501,MATCH(106,'근조 화환'!$G$2:$G$501,0))&amp;"")</f>
        <v/>
      </c>
      <c r="J109" s="19">
        <f>IF(106&gt;$I$1,"",INDEX('근조 화환'!$D$2:$D$501,MATCH(106,'근조 화환'!$G$2:$G$501,0))&amp;"")</f>
        <v/>
      </c>
      <c r="K109" s="19">
        <f>IF(106&gt;$I$1,"",INDEX('근조 화환'!$E$2:$E$501,MATCH(106,'근조 화환'!$G$2:$G$501,0))&amp;"")</f>
        <v/>
      </c>
    </row>
    <row r="110">
      <c r="A110" s="19">
        <f>IF(107&lt;=$F$1,107,"")</f>
        <v/>
      </c>
      <c r="B110" s="19">
        <f>IF($A110="","",INDEX('부의금 입력'!$B$2:$B$1001,MATCH($A110,'부의금 입력'!$H$2:$H$1001,0))&amp;"")</f>
        <v/>
      </c>
      <c r="C110" s="21">
        <f>IF($A110="","",INDEX('부의금 입력'!$C$2:$C$1001,MATCH($A110,'부의금 입력'!$H$2:$H$1001,0)))</f>
        <v/>
      </c>
      <c r="D110" s="19">
        <f>IF($A110="","",INDEX('부의금 입력'!$D$2:$D$1001,MATCH($A110,'부의금 입력'!$H$2:$H$1001,0))&amp;"")</f>
        <v/>
      </c>
      <c r="E110" s="19">
        <f>IF($A110="","",INDEX('부의금 입력'!$E$2:$E$1001,MATCH($A110,'부의금 입력'!$H$2:$H$1001,0))&amp;"")</f>
        <v/>
      </c>
      <c r="H110" s="19">
        <f>IF(107&gt;$I$1,"",INDEX('근조 화환'!$B$2:$B$501,MATCH(107,'근조 화환'!$G$2:$G$501,0))&amp;"")</f>
        <v/>
      </c>
      <c r="I110" s="19">
        <f>IF(107&gt;$I$1,"",INDEX('근조 화환'!$C$2:$C$501,MATCH(107,'근조 화환'!$G$2:$G$501,0))&amp;"")</f>
        <v/>
      </c>
      <c r="J110" s="19">
        <f>IF(107&gt;$I$1,"",INDEX('근조 화환'!$D$2:$D$501,MATCH(107,'근조 화환'!$G$2:$G$501,0))&amp;"")</f>
        <v/>
      </c>
      <c r="K110" s="19">
        <f>IF(107&gt;$I$1,"",INDEX('근조 화환'!$E$2:$E$501,MATCH(107,'근조 화환'!$G$2:$G$501,0))&amp;"")</f>
        <v/>
      </c>
    </row>
    <row r="111">
      <c r="A111" s="19">
        <f>IF(108&lt;=$F$1,108,"")</f>
        <v/>
      </c>
      <c r="B111" s="19">
        <f>IF($A111="","",INDEX('부의금 입력'!$B$2:$B$1001,MATCH($A111,'부의금 입력'!$H$2:$H$1001,0))&amp;"")</f>
        <v/>
      </c>
      <c r="C111" s="21">
        <f>IF($A111="","",INDEX('부의금 입력'!$C$2:$C$1001,MATCH($A111,'부의금 입력'!$H$2:$H$1001,0)))</f>
        <v/>
      </c>
      <c r="D111" s="19">
        <f>IF($A111="","",INDEX('부의금 입력'!$D$2:$D$1001,MATCH($A111,'부의금 입력'!$H$2:$H$1001,0))&amp;"")</f>
        <v/>
      </c>
      <c r="E111" s="19">
        <f>IF($A111="","",INDEX('부의금 입력'!$E$2:$E$1001,MATCH($A111,'부의금 입력'!$H$2:$H$1001,0))&amp;"")</f>
        <v/>
      </c>
      <c r="H111" s="19">
        <f>IF(108&gt;$I$1,"",INDEX('근조 화환'!$B$2:$B$501,MATCH(108,'근조 화환'!$G$2:$G$501,0))&amp;"")</f>
        <v/>
      </c>
      <c r="I111" s="19">
        <f>IF(108&gt;$I$1,"",INDEX('근조 화환'!$C$2:$C$501,MATCH(108,'근조 화환'!$G$2:$G$501,0))&amp;"")</f>
        <v/>
      </c>
      <c r="J111" s="19">
        <f>IF(108&gt;$I$1,"",INDEX('근조 화환'!$D$2:$D$501,MATCH(108,'근조 화환'!$G$2:$G$501,0))&amp;"")</f>
        <v/>
      </c>
      <c r="K111" s="19">
        <f>IF(108&gt;$I$1,"",INDEX('근조 화환'!$E$2:$E$501,MATCH(108,'근조 화환'!$G$2:$G$501,0))&amp;"")</f>
        <v/>
      </c>
    </row>
    <row r="112">
      <c r="A112" s="19">
        <f>IF(109&lt;=$F$1,109,"")</f>
        <v/>
      </c>
      <c r="B112" s="19">
        <f>IF($A112="","",INDEX('부의금 입력'!$B$2:$B$1001,MATCH($A112,'부의금 입력'!$H$2:$H$1001,0))&amp;"")</f>
        <v/>
      </c>
      <c r="C112" s="21">
        <f>IF($A112="","",INDEX('부의금 입력'!$C$2:$C$1001,MATCH($A112,'부의금 입력'!$H$2:$H$1001,0)))</f>
        <v/>
      </c>
      <c r="D112" s="19">
        <f>IF($A112="","",INDEX('부의금 입력'!$D$2:$D$1001,MATCH($A112,'부의금 입력'!$H$2:$H$1001,0))&amp;"")</f>
        <v/>
      </c>
      <c r="E112" s="19">
        <f>IF($A112="","",INDEX('부의금 입력'!$E$2:$E$1001,MATCH($A112,'부의금 입력'!$H$2:$H$1001,0))&amp;"")</f>
        <v/>
      </c>
      <c r="H112" s="19">
        <f>IF(109&gt;$I$1,"",INDEX('근조 화환'!$B$2:$B$501,MATCH(109,'근조 화환'!$G$2:$G$501,0))&amp;"")</f>
        <v/>
      </c>
      <c r="I112" s="19">
        <f>IF(109&gt;$I$1,"",INDEX('근조 화환'!$C$2:$C$501,MATCH(109,'근조 화환'!$G$2:$G$501,0))&amp;"")</f>
        <v/>
      </c>
      <c r="J112" s="19">
        <f>IF(109&gt;$I$1,"",INDEX('근조 화환'!$D$2:$D$501,MATCH(109,'근조 화환'!$G$2:$G$501,0))&amp;"")</f>
        <v/>
      </c>
      <c r="K112" s="19">
        <f>IF(109&gt;$I$1,"",INDEX('근조 화환'!$E$2:$E$501,MATCH(109,'근조 화환'!$G$2:$G$501,0))&amp;"")</f>
        <v/>
      </c>
    </row>
    <row r="113">
      <c r="A113" s="19">
        <f>IF(110&lt;=$F$1,110,"")</f>
        <v/>
      </c>
      <c r="B113" s="19">
        <f>IF($A113="","",INDEX('부의금 입력'!$B$2:$B$1001,MATCH($A113,'부의금 입력'!$H$2:$H$1001,0))&amp;"")</f>
        <v/>
      </c>
      <c r="C113" s="21">
        <f>IF($A113="","",INDEX('부의금 입력'!$C$2:$C$1001,MATCH($A113,'부의금 입력'!$H$2:$H$1001,0)))</f>
        <v/>
      </c>
      <c r="D113" s="19">
        <f>IF($A113="","",INDEX('부의금 입력'!$D$2:$D$1001,MATCH($A113,'부의금 입력'!$H$2:$H$1001,0))&amp;"")</f>
        <v/>
      </c>
      <c r="E113" s="19">
        <f>IF($A113="","",INDEX('부의금 입력'!$E$2:$E$1001,MATCH($A113,'부의금 입력'!$H$2:$H$1001,0))&amp;"")</f>
        <v/>
      </c>
      <c r="H113" s="19">
        <f>IF(110&gt;$I$1,"",INDEX('근조 화환'!$B$2:$B$501,MATCH(110,'근조 화환'!$G$2:$G$501,0))&amp;"")</f>
        <v/>
      </c>
      <c r="I113" s="19">
        <f>IF(110&gt;$I$1,"",INDEX('근조 화환'!$C$2:$C$501,MATCH(110,'근조 화환'!$G$2:$G$501,0))&amp;"")</f>
        <v/>
      </c>
      <c r="J113" s="19">
        <f>IF(110&gt;$I$1,"",INDEX('근조 화환'!$D$2:$D$501,MATCH(110,'근조 화환'!$G$2:$G$501,0))&amp;"")</f>
        <v/>
      </c>
      <c r="K113" s="19">
        <f>IF(110&gt;$I$1,"",INDEX('근조 화환'!$E$2:$E$501,MATCH(110,'근조 화환'!$G$2:$G$501,0))&amp;"")</f>
        <v/>
      </c>
    </row>
    <row r="114">
      <c r="A114" s="19">
        <f>IF(111&lt;=$F$1,111,"")</f>
        <v/>
      </c>
      <c r="B114" s="19">
        <f>IF($A114="","",INDEX('부의금 입력'!$B$2:$B$1001,MATCH($A114,'부의금 입력'!$H$2:$H$1001,0))&amp;"")</f>
        <v/>
      </c>
      <c r="C114" s="21">
        <f>IF($A114="","",INDEX('부의금 입력'!$C$2:$C$1001,MATCH($A114,'부의금 입력'!$H$2:$H$1001,0)))</f>
        <v/>
      </c>
      <c r="D114" s="19">
        <f>IF($A114="","",INDEX('부의금 입력'!$D$2:$D$1001,MATCH($A114,'부의금 입력'!$H$2:$H$1001,0))&amp;"")</f>
        <v/>
      </c>
      <c r="E114" s="19">
        <f>IF($A114="","",INDEX('부의금 입력'!$E$2:$E$1001,MATCH($A114,'부의금 입력'!$H$2:$H$1001,0))&amp;"")</f>
        <v/>
      </c>
      <c r="H114" s="19">
        <f>IF(111&gt;$I$1,"",INDEX('근조 화환'!$B$2:$B$501,MATCH(111,'근조 화환'!$G$2:$G$501,0))&amp;"")</f>
        <v/>
      </c>
      <c r="I114" s="19">
        <f>IF(111&gt;$I$1,"",INDEX('근조 화환'!$C$2:$C$501,MATCH(111,'근조 화환'!$G$2:$G$501,0))&amp;"")</f>
        <v/>
      </c>
      <c r="J114" s="19">
        <f>IF(111&gt;$I$1,"",INDEX('근조 화환'!$D$2:$D$501,MATCH(111,'근조 화환'!$G$2:$G$501,0))&amp;"")</f>
        <v/>
      </c>
      <c r="K114" s="19">
        <f>IF(111&gt;$I$1,"",INDEX('근조 화환'!$E$2:$E$501,MATCH(111,'근조 화환'!$G$2:$G$501,0))&amp;"")</f>
        <v/>
      </c>
    </row>
    <row r="115">
      <c r="A115" s="19">
        <f>IF(112&lt;=$F$1,112,"")</f>
        <v/>
      </c>
      <c r="B115" s="19">
        <f>IF($A115="","",INDEX('부의금 입력'!$B$2:$B$1001,MATCH($A115,'부의금 입력'!$H$2:$H$1001,0))&amp;"")</f>
        <v/>
      </c>
      <c r="C115" s="21">
        <f>IF($A115="","",INDEX('부의금 입력'!$C$2:$C$1001,MATCH($A115,'부의금 입력'!$H$2:$H$1001,0)))</f>
        <v/>
      </c>
      <c r="D115" s="19">
        <f>IF($A115="","",INDEX('부의금 입력'!$D$2:$D$1001,MATCH($A115,'부의금 입력'!$H$2:$H$1001,0))&amp;"")</f>
        <v/>
      </c>
      <c r="E115" s="19">
        <f>IF($A115="","",INDEX('부의금 입력'!$E$2:$E$1001,MATCH($A115,'부의금 입력'!$H$2:$H$1001,0))&amp;"")</f>
        <v/>
      </c>
      <c r="H115" s="19">
        <f>IF(112&gt;$I$1,"",INDEX('근조 화환'!$B$2:$B$501,MATCH(112,'근조 화환'!$G$2:$G$501,0))&amp;"")</f>
        <v/>
      </c>
      <c r="I115" s="19">
        <f>IF(112&gt;$I$1,"",INDEX('근조 화환'!$C$2:$C$501,MATCH(112,'근조 화환'!$G$2:$G$501,0))&amp;"")</f>
        <v/>
      </c>
      <c r="J115" s="19">
        <f>IF(112&gt;$I$1,"",INDEX('근조 화환'!$D$2:$D$501,MATCH(112,'근조 화환'!$G$2:$G$501,0))&amp;"")</f>
        <v/>
      </c>
      <c r="K115" s="19">
        <f>IF(112&gt;$I$1,"",INDEX('근조 화환'!$E$2:$E$501,MATCH(112,'근조 화환'!$G$2:$G$501,0))&amp;"")</f>
        <v/>
      </c>
    </row>
    <row r="116">
      <c r="A116" s="19">
        <f>IF(113&lt;=$F$1,113,"")</f>
        <v/>
      </c>
      <c r="B116" s="19">
        <f>IF($A116="","",INDEX('부의금 입력'!$B$2:$B$1001,MATCH($A116,'부의금 입력'!$H$2:$H$1001,0))&amp;"")</f>
        <v/>
      </c>
      <c r="C116" s="21">
        <f>IF($A116="","",INDEX('부의금 입력'!$C$2:$C$1001,MATCH($A116,'부의금 입력'!$H$2:$H$1001,0)))</f>
        <v/>
      </c>
      <c r="D116" s="19">
        <f>IF($A116="","",INDEX('부의금 입력'!$D$2:$D$1001,MATCH($A116,'부의금 입력'!$H$2:$H$1001,0))&amp;"")</f>
        <v/>
      </c>
      <c r="E116" s="19">
        <f>IF($A116="","",INDEX('부의금 입력'!$E$2:$E$1001,MATCH($A116,'부의금 입력'!$H$2:$H$1001,0))&amp;"")</f>
        <v/>
      </c>
      <c r="H116" s="19">
        <f>IF(113&gt;$I$1,"",INDEX('근조 화환'!$B$2:$B$501,MATCH(113,'근조 화환'!$G$2:$G$501,0))&amp;"")</f>
        <v/>
      </c>
      <c r="I116" s="19">
        <f>IF(113&gt;$I$1,"",INDEX('근조 화환'!$C$2:$C$501,MATCH(113,'근조 화환'!$G$2:$G$501,0))&amp;"")</f>
        <v/>
      </c>
      <c r="J116" s="19">
        <f>IF(113&gt;$I$1,"",INDEX('근조 화환'!$D$2:$D$501,MATCH(113,'근조 화환'!$G$2:$G$501,0))&amp;"")</f>
        <v/>
      </c>
      <c r="K116" s="19">
        <f>IF(113&gt;$I$1,"",INDEX('근조 화환'!$E$2:$E$501,MATCH(113,'근조 화환'!$G$2:$G$501,0))&amp;"")</f>
        <v/>
      </c>
    </row>
    <row r="117">
      <c r="A117" s="19">
        <f>IF(114&lt;=$F$1,114,"")</f>
        <v/>
      </c>
      <c r="B117" s="19">
        <f>IF($A117="","",INDEX('부의금 입력'!$B$2:$B$1001,MATCH($A117,'부의금 입력'!$H$2:$H$1001,0))&amp;"")</f>
        <v/>
      </c>
      <c r="C117" s="21">
        <f>IF($A117="","",INDEX('부의금 입력'!$C$2:$C$1001,MATCH($A117,'부의금 입력'!$H$2:$H$1001,0)))</f>
        <v/>
      </c>
      <c r="D117" s="19">
        <f>IF($A117="","",INDEX('부의금 입력'!$D$2:$D$1001,MATCH($A117,'부의금 입력'!$H$2:$H$1001,0))&amp;"")</f>
        <v/>
      </c>
      <c r="E117" s="19">
        <f>IF($A117="","",INDEX('부의금 입력'!$E$2:$E$1001,MATCH($A117,'부의금 입력'!$H$2:$H$1001,0))&amp;"")</f>
        <v/>
      </c>
      <c r="H117" s="19">
        <f>IF(114&gt;$I$1,"",INDEX('근조 화환'!$B$2:$B$501,MATCH(114,'근조 화환'!$G$2:$G$501,0))&amp;"")</f>
        <v/>
      </c>
      <c r="I117" s="19">
        <f>IF(114&gt;$I$1,"",INDEX('근조 화환'!$C$2:$C$501,MATCH(114,'근조 화환'!$G$2:$G$501,0))&amp;"")</f>
        <v/>
      </c>
      <c r="J117" s="19">
        <f>IF(114&gt;$I$1,"",INDEX('근조 화환'!$D$2:$D$501,MATCH(114,'근조 화환'!$G$2:$G$501,0))&amp;"")</f>
        <v/>
      </c>
      <c r="K117" s="19">
        <f>IF(114&gt;$I$1,"",INDEX('근조 화환'!$E$2:$E$501,MATCH(114,'근조 화환'!$G$2:$G$501,0))&amp;"")</f>
        <v/>
      </c>
    </row>
    <row r="118">
      <c r="A118" s="19">
        <f>IF(115&lt;=$F$1,115,"")</f>
        <v/>
      </c>
      <c r="B118" s="19">
        <f>IF($A118="","",INDEX('부의금 입력'!$B$2:$B$1001,MATCH($A118,'부의금 입력'!$H$2:$H$1001,0))&amp;"")</f>
        <v/>
      </c>
      <c r="C118" s="21">
        <f>IF($A118="","",INDEX('부의금 입력'!$C$2:$C$1001,MATCH($A118,'부의금 입력'!$H$2:$H$1001,0)))</f>
        <v/>
      </c>
      <c r="D118" s="19">
        <f>IF($A118="","",INDEX('부의금 입력'!$D$2:$D$1001,MATCH($A118,'부의금 입력'!$H$2:$H$1001,0))&amp;"")</f>
        <v/>
      </c>
      <c r="E118" s="19">
        <f>IF($A118="","",INDEX('부의금 입력'!$E$2:$E$1001,MATCH($A118,'부의금 입력'!$H$2:$H$1001,0))&amp;"")</f>
        <v/>
      </c>
      <c r="H118" s="19">
        <f>IF(115&gt;$I$1,"",INDEX('근조 화환'!$B$2:$B$501,MATCH(115,'근조 화환'!$G$2:$G$501,0))&amp;"")</f>
        <v/>
      </c>
      <c r="I118" s="19">
        <f>IF(115&gt;$I$1,"",INDEX('근조 화환'!$C$2:$C$501,MATCH(115,'근조 화환'!$G$2:$G$501,0))&amp;"")</f>
        <v/>
      </c>
      <c r="J118" s="19">
        <f>IF(115&gt;$I$1,"",INDEX('근조 화환'!$D$2:$D$501,MATCH(115,'근조 화환'!$G$2:$G$501,0))&amp;"")</f>
        <v/>
      </c>
      <c r="K118" s="19">
        <f>IF(115&gt;$I$1,"",INDEX('근조 화환'!$E$2:$E$501,MATCH(115,'근조 화환'!$G$2:$G$501,0))&amp;"")</f>
        <v/>
      </c>
    </row>
    <row r="119">
      <c r="A119" s="19">
        <f>IF(116&lt;=$F$1,116,"")</f>
        <v/>
      </c>
      <c r="B119" s="19">
        <f>IF($A119="","",INDEX('부의금 입력'!$B$2:$B$1001,MATCH($A119,'부의금 입력'!$H$2:$H$1001,0))&amp;"")</f>
        <v/>
      </c>
      <c r="C119" s="21">
        <f>IF($A119="","",INDEX('부의금 입력'!$C$2:$C$1001,MATCH($A119,'부의금 입력'!$H$2:$H$1001,0)))</f>
        <v/>
      </c>
      <c r="D119" s="19">
        <f>IF($A119="","",INDEX('부의금 입력'!$D$2:$D$1001,MATCH($A119,'부의금 입력'!$H$2:$H$1001,0))&amp;"")</f>
        <v/>
      </c>
      <c r="E119" s="19">
        <f>IF($A119="","",INDEX('부의금 입력'!$E$2:$E$1001,MATCH($A119,'부의금 입력'!$H$2:$H$1001,0))&amp;"")</f>
        <v/>
      </c>
      <c r="H119" s="19">
        <f>IF(116&gt;$I$1,"",INDEX('근조 화환'!$B$2:$B$501,MATCH(116,'근조 화환'!$G$2:$G$501,0))&amp;"")</f>
        <v/>
      </c>
      <c r="I119" s="19">
        <f>IF(116&gt;$I$1,"",INDEX('근조 화환'!$C$2:$C$501,MATCH(116,'근조 화환'!$G$2:$G$501,0))&amp;"")</f>
        <v/>
      </c>
      <c r="J119" s="19">
        <f>IF(116&gt;$I$1,"",INDEX('근조 화환'!$D$2:$D$501,MATCH(116,'근조 화환'!$G$2:$G$501,0))&amp;"")</f>
        <v/>
      </c>
      <c r="K119" s="19">
        <f>IF(116&gt;$I$1,"",INDEX('근조 화환'!$E$2:$E$501,MATCH(116,'근조 화환'!$G$2:$G$501,0))&amp;"")</f>
        <v/>
      </c>
    </row>
    <row r="120">
      <c r="A120" s="19">
        <f>IF(117&lt;=$F$1,117,"")</f>
        <v/>
      </c>
      <c r="B120" s="19">
        <f>IF($A120="","",INDEX('부의금 입력'!$B$2:$B$1001,MATCH($A120,'부의금 입력'!$H$2:$H$1001,0))&amp;"")</f>
        <v/>
      </c>
      <c r="C120" s="21">
        <f>IF($A120="","",INDEX('부의금 입력'!$C$2:$C$1001,MATCH($A120,'부의금 입력'!$H$2:$H$1001,0)))</f>
        <v/>
      </c>
      <c r="D120" s="19">
        <f>IF($A120="","",INDEX('부의금 입력'!$D$2:$D$1001,MATCH($A120,'부의금 입력'!$H$2:$H$1001,0))&amp;"")</f>
        <v/>
      </c>
      <c r="E120" s="19">
        <f>IF($A120="","",INDEX('부의금 입력'!$E$2:$E$1001,MATCH($A120,'부의금 입력'!$H$2:$H$1001,0))&amp;"")</f>
        <v/>
      </c>
      <c r="H120" s="19">
        <f>IF(117&gt;$I$1,"",INDEX('근조 화환'!$B$2:$B$501,MATCH(117,'근조 화환'!$G$2:$G$501,0))&amp;"")</f>
        <v/>
      </c>
      <c r="I120" s="19">
        <f>IF(117&gt;$I$1,"",INDEX('근조 화환'!$C$2:$C$501,MATCH(117,'근조 화환'!$G$2:$G$501,0))&amp;"")</f>
        <v/>
      </c>
      <c r="J120" s="19">
        <f>IF(117&gt;$I$1,"",INDEX('근조 화환'!$D$2:$D$501,MATCH(117,'근조 화환'!$G$2:$G$501,0))&amp;"")</f>
        <v/>
      </c>
      <c r="K120" s="19">
        <f>IF(117&gt;$I$1,"",INDEX('근조 화환'!$E$2:$E$501,MATCH(117,'근조 화환'!$G$2:$G$501,0))&amp;"")</f>
        <v/>
      </c>
    </row>
    <row r="121">
      <c r="A121" s="19">
        <f>IF(118&lt;=$F$1,118,"")</f>
        <v/>
      </c>
      <c r="B121" s="19">
        <f>IF($A121="","",INDEX('부의금 입력'!$B$2:$B$1001,MATCH($A121,'부의금 입력'!$H$2:$H$1001,0))&amp;"")</f>
        <v/>
      </c>
      <c r="C121" s="21">
        <f>IF($A121="","",INDEX('부의금 입력'!$C$2:$C$1001,MATCH($A121,'부의금 입력'!$H$2:$H$1001,0)))</f>
        <v/>
      </c>
      <c r="D121" s="19">
        <f>IF($A121="","",INDEX('부의금 입력'!$D$2:$D$1001,MATCH($A121,'부의금 입력'!$H$2:$H$1001,0))&amp;"")</f>
        <v/>
      </c>
      <c r="E121" s="19">
        <f>IF($A121="","",INDEX('부의금 입력'!$E$2:$E$1001,MATCH($A121,'부의금 입력'!$H$2:$H$1001,0))&amp;"")</f>
        <v/>
      </c>
      <c r="H121" s="19">
        <f>IF(118&gt;$I$1,"",INDEX('근조 화환'!$B$2:$B$501,MATCH(118,'근조 화환'!$G$2:$G$501,0))&amp;"")</f>
        <v/>
      </c>
      <c r="I121" s="19">
        <f>IF(118&gt;$I$1,"",INDEX('근조 화환'!$C$2:$C$501,MATCH(118,'근조 화환'!$G$2:$G$501,0))&amp;"")</f>
        <v/>
      </c>
      <c r="J121" s="19">
        <f>IF(118&gt;$I$1,"",INDEX('근조 화환'!$D$2:$D$501,MATCH(118,'근조 화환'!$G$2:$G$501,0))&amp;"")</f>
        <v/>
      </c>
      <c r="K121" s="19">
        <f>IF(118&gt;$I$1,"",INDEX('근조 화환'!$E$2:$E$501,MATCH(118,'근조 화환'!$G$2:$G$501,0))&amp;"")</f>
        <v/>
      </c>
    </row>
    <row r="122">
      <c r="A122" s="19">
        <f>IF(119&lt;=$F$1,119,"")</f>
        <v/>
      </c>
      <c r="B122" s="19">
        <f>IF($A122="","",INDEX('부의금 입력'!$B$2:$B$1001,MATCH($A122,'부의금 입력'!$H$2:$H$1001,0))&amp;"")</f>
        <v/>
      </c>
      <c r="C122" s="21">
        <f>IF($A122="","",INDEX('부의금 입력'!$C$2:$C$1001,MATCH($A122,'부의금 입력'!$H$2:$H$1001,0)))</f>
        <v/>
      </c>
      <c r="D122" s="19">
        <f>IF($A122="","",INDEX('부의금 입력'!$D$2:$D$1001,MATCH($A122,'부의금 입력'!$H$2:$H$1001,0))&amp;"")</f>
        <v/>
      </c>
      <c r="E122" s="19">
        <f>IF($A122="","",INDEX('부의금 입력'!$E$2:$E$1001,MATCH($A122,'부의금 입력'!$H$2:$H$1001,0))&amp;"")</f>
        <v/>
      </c>
      <c r="H122" s="19">
        <f>IF(119&gt;$I$1,"",INDEX('근조 화환'!$B$2:$B$501,MATCH(119,'근조 화환'!$G$2:$G$501,0))&amp;"")</f>
        <v/>
      </c>
      <c r="I122" s="19">
        <f>IF(119&gt;$I$1,"",INDEX('근조 화환'!$C$2:$C$501,MATCH(119,'근조 화환'!$G$2:$G$501,0))&amp;"")</f>
        <v/>
      </c>
      <c r="J122" s="19">
        <f>IF(119&gt;$I$1,"",INDEX('근조 화환'!$D$2:$D$501,MATCH(119,'근조 화환'!$G$2:$G$501,0))&amp;"")</f>
        <v/>
      </c>
      <c r="K122" s="19">
        <f>IF(119&gt;$I$1,"",INDEX('근조 화환'!$E$2:$E$501,MATCH(119,'근조 화환'!$G$2:$G$501,0))&amp;"")</f>
        <v/>
      </c>
    </row>
    <row r="123">
      <c r="A123" s="19">
        <f>IF(120&lt;=$F$1,120,"")</f>
        <v/>
      </c>
      <c r="B123" s="19">
        <f>IF($A123="","",INDEX('부의금 입력'!$B$2:$B$1001,MATCH($A123,'부의금 입력'!$H$2:$H$1001,0))&amp;"")</f>
        <v/>
      </c>
      <c r="C123" s="21">
        <f>IF($A123="","",INDEX('부의금 입력'!$C$2:$C$1001,MATCH($A123,'부의금 입력'!$H$2:$H$1001,0)))</f>
        <v/>
      </c>
      <c r="D123" s="19">
        <f>IF($A123="","",INDEX('부의금 입력'!$D$2:$D$1001,MATCH($A123,'부의금 입력'!$H$2:$H$1001,0))&amp;"")</f>
        <v/>
      </c>
      <c r="E123" s="19">
        <f>IF($A123="","",INDEX('부의금 입력'!$E$2:$E$1001,MATCH($A123,'부의금 입력'!$H$2:$H$1001,0))&amp;"")</f>
        <v/>
      </c>
      <c r="H123" s="19">
        <f>IF(120&gt;$I$1,"",INDEX('근조 화환'!$B$2:$B$501,MATCH(120,'근조 화환'!$G$2:$G$501,0))&amp;"")</f>
        <v/>
      </c>
      <c r="I123" s="19">
        <f>IF(120&gt;$I$1,"",INDEX('근조 화환'!$C$2:$C$501,MATCH(120,'근조 화환'!$G$2:$G$501,0))&amp;"")</f>
        <v/>
      </c>
      <c r="J123" s="19">
        <f>IF(120&gt;$I$1,"",INDEX('근조 화환'!$D$2:$D$501,MATCH(120,'근조 화환'!$G$2:$G$501,0))&amp;"")</f>
        <v/>
      </c>
      <c r="K123" s="19">
        <f>IF(120&gt;$I$1,"",INDEX('근조 화환'!$E$2:$E$501,MATCH(120,'근조 화환'!$G$2:$G$501,0))&amp;"")</f>
        <v/>
      </c>
    </row>
    <row r="124">
      <c r="A124" s="19">
        <f>IF(121&lt;=$F$1,121,"")</f>
        <v/>
      </c>
      <c r="B124" s="19">
        <f>IF($A124="","",INDEX('부의금 입력'!$B$2:$B$1001,MATCH($A124,'부의금 입력'!$H$2:$H$1001,0))&amp;"")</f>
        <v/>
      </c>
      <c r="C124" s="21">
        <f>IF($A124="","",INDEX('부의금 입력'!$C$2:$C$1001,MATCH($A124,'부의금 입력'!$H$2:$H$1001,0)))</f>
        <v/>
      </c>
      <c r="D124" s="19">
        <f>IF($A124="","",INDEX('부의금 입력'!$D$2:$D$1001,MATCH($A124,'부의금 입력'!$H$2:$H$1001,0))&amp;"")</f>
        <v/>
      </c>
      <c r="E124" s="19">
        <f>IF($A124="","",INDEX('부의금 입력'!$E$2:$E$1001,MATCH($A124,'부의금 입력'!$H$2:$H$1001,0))&amp;"")</f>
        <v/>
      </c>
      <c r="H124" s="19">
        <f>IF(121&gt;$I$1,"",INDEX('근조 화환'!$B$2:$B$501,MATCH(121,'근조 화환'!$G$2:$G$501,0))&amp;"")</f>
        <v/>
      </c>
      <c r="I124" s="19">
        <f>IF(121&gt;$I$1,"",INDEX('근조 화환'!$C$2:$C$501,MATCH(121,'근조 화환'!$G$2:$G$501,0))&amp;"")</f>
        <v/>
      </c>
      <c r="J124" s="19">
        <f>IF(121&gt;$I$1,"",INDEX('근조 화환'!$D$2:$D$501,MATCH(121,'근조 화환'!$G$2:$G$501,0))&amp;"")</f>
        <v/>
      </c>
      <c r="K124" s="19">
        <f>IF(121&gt;$I$1,"",INDEX('근조 화환'!$E$2:$E$501,MATCH(121,'근조 화환'!$G$2:$G$501,0))&amp;"")</f>
        <v/>
      </c>
    </row>
    <row r="125">
      <c r="A125" s="19">
        <f>IF(122&lt;=$F$1,122,"")</f>
        <v/>
      </c>
      <c r="B125" s="19">
        <f>IF($A125="","",INDEX('부의금 입력'!$B$2:$B$1001,MATCH($A125,'부의금 입력'!$H$2:$H$1001,0))&amp;"")</f>
        <v/>
      </c>
      <c r="C125" s="21">
        <f>IF($A125="","",INDEX('부의금 입력'!$C$2:$C$1001,MATCH($A125,'부의금 입력'!$H$2:$H$1001,0)))</f>
        <v/>
      </c>
      <c r="D125" s="19">
        <f>IF($A125="","",INDEX('부의금 입력'!$D$2:$D$1001,MATCH($A125,'부의금 입력'!$H$2:$H$1001,0))&amp;"")</f>
        <v/>
      </c>
      <c r="E125" s="19">
        <f>IF($A125="","",INDEX('부의금 입력'!$E$2:$E$1001,MATCH($A125,'부의금 입력'!$H$2:$H$1001,0))&amp;"")</f>
        <v/>
      </c>
      <c r="H125" s="19">
        <f>IF(122&gt;$I$1,"",INDEX('근조 화환'!$B$2:$B$501,MATCH(122,'근조 화환'!$G$2:$G$501,0))&amp;"")</f>
        <v/>
      </c>
      <c r="I125" s="19">
        <f>IF(122&gt;$I$1,"",INDEX('근조 화환'!$C$2:$C$501,MATCH(122,'근조 화환'!$G$2:$G$501,0))&amp;"")</f>
        <v/>
      </c>
      <c r="J125" s="19">
        <f>IF(122&gt;$I$1,"",INDEX('근조 화환'!$D$2:$D$501,MATCH(122,'근조 화환'!$G$2:$G$501,0))&amp;"")</f>
        <v/>
      </c>
      <c r="K125" s="19">
        <f>IF(122&gt;$I$1,"",INDEX('근조 화환'!$E$2:$E$501,MATCH(122,'근조 화환'!$G$2:$G$501,0))&amp;"")</f>
        <v/>
      </c>
    </row>
    <row r="126">
      <c r="A126" s="19">
        <f>IF(123&lt;=$F$1,123,"")</f>
        <v/>
      </c>
      <c r="B126" s="19">
        <f>IF($A126="","",INDEX('부의금 입력'!$B$2:$B$1001,MATCH($A126,'부의금 입력'!$H$2:$H$1001,0))&amp;"")</f>
        <v/>
      </c>
      <c r="C126" s="21">
        <f>IF($A126="","",INDEX('부의금 입력'!$C$2:$C$1001,MATCH($A126,'부의금 입력'!$H$2:$H$1001,0)))</f>
        <v/>
      </c>
      <c r="D126" s="19">
        <f>IF($A126="","",INDEX('부의금 입력'!$D$2:$D$1001,MATCH($A126,'부의금 입력'!$H$2:$H$1001,0))&amp;"")</f>
        <v/>
      </c>
      <c r="E126" s="19">
        <f>IF($A126="","",INDEX('부의금 입력'!$E$2:$E$1001,MATCH($A126,'부의금 입력'!$H$2:$H$1001,0))&amp;"")</f>
        <v/>
      </c>
      <c r="H126" s="19">
        <f>IF(123&gt;$I$1,"",INDEX('근조 화환'!$B$2:$B$501,MATCH(123,'근조 화환'!$G$2:$G$501,0))&amp;"")</f>
        <v/>
      </c>
      <c r="I126" s="19">
        <f>IF(123&gt;$I$1,"",INDEX('근조 화환'!$C$2:$C$501,MATCH(123,'근조 화환'!$G$2:$G$501,0))&amp;"")</f>
        <v/>
      </c>
      <c r="J126" s="19">
        <f>IF(123&gt;$I$1,"",INDEX('근조 화환'!$D$2:$D$501,MATCH(123,'근조 화환'!$G$2:$G$501,0))&amp;"")</f>
        <v/>
      </c>
      <c r="K126" s="19">
        <f>IF(123&gt;$I$1,"",INDEX('근조 화환'!$E$2:$E$501,MATCH(123,'근조 화환'!$G$2:$G$501,0))&amp;"")</f>
        <v/>
      </c>
    </row>
    <row r="127">
      <c r="A127" s="19">
        <f>IF(124&lt;=$F$1,124,"")</f>
        <v/>
      </c>
      <c r="B127" s="19">
        <f>IF($A127="","",INDEX('부의금 입력'!$B$2:$B$1001,MATCH($A127,'부의금 입력'!$H$2:$H$1001,0))&amp;"")</f>
        <v/>
      </c>
      <c r="C127" s="21">
        <f>IF($A127="","",INDEX('부의금 입력'!$C$2:$C$1001,MATCH($A127,'부의금 입력'!$H$2:$H$1001,0)))</f>
        <v/>
      </c>
      <c r="D127" s="19">
        <f>IF($A127="","",INDEX('부의금 입력'!$D$2:$D$1001,MATCH($A127,'부의금 입력'!$H$2:$H$1001,0))&amp;"")</f>
        <v/>
      </c>
      <c r="E127" s="19">
        <f>IF($A127="","",INDEX('부의금 입력'!$E$2:$E$1001,MATCH($A127,'부의금 입력'!$H$2:$H$1001,0))&amp;"")</f>
        <v/>
      </c>
      <c r="H127" s="19">
        <f>IF(124&gt;$I$1,"",INDEX('근조 화환'!$B$2:$B$501,MATCH(124,'근조 화환'!$G$2:$G$501,0))&amp;"")</f>
        <v/>
      </c>
      <c r="I127" s="19">
        <f>IF(124&gt;$I$1,"",INDEX('근조 화환'!$C$2:$C$501,MATCH(124,'근조 화환'!$G$2:$G$501,0))&amp;"")</f>
        <v/>
      </c>
      <c r="J127" s="19">
        <f>IF(124&gt;$I$1,"",INDEX('근조 화환'!$D$2:$D$501,MATCH(124,'근조 화환'!$G$2:$G$501,0))&amp;"")</f>
        <v/>
      </c>
      <c r="K127" s="19">
        <f>IF(124&gt;$I$1,"",INDEX('근조 화환'!$E$2:$E$501,MATCH(124,'근조 화환'!$G$2:$G$501,0))&amp;"")</f>
        <v/>
      </c>
    </row>
    <row r="128">
      <c r="A128" s="19">
        <f>IF(125&lt;=$F$1,125,"")</f>
        <v/>
      </c>
      <c r="B128" s="19">
        <f>IF($A128="","",INDEX('부의금 입력'!$B$2:$B$1001,MATCH($A128,'부의금 입력'!$H$2:$H$1001,0))&amp;"")</f>
        <v/>
      </c>
      <c r="C128" s="21">
        <f>IF($A128="","",INDEX('부의금 입력'!$C$2:$C$1001,MATCH($A128,'부의금 입력'!$H$2:$H$1001,0)))</f>
        <v/>
      </c>
      <c r="D128" s="19">
        <f>IF($A128="","",INDEX('부의금 입력'!$D$2:$D$1001,MATCH($A128,'부의금 입력'!$H$2:$H$1001,0))&amp;"")</f>
        <v/>
      </c>
      <c r="E128" s="19">
        <f>IF($A128="","",INDEX('부의금 입력'!$E$2:$E$1001,MATCH($A128,'부의금 입력'!$H$2:$H$1001,0))&amp;"")</f>
        <v/>
      </c>
      <c r="H128" s="19">
        <f>IF(125&gt;$I$1,"",INDEX('근조 화환'!$B$2:$B$501,MATCH(125,'근조 화환'!$G$2:$G$501,0))&amp;"")</f>
        <v/>
      </c>
      <c r="I128" s="19">
        <f>IF(125&gt;$I$1,"",INDEX('근조 화환'!$C$2:$C$501,MATCH(125,'근조 화환'!$G$2:$G$501,0))&amp;"")</f>
        <v/>
      </c>
      <c r="J128" s="19">
        <f>IF(125&gt;$I$1,"",INDEX('근조 화환'!$D$2:$D$501,MATCH(125,'근조 화환'!$G$2:$G$501,0))&amp;"")</f>
        <v/>
      </c>
      <c r="K128" s="19">
        <f>IF(125&gt;$I$1,"",INDEX('근조 화환'!$E$2:$E$501,MATCH(125,'근조 화환'!$G$2:$G$501,0))&amp;"")</f>
        <v/>
      </c>
    </row>
    <row r="129">
      <c r="A129" s="19">
        <f>IF(126&lt;=$F$1,126,"")</f>
        <v/>
      </c>
      <c r="B129" s="19">
        <f>IF($A129="","",INDEX('부의금 입력'!$B$2:$B$1001,MATCH($A129,'부의금 입력'!$H$2:$H$1001,0))&amp;"")</f>
        <v/>
      </c>
      <c r="C129" s="21">
        <f>IF($A129="","",INDEX('부의금 입력'!$C$2:$C$1001,MATCH($A129,'부의금 입력'!$H$2:$H$1001,0)))</f>
        <v/>
      </c>
      <c r="D129" s="19">
        <f>IF($A129="","",INDEX('부의금 입력'!$D$2:$D$1001,MATCH($A129,'부의금 입력'!$H$2:$H$1001,0))&amp;"")</f>
        <v/>
      </c>
      <c r="E129" s="19">
        <f>IF($A129="","",INDEX('부의금 입력'!$E$2:$E$1001,MATCH($A129,'부의금 입력'!$H$2:$H$1001,0))&amp;"")</f>
        <v/>
      </c>
      <c r="H129" s="19">
        <f>IF(126&gt;$I$1,"",INDEX('근조 화환'!$B$2:$B$501,MATCH(126,'근조 화환'!$G$2:$G$501,0))&amp;"")</f>
        <v/>
      </c>
      <c r="I129" s="19">
        <f>IF(126&gt;$I$1,"",INDEX('근조 화환'!$C$2:$C$501,MATCH(126,'근조 화환'!$G$2:$G$501,0))&amp;"")</f>
        <v/>
      </c>
      <c r="J129" s="19">
        <f>IF(126&gt;$I$1,"",INDEX('근조 화환'!$D$2:$D$501,MATCH(126,'근조 화환'!$G$2:$G$501,0))&amp;"")</f>
        <v/>
      </c>
      <c r="K129" s="19">
        <f>IF(126&gt;$I$1,"",INDEX('근조 화환'!$E$2:$E$501,MATCH(126,'근조 화환'!$G$2:$G$501,0))&amp;"")</f>
        <v/>
      </c>
    </row>
    <row r="130">
      <c r="A130" s="19">
        <f>IF(127&lt;=$F$1,127,"")</f>
        <v/>
      </c>
      <c r="B130" s="19">
        <f>IF($A130="","",INDEX('부의금 입력'!$B$2:$B$1001,MATCH($A130,'부의금 입력'!$H$2:$H$1001,0))&amp;"")</f>
        <v/>
      </c>
      <c r="C130" s="21">
        <f>IF($A130="","",INDEX('부의금 입력'!$C$2:$C$1001,MATCH($A130,'부의금 입력'!$H$2:$H$1001,0)))</f>
        <v/>
      </c>
      <c r="D130" s="19">
        <f>IF($A130="","",INDEX('부의금 입력'!$D$2:$D$1001,MATCH($A130,'부의금 입력'!$H$2:$H$1001,0))&amp;"")</f>
        <v/>
      </c>
      <c r="E130" s="19">
        <f>IF($A130="","",INDEX('부의금 입력'!$E$2:$E$1001,MATCH($A130,'부의금 입력'!$H$2:$H$1001,0))&amp;"")</f>
        <v/>
      </c>
      <c r="H130" s="19">
        <f>IF(127&gt;$I$1,"",INDEX('근조 화환'!$B$2:$B$501,MATCH(127,'근조 화환'!$G$2:$G$501,0))&amp;"")</f>
        <v/>
      </c>
      <c r="I130" s="19">
        <f>IF(127&gt;$I$1,"",INDEX('근조 화환'!$C$2:$C$501,MATCH(127,'근조 화환'!$G$2:$G$501,0))&amp;"")</f>
        <v/>
      </c>
      <c r="J130" s="19">
        <f>IF(127&gt;$I$1,"",INDEX('근조 화환'!$D$2:$D$501,MATCH(127,'근조 화환'!$G$2:$G$501,0))&amp;"")</f>
        <v/>
      </c>
      <c r="K130" s="19">
        <f>IF(127&gt;$I$1,"",INDEX('근조 화환'!$E$2:$E$501,MATCH(127,'근조 화환'!$G$2:$G$501,0))&amp;"")</f>
        <v/>
      </c>
    </row>
    <row r="131">
      <c r="A131" s="19">
        <f>IF(128&lt;=$F$1,128,"")</f>
        <v/>
      </c>
      <c r="B131" s="19">
        <f>IF($A131="","",INDEX('부의금 입력'!$B$2:$B$1001,MATCH($A131,'부의금 입력'!$H$2:$H$1001,0))&amp;"")</f>
        <v/>
      </c>
      <c r="C131" s="21">
        <f>IF($A131="","",INDEX('부의금 입력'!$C$2:$C$1001,MATCH($A131,'부의금 입력'!$H$2:$H$1001,0)))</f>
        <v/>
      </c>
      <c r="D131" s="19">
        <f>IF($A131="","",INDEX('부의금 입력'!$D$2:$D$1001,MATCH($A131,'부의금 입력'!$H$2:$H$1001,0))&amp;"")</f>
        <v/>
      </c>
      <c r="E131" s="19">
        <f>IF($A131="","",INDEX('부의금 입력'!$E$2:$E$1001,MATCH($A131,'부의금 입력'!$H$2:$H$1001,0))&amp;"")</f>
        <v/>
      </c>
      <c r="H131" s="19">
        <f>IF(128&gt;$I$1,"",INDEX('근조 화환'!$B$2:$B$501,MATCH(128,'근조 화환'!$G$2:$G$501,0))&amp;"")</f>
        <v/>
      </c>
      <c r="I131" s="19">
        <f>IF(128&gt;$I$1,"",INDEX('근조 화환'!$C$2:$C$501,MATCH(128,'근조 화환'!$G$2:$G$501,0))&amp;"")</f>
        <v/>
      </c>
      <c r="J131" s="19">
        <f>IF(128&gt;$I$1,"",INDEX('근조 화환'!$D$2:$D$501,MATCH(128,'근조 화환'!$G$2:$G$501,0))&amp;"")</f>
        <v/>
      </c>
      <c r="K131" s="19">
        <f>IF(128&gt;$I$1,"",INDEX('근조 화환'!$E$2:$E$501,MATCH(128,'근조 화환'!$G$2:$G$501,0))&amp;"")</f>
        <v/>
      </c>
    </row>
    <row r="132">
      <c r="A132" s="19">
        <f>IF(129&lt;=$F$1,129,"")</f>
        <v/>
      </c>
      <c r="B132" s="19">
        <f>IF($A132="","",INDEX('부의금 입력'!$B$2:$B$1001,MATCH($A132,'부의금 입력'!$H$2:$H$1001,0))&amp;"")</f>
        <v/>
      </c>
      <c r="C132" s="21">
        <f>IF($A132="","",INDEX('부의금 입력'!$C$2:$C$1001,MATCH($A132,'부의금 입력'!$H$2:$H$1001,0)))</f>
        <v/>
      </c>
      <c r="D132" s="19">
        <f>IF($A132="","",INDEX('부의금 입력'!$D$2:$D$1001,MATCH($A132,'부의금 입력'!$H$2:$H$1001,0))&amp;"")</f>
        <v/>
      </c>
      <c r="E132" s="19">
        <f>IF($A132="","",INDEX('부의금 입력'!$E$2:$E$1001,MATCH($A132,'부의금 입력'!$H$2:$H$1001,0))&amp;"")</f>
        <v/>
      </c>
      <c r="H132" s="19">
        <f>IF(129&gt;$I$1,"",INDEX('근조 화환'!$B$2:$B$501,MATCH(129,'근조 화환'!$G$2:$G$501,0))&amp;"")</f>
        <v/>
      </c>
      <c r="I132" s="19">
        <f>IF(129&gt;$I$1,"",INDEX('근조 화환'!$C$2:$C$501,MATCH(129,'근조 화환'!$G$2:$G$501,0))&amp;"")</f>
        <v/>
      </c>
      <c r="J132" s="19">
        <f>IF(129&gt;$I$1,"",INDEX('근조 화환'!$D$2:$D$501,MATCH(129,'근조 화환'!$G$2:$G$501,0))&amp;"")</f>
        <v/>
      </c>
      <c r="K132" s="19">
        <f>IF(129&gt;$I$1,"",INDEX('근조 화환'!$E$2:$E$501,MATCH(129,'근조 화환'!$G$2:$G$501,0))&amp;"")</f>
        <v/>
      </c>
    </row>
    <row r="133">
      <c r="A133" s="19">
        <f>IF(130&lt;=$F$1,130,"")</f>
        <v/>
      </c>
      <c r="B133" s="19">
        <f>IF($A133="","",INDEX('부의금 입력'!$B$2:$B$1001,MATCH($A133,'부의금 입력'!$H$2:$H$1001,0))&amp;"")</f>
        <v/>
      </c>
      <c r="C133" s="21">
        <f>IF($A133="","",INDEX('부의금 입력'!$C$2:$C$1001,MATCH($A133,'부의금 입력'!$H$2:$H$1001,0)))</f>
        <v/>
      </c>
      <c r="D133" s="19">
        <f>IF($A133="","",INDEX('부의금 입력'!$D$2:$D$1001,MATCH($A133,'부의금 입력'!$H$2:$H$1001,0))&amp;"")</f>
        <v/>
      </c>
      <c r="E133" s="19">
        <f>IF($A133="","",INDEX('부의금 입력'!$E$2:$E$1001,MATCH($A133,'부의금 입력'!$H$2:$H$1001,0))&amp;"")</f>
        <v/>
      </c>
      <c r="H133" s="19">
        <f>IF(130&gt;$I$1,"",INDEX('근조 화환'!$B$2:$B$501,MATCH(130,'근조 화환'!$G$2:$G$501,0))&amp;"")</f>
        <v/>
      </c>
      <c r="I133" s="19">
        <f>IF(130&gt;$I$1,"",INDEX('근조 화환'!$C$2:$C$501,MATCH(130,'근조 화환'!$G$2:$G$501,0))&amp;"")</f>
        <v/>
      </c>
      <c r="J133" s="19">
        <f>IF(130&gt;$I$1,"",INDEX('근조 화환'!$D$2:$D$501,MATCH(130,'근조 화환'!$G$2:$G$501,0))&amp;"")</f>
        <v/>
      </c>
      <c r="K133" s="19">
        <f>IF(130&gt;$I$1,"",INDEX('근조 화환'!$E$2:$E$501,MATCH(130,'근조 화환'!$G$2:$G$501,0))&amp;"")</f>
        <v/>
      </c>
    </row>
    <row r="134">
      <c r="A134" s="19">
        <f>IF(131&lt;=$F$1,131,"")</f>
        <v/>
      </c>
      <c r="B134" s="19">
        <f>IF($A134="","",INDEX('부의금 입력'!$B$2:$B$1001,MATCH($A134,'부의금 입력'!$H$2:$H$1001,0))&amp;"")</f>
        <v/>
      </c>
      <c r="C134" s="21">
        <f>IF($A134="","",INDEX('부의금 입력'!$C$2:$C$1001,MATCH($A134,'부의금 입력'!$H$2:$H$1001,0)))</f>
        <v/>
      </c>
      <c r="D134" s="19">
        <f>IF($A134="","",INDEX('부의금 입력'!$D$2:$D$1001,MATCH($A134,'부의금 입력'!$H$2:$H$1001,0))&amp;"")</f>
        <v/>
      </c>
      <c r="E134" s="19">
        <f>IF($A134="","",INDEX('부의금 입력'!$E$2:$E$1001,MATCH($A134,'부의금 입력'!$H$2:$H$1001,0))&amp;"")</f>
        <v/>
      </c>
      <c r="H134" s="19">
        <f>IF(131&gt;$I$1,"",INDEX('근조 화환'!$B$2:$B$501,MATCH(131,'근조 화환'!$G$2:$G$501,0))&amp;"")</f>
        <v/>
      </c>
      <c r="I134" s="19">
        <f>IF(131&gt;$I$1,"",INDEX('근조 화환'!$C$2:$C$501,MATCH(131,'근조 화환'!$G$2:$G$501,0))&amp;"")</f>
        <v/>
      </c>
      <c r="J134" s="19">
        <f>IF(131&gt;$I$1,"",INDEX('근조 화환'!$D$2:$D$501,MATCH(131,'근조 화환'!$G$2:$G$501,0))&amp;"")</f>
        <v/>
      </c>
      <c r="K134" s="19">
        <f>IF(131&gt;$I$1,"",INDEX('근조 화환'!$E$2:$E$501,MATCH(131,'근조 화환'!$G$2:$G$501,0))&amp;"")</f>
        <v/>
      </c>
    </row>
    <row r="135">
      <c r="A135" s="19">
        <f>IF(132&lt;=$F$1,132,"")</f>
        <v/>
      </c>
      <c r="B135" s="19">
        <f>IF($A135="","",INDEX('부의금 입력'!$B$2:$B$1001,MATCH($A135,'부의금 입력'!$H$2:$H$1001,0))&amp;"")</f>
        <v/>
      </c>
      <c r="C135" s="21">
        <f>IF($A135="","",INDEX('부의금 입력'!$C$2:$C$1001,MATCH($A135,'부의금 입력'!$H$2:$H$1001,0)))</f>
        <v/>
      </c>
      <c r="D135" s="19">
        <f>IF($A135="","",INDEX('부의금 입력'!$D$2:$D$1001,MATCH($A135,'부의금 입력'!$H$2:$H$1001,0))&amp;"")</f>
        <v/>
      </c>
      <c r="E135" s="19">
        <f>IF($A135="","",INDEX('부의금 입력'!$E$2:$E$1001,MATCH($A135,'부의금 입력'!$H$2:$H$1001,0))&amp;"")</f>
        <v/>
      </c>
      <c r="H135" s="19">
        <f>IF(132&gt;$I$1,"",INDEX('근조 화환'!$B$2:$B$501,MATCH(132,'근조 화환'!$G$2:$G$501,0))&amp;"")</f>
        <v/>
      </c>
      <c r="I135" s="19">
        <f>IF(132&gt;$I$1,"",INDEX('근조 화환'!$C$2:$C$501,MATCH(132,'근조 화환'!$G$2:$G$501,0))&amp;"")</f>
        <v/>
      </c>
      <c r="J135" s="19">
        <f>IF(132&gt;$I$1,"",INDEX('근조 화환'!$D$2:$D$501,MATCH(132,'근조 화환'!$G$2:$G$501,0))&amp;"")</f>
        <v/>
      </c>
      <c r="K135" s="19">
        <f>IF(132&gt;$I$1,"",INDEX('근조 화환'!$E$2:$E$501,MATCH(132,'근조 화환'!$G$2:$G$501,0))&amp;"")</f>
        <v/>
      </c>
    </row>
    <row r="136">
      <c r="A136" s="19">
        <f>IF(133&lt;=$F$1,133,"")</f>
        <v/>
      </c>
      <c r="B136" s="19">
        <f>IF($A136="","",INDEX('부의금 입력'!$B$2:$B$1001,MATCH($A136,'부의금 입력'!$H$2:$H$1001,0))&amp;"")</f>
        <v/>
      </c>
      <c r="C136" s="21">
        <f>IF($A136="","",INDEX('부의금 입력'!$C$2:$C$1001,MATCH($A136,'부의금 입력'!$H$2:$H$1001,0)))</f>
        <v/>
      </c>
      <c r="D136" s="19">
        <f>IF($A136="","",INDEX('부의금 입력'!$D$2:$D$1001,MATCH($A136,'부의금 입력'!$H$2:$H$1001,0))&amp;"")</f>
        <v/>
      </c>
      <c r="E136" s="19">
        <f>IF($A136="","",INDEX('부의금 입력'!$E$2:$E$1001,MATCH($A136,'부의금 입력'!$H$2:$H$1001,0))&amp;"")</f>
        <v/>
      </c>
      <c r="H136" s="19">
        <f>IF(133&gt;$I$1,"",INDEX('근조 화환'!$B$2:$B$501,MATCH(133,'근조 화환'!$G$2:$G$501,0))&amp;"")</f>
        <v/>
      </c>
      <c r="I136" s="19">
        <f>IF(133&gt;$I$1,"",INDEX('근조 화환'!$C$2:$C$501,MATCH(133,'근조 화환'!$G$2:$G$501,0))&amp;"")</f>
        <v/>
      </c>
      <c r="J136" s="19">
        <f>IF(133&gt;$I$1,"",INDEX('근조 화환'!$D$2:$D$501,MATCH(133,'근조 화환'!$G$2:$G$501,0))&amp;"")</f>
        <v/>
      </c>
      <c r="K136" s="19">
        <f>IF(133&gt;$I$1,"",INDEX('근조 화환'!$E$2:$E$501,MATCH(133,'근조 화환'!$G$2:$G$501,0))&amp;"")</f>
        <v/>
      </c>
    </row>
    <row r="137">
      <c r="A137" s="19">
        <f>IF(134&lt;=$F$1,134,"")</f>
        <v/>
      </c>
      <c r="B137" s="19">
        <f>IF($A137="","",INDEX('부의금 입력'!$B$2:$B$1001,MATCH($A137,'부의금 입력'!$H$2:$H$1001,0))&amp;"")</f>
        <v/>
      </c>
      <c r="C137" s="21">
        <f>IF($A137="","",INDEX('부의금 입력'!$C$2:$C$1001,MATCH($A137,'부의금 입력'!$H$2:$H$1001,0)))</f>
        <v/>
      </c>
      <c r="D137" s="19">
        <f>IF($A137="","",INDEX('부의금 입력'!$D$2:$D$1001,MATCH($A137,'부의금 입력'!$H$2:$H$1001,0))&amp;"")</f>
        <v/>
      </c>
      <c r="E137" s="19">
        <f>IF($A137="","",INDEX('부의금 입력'!$E$2:$E$1001,MATCH($A137,'부의금 입력'!$H$2:$H$1001,0))&amp;"")</f>
        <v/>
      </c>
      <c r="H137" s="19">
        <f>IF(134&gt;$I$1,"",INDEX('근조 화환'!$B$2:$B$501,MATCH(134,'근조 화환'!$G$2:$G$501,0))&amp;"")</f>
        <v/>
      </c>
      <c r="I137" s="19">
        <f>IF(134&gt;$I$1,"",INDEX('근조 화환'!$C$2:$C$501,MATCH(134,'근조 화환'!$G$2:$G$501,0))&amp;"")</f>
        <v/>
      </c>
      <c r="J137" s="19">
        <f>IF(134&gt;$I$1,"",INDEX('근조 화환'!$D$2:$D$501,MATCH(134,'근조 화환'!$G$2:$G$501,0))&amp;"")</f>
        <v/>
      </c>
      <c r="K137" s="19">
        <f>IF(134&gt;$I$1,"",INDEX('근조 화환'!$E$2:$E$501,MATCH(134,'근조 화환'!$G$2:$G$501,0))&amp;"")</f>
        <v/>
      </c>
    </row>
    <row r="138">
      <c r="A138" s="19">
        <f>IF(135&lt;=$F$1,135,"")</f>
        <v/>
      </c>
      <c r="B138" s="19">
        <f>IF($A138="","",INDEX('부의금 입력'!$B$2:$B$1001,MATCH($A138,'부의금 입력'!$H$2:$H$1001,0))&amp;"")</f>
        <v/>
      </c>
      <c r="C138" s="21">
        <f>IF($A138="","",INDEX('부의금 입력'!$C$2:$C$1001,MATCH($A138,'부의금 입력'!$H$2:$H$1001,0)))</f>
        <v/>
      </c>
      <c r="D138" s="19">
        <f>IF($A138="","",INDEX('부의금 입력'!$D$2:$D$1001,MATCH($A138,'부의금 입력'!$H$2:$H$1001,0))&amp;"")</f>
        <v/>
      </c>
      <c r="E138" s="19">
        <f>IF($A138="","",INDEX('부의금 입력'!$E$2:$E$1001,MATCH($A138,'부의금 입력'!$H$2:$H$1001,0))&amp;"")</f>
        <v/>
      </c>
      <c r="H138" s="19">
        <f>IF(135&gt;$I$1,"",INDEX('근조 화환'!$B$2:$B$501,MATCH(135,'근조 화환'!$G$2:$G$501,0))&amp;"")</f>
        <v/>
      </c>
      <c r="I138" s="19">
        <f>IF(135&gt;$I$1,"",INDEX('근조 화환'!$C$2:$C$501,MATCH(135,'근조 화환'!$G$2:$G$501,0))&amp;"")</f>
        <v/>
      </c>
      <c r="J138" s="19">
        <f>IF(135&gt;$I$1,"",INDEX('근조 화환'!$D$2:$D$501,MATCH(135,'근조 화환'!$G$2:$G$501,0))&amp;"")</f>
        <v/>
      </c>
      <c r="K138" s="19">
        <f>IF(135&gt;$I$1,"",INDEX('근조 화환'!$E$2:$E$501,MATCH(135,'근조 화환'!$G$2:$G$501,0))&amp;"")</f>
        <v/>
      </c>
    </row>
    <row r="139">
      <c r="A139" s="19">
        <f>IF(136&lt;=$F$1,136,"")</f>
        <v/>
      </c>
      <c r="B139" s="19">
        <f>IF($A139="","",INDEX('부의금 입력'!$B$2:$B$1001,MATCH($A139,'부의금 입력'!$H$2:$H$1001,0))&amp;"")</f>
        <v/>
      </c>
      <c r="C139" s="21">
        <f>IF($A139="","",INDEX('부의금 입력'!$C$2:$C$1001,MATCH($A139,'부의금 입력'!$H$2:$H$1001,0)))</f>
        <v/>
      </c>
      <c r="D139" s="19">
        <f>IF($A139="","",INDEX('부의금 입력'!$D$2:$D$1001,MATCH($A139,'부의금 입력'!$H$2:$H$1001,0))&amp;"")</f>
        <v/>
      </c>
      <c r="E139" s="19">
        <f>IF($A139="","",INDEX('부의금 입력'!$E$2:$E$1001,MATCH($A139,'부의금 입력'!$H$2:$H$1001,0))&amp;"")</f>
        <v/>
      </c>
      <c r="H139" s="19">
        <f>IF(136&gt;$I$1,"",INDEX('근조 화환'!$B$2:$B$501,MATCH(136,'근조 화환'!$G$2:$G$501,0))&amp;"")</f>
        <v/>
      </c>
      <c r="I139" s="19">
        <f>IF(136&gt;$I$1,"",INDEX('근조 화환'!$C$2:$C$501,MATCH(136,'근조 화환'!$G$2:$G$501,0))&amp;"")</f>
        <v/>
      </c>
      <c r="J139" s="19">
        <f>IF(136&gt;$I$1,"",INDEX('근조 화환'!$D$2:$D$501,MATCH(136,'근조 화환'!$G$2:$G$501,0))&amp;"")</f>
        <v/>
      </c>
      <c r="K139" s="19">
        <f>IF(136&gt;$I$1,"",INDEX('근조 화환'!$E$2:$E$501,MATCH(136,'근조 화환'!$G$2:$G$501,0))&amp;"")</f>
        <v/>
      </c>
    </row>
    <row r="140">
      <c r="A140" s="19">
        <f>IF(137&lt;=$F$1,137,"")</f>
        <v/>
      </c>
      <c r="B140" s="19">
        <f>IF($A140="","",INDEX('부의금 입력'!$B$2:$B$1001,MATCH($A140,'부의금 입력'!$H$2:$H$1001,0))&amp;"")</f>
        <v/>
      </c>
      <c r="C140" s="21">
        <f>IF($A140="","",INDEX('부의금 입력'!$C$2:$C$1001,MATCH($A140,'부의금 입력'!$H$2:$H$1001,0)))</f>
        <v/>
      </c>
      <c r="D140" s="19">
        <f>IF($A140="","",INDEX('부의금 입력'!$D$2:$D$1001,MATCH($A140,'부의금 입력'!$H$2:$H$1001,0))&amp;"")</f>
        <v/>
      </c>
      <c r="E140" s="19">
        <f>IF($A140="","",INDEX('부의금 입력'!$E$2:$E$1001,MATCH($A140,'부의금 입력'!$H$2:$H$1001,0))&amp;"")</f>
        <v/>
      </c>
      <c r="H140" s="19">
        <f>IF(137&gt;$I$1,"",INDEX('근조 화환'!$B$2:$B$501,MATCH(137,'근조 화환'!$G$2:$G$501,0))&amp;"")</f>
        <v/>
      </c>
      <c r="I140" s="19">
        <f>IF(137&gt;$I$1,"",INDEX('근조 화환'!$C$2:$C$501,MATCH(137,'근조 화환'!$G$2:$G$501,0))&amp;"")</f>
        <v/>
      </c>
      <c r="J140" s="19">
        <f>IF(137&gt;$I$1,"",INDEX('근조 화환'!$D$2:$D$501,MATCH(137,'근조 화환'!$G$2:$G$501,0))&amp;"")</f>
        <v/>
      </c>
      <c r="K140" s="19">
        <f>IF(137&gt;$I$1,"",INDEX('근조 화환'!$E$2:$E$501,MATCH(137,'근조 화환'!$G$2:$G$501,0))&amp;"")</f>
        <v/>
      </c>
    </row>
    <row r="141">
      <c r="A141" s="19">
        <f>IF(138&lt;=$F$1,138,"")</f>
        <v/>
      </c>
      <c r="B141" s="19">
        <f>IF($A141="","",INDEX('부의금 입력'!$B$2:$B$1001,MATCH($A141,'부의금 입력'!$H$2:$H$1001,0))&amp;"")</f>
        <v/>
      </c>
      <c r="C141" s="21">
        <f>IF($A141="","",INDEX('부의금 입력'!$C$2:$C$1001,MATCH($A141,'부의금 입력'!$H$2:$H$1001,0)))</f>
        <v/>
      </c>
      <c r="D141" s="19">
        <f>IF($A141="","",INDEX('부의금 입력'!$D$2:$D$1001,MATCH($A141,'부의금 입력'!$H$2:$H$1001,0))&amp;"")</f>
        <v/>
      </c>
      <c r="E141" s="19">
        <f>IF($A141="","",INDEX('부의금 입력'!$E$2:$E$1001,MATCH($A141,'부의금 입력'!$H$2:$H$1001,0))&amp;"")</f>
        <v/>
      </c>
      <c r="H141" s="19">
        <f>IF(138&gt;$I$1,"",INDEX('근조 화환'!$B$2:$B$501,MATCH(138,'근조 화환'!$G$2:$G$501,0))&amp;"")</f>
        <v/>
      </c>
      <c r="I141" s="19">
        <f>IF(138&gt;$I$1,"",INDEX('근조 화환'!$C$2:$C$501,MATCH(138,'근조 화환'!$G$2:$G$501,0))&amp;"")</f>
        <v/>
      </c>
      <c r="J141" s="19">
        <f>IF(138&gt;$I$1,"",INDEX('근조 화환'!$D$2:$D$501,MATCH(138,'근조 화환'!$G$2:$G$501,0))&amp;"")</f>
        <v/>
      </c>
      <c r="K141" s="19">
        <f>IF(138&gt;$I$1,"",INDEX('근조 화환'!$E$2:$E$501,MATCH(138,'근조 화환'!$G$2:$G$501,0))&amp;"")</f>
        <v/>
      </c>
    </row>
    <row r="142">
      <c r="A142" s="19">
        <f>IF(139&lt;=$F$1,139,"")</f>
        <v/>
      </c>
      <c r="B142" s="19">
        <f>IF($A142="","",INDEX('부의금 입력'!$B$2:$B$1001,MATCH($A142,'부의금 입력'!$H$2:$H$1001,0))&amp;"")</f>
        <v/>
      </c>
      <c r="C142" s="21">
        <f>IF($A142="","",INDEX('부의금 입력'!$C$2:$C$1001,MATCH($A142,'부의금 입력'!$H$2:$H$1001,0)))</f>
        <v/>
      </c>
      <c r="D142" s="19">
        <f>IF($A142="","",INDEX('부의금 입력'!$D$2:$D$1001,MATCH($A142,'부의금 입력'!$H$2:$H$1001,0))&amp;"")</f>
        <v/>
      </c>
      <c r="E142" s="19">
        <f>IF($A142="","",INDEX('부의금 입력'!$E$2:$E$1001,MATCH($A142,'부의금 입력'!$H$2:$H$1001,0))&amp;"")</f>
        <v/>
      </c>
      <c r="H142" s="19">
        <f>IF(139&gt;$I$1,"",INDEX('근조 화환'!$B$2:$B$501,MATCH(139,'근조 화환'!$G$2:$G$501,0))&amp;"")</f>
        <v/>
      </c>
      <c r="I142" s="19">
        <f>IF(139&gt;$I$1,"",INDEX('근조 화환'!$C$2:$C$501,MATCH(139,'근조 화환'!$G$2:$G$501,0))&amp;"")</f>
        <v/>
      </c>
      <c r="J142" s="19">
        <f>IF(139&gt;$I$1,"",INDEX('근조 화환'!$D$2:$D$501,MATCH(139,'근조 화환'!$G$2:$G$501,0))&amp;"")</f>
        <v/>
      </c>
      <c r="K142" s="19">
        <f>IF(139&gt;$I$1,"",INDEX('근조 화환'!$E$2:$E$501,MATCH(139,'근조 화환'!$G$2:$G$501,0))&amp;"")</f>
        <v/>
      </c>
    </row>
    <row r="143">
      <c r="A143" s="19">
        <f>IF(140&lt;=$F$1,140,"")</f>
        <v/>
      </c>
      <c r="B143" s="19">
        <f>IF($A143="","",INDEX('부의금 입력'!$B$2:$B$1001,MATCH($A143,'부의금 입력'!$H$2:$H$1001,0))&amp;"")</f>
        <v/>
      </c>
      <c r="C143" s="21">
        <f>IF($A143="","",INDEX('부의금 입력'!$C$2:$C$1001,MATCH($A143,'부의금 입력'!$H$2:$H$1001,0)))</f>
        <v/>
      </c>
      <c r="D143" s="19">
        <f>IF($A143="","",INDEX('부의금 입력'!$D$2:$D$1001,MATCH($A143,'부의금 입력'!$H$2:$H$1001,0))&amp;"")</f>
        <v/>
      </c>
      <c r="E143" s="19">
        <f>IF($A143="","",INDEX('부의금 입력'!$E$2:$E$1001,MATCH($A143,'부의금 입력'!$H$2:$H$1001,0))&amp;"")</f>
        <v/>
      </c>
      <c r="H143" s="19">
        <f>IF(140&gt;$I$1,"",INDEX('근조 화환'!$B$2:$B$501,MATCH(140,'근조 화환'!$G$2:$G$501,0))&amp;"")</f>
        <v/>
      </c>
      <c r="I143" s="19">
        <f>IF(140&gt;$I$1,"",INDEX('근조 화환'!$C$2:$C$501,MATCH(140,'근조 화환'!$G$2:$G$501,0))&amp;"")</f>
        <v/>
      </c>
      <c r="J143" s="19">
        <f>IF(140&gt;$I$1,"",INDEX('근조 화환'!$D$2:$D$501,MATCH(140,'근조 화환'!$G$2:$G$501,0))&amp;"")</f>
        <v/>
      </c>
      <c r="K143" s="19">
        <f>IF(140&gt;$I$1,"",INDEX('근조 화환'!$E$2:$E$501,MATCH(140,'근조 화환'!$G$2:$G$501,0))&amp;"")</f>
        <v/>
      </c>
    </row>
    <row r="144">
      <c r="A144" s="19">
        <f>IF(141&lt;=$F$1,141,"")</f>
        <v/>
      </c>
      <c r="B144" s="19">
        <f>IF($A144="","",INDEX('부의금 입력'!$B$2:$B$1001,MATCH($A144,'부의금 입력'!$H$2:$H$1001,0))&amp;"")</f>
        <v/>
      </c>
      <c r="C144" s="21">
        <f>IF($A144="","",INDEX('부의금 입력'!$C$2:$C$1001,MATCH($A144,'부의금 입력'!$H$2:$H$1001,0)))</f>
        <v/>
      </c>
      <c r="D144" s="19">
        <f>IF($A144="","",INDEX('부의금 입력'!$D$2:$D$1001,MATCH($A144,'부의금 입력'!$H$2:$H$1001,0))&amp;"")</f>
        <v/>
      </c>
      <c r="E144" s="19">
        <f>IF($A144="","",INDEX('부의금 입력'!$E$2:$E$1001,MATCH($A144,'부의금 입력'!$H$2:$H$1001,0))&amp;"")</f>
        <v/>
      </c>
      <c r="H144" s="19">
        <f>IF(141&gt;$I$1,"",INDEX('근조 화환'!$B$2:$B$501,MATCH(141,'근조 화환'!$G$2:$G$501,0))&amp;"")</f>
        <v/>
      </c>
      <c r="I144" s="19">
        <f>IF(141&gt;$I$1,"",INDEX('근조 화환'!$C$2:$C$501,MATCH(141,'근조 화환'!$G$2:$G$501,0))&amp;"")</f>
        <v/>
      </c>
      <c r="J144" s="19">
        <f>IF(141&gt;$I$1,"",INDEX('근조 화환'!$D$2:$D$501,MATCH(141,'근조 화환'!$G$2:$G$501,0))&amp;"")</f>
        <v/>
      </c>
      <c r="K144" s="19">
        <f>IF(141&gt;$I$1,"",INDEX('근조 화환'!$E$2:$E$501,MATCH(141,'근조 화환'!$G$2:$G$501,0))&amp;"")</f>
        <v/>
      </c>
    </row>
    <row r="145">
      <c r="A145" s="19">
        <f>IF(142&lt;=$F$1,142,"")</f>
        <v/>
      </c>
      <c r="B145" s="19">
        <f>IF($A145="","",INDEX('부의금 입력'!$B$2:$B$1001,MATCH($A145,'부의금 입력'!$H$2:$H$1001,0))&amp;"")</f>
        <v/>
      </c>
      <c r="C145" s="21">
        <f>IF($A145="","",INDEX('부의금 입력'!$C$2:$C$1001,MATCH($A145,'부의금 입력'!$H$2:$H$1001,0)))</f>
        <v/>
      </c>
      <c r="D145" s="19">
        <f>IF($A145="","",INDEX('부의금 입력'!$D$2:$D$1001,MATCH($A145,'부의금 입력'!$H$2:$H$1001,0))&amp;"")</f>
        <v/>
      </c>
      <c r="E145" s="19">
        <f>IF($A145="","",INDEX('부의금 입력'!$E$2:$E$1001,MATCH($A145,'부의금 입력'!$H$2:$H$1001,0))&amp;"")</f>
        <v/>
      </c>
      <c r="H145" s="19">
        <f>IF(142&gt;$I$1,"",INDEX('근조 화환'!$B$2:$B$501,MATCH(142,'근조 화환'!$G$2:$G$501,0))&amp;"")</f>
        <v/>
      </c>
      <c r="I145" s="19">
        <f>IF(142&gt;$I$1,"",INDEX('근조 화환'!$C$2:$C$501,MATCH(142,'근조 화환'!$G$2:$G$501,0))&amp;"")</f>
        <v/>
      </c>
      <c r="J145" s="19">
        <f>IF(142&gt;$I$1,"",INDEX('근조 화환'!$D$2:$D$501,MATCH(142,'근조 화환'!$G$2:$G$501,0))&amp;"")</f>
        <v/>
      </c>
      <c r="K145" s="19">
        <f>IF(142&gt;$I$1,"",INDEX('근조 화환'!$E$2:$E$501,MATCH(142,'근조 화환'!$G$2:$G$501,0))&amp;"")</f>
        <v/>
      </c>
    </row>
    <row r="146">
      <c r="A146" s="19">
        <f>IF(143&lt;=$F$1,143,"")</f>
        <v/>
      </c>
      <c r="B146" s="19">
        <f>IF($A146="","",INDEX('부의금 입력'!$B$2:$B$1001,MATCH($A146,'부의금 입력'!$H$2:$H$1001,0))&amp;"")</f>
        <v/>
      </c>
      <c r="C146" s="21">
        <f>IF($A146="","",INDEX('부의금 입력'!$C$2:$C$1001,MATCH($A146,'부의금 입력'!$H$2:$H$1001,0)))</f>
        <v/>
      </c>
      <c r="D146" s="19">
        <f>IF($A146="","",INDEX('부의금 입력'!$D$2:$D$1001,MATCH($A146,'부의금 입력'!$H$2:$H$1001,0))&amp;"")</f>
        <v/>
      </c>
      <c r="E146" s="19">
        <f>IF($A146="","",INDEX('부의금 입력'!$E$2:$E$1001,MATCH($A146,'부의금 입력'!$H$2:$H$1001,0))&amp;"")</f>
        <v/>
      </c>
      <c r="H146" s="19">
        <f>IF(143&gt;$I$1,"",INDEX('근조 화환'!$B$2:$B$501,MATCH(143,'근조 화환'!$G$2:$G$501,0))&amp;"")</f>
        <v/>
      </c>
      <c r="I146" s="19">
        <f>IF(143&gt;$I$1,"",INDEX('근조 화환'!$C$2:$C$501,MATCH(143,'근조 화환'!$G$2:$G$501,0))&amp;"")</f>
        <v/>
      </c>
      <c r="J146" s="19">
        <f>IF(143&gt;$I$1,"",INDEX('근조 화환'!$D$2:$D$501,MATCH(143,'근조 화환'!$G$2:$G$501,0))&amp;"")</f>
        <v/>
      </c>
      <c r="K146" s="19">
        <f>IF(143&gt;$I$1,"",INDEX('근조 화환'!$E$2:$E$501,MATCH(143,'근조 화환'!$G$2:$G$501,0))&amp;"")</f>
        <v/>
      </c>
    </row>
    <row r="147">
      <c r="A147" s="19">
        <f>IF(144&lt;=$F$1,144,"")</f>
        <v/>
      </c>
      <c r="B147" s="19">
        <f>IF($A147="","",INDEX('부의금 입력'!$B$2:$B$1001,MATCH($A147,'부의금 입력'!$H$2:$H$1001,0))&amp;"")</f>
        <v/>
      </c>
      <c r="C147" s="21">
        <f>IF($A147="","",INDEX('부의금 입력'!$C$2:$C$1001,MATCH($A147,'부의금 입력'!$H$2:$H$1001,0)))</f>
        <v/>
      </c>
      <c r="D147" s="19">
        <f>IF($A147="","",INDEX('부의금 입력'!$D$2:$D$1001,MATCH($A147,'부의금 입력'!$H$2:$H$1001,0))&amp;"")</f>
        <v/>
      </c>
      <c r="E147" s="19">
        <f>IF($A147="","",INDEX('부의금 입력'!$E$2:$E$1001,MATCH($A147,'부의금 입력'!$H$2:$H$1001,0))&amp;"")</f>
        <v/>
      </c>
      <c r="H147" s="19">
        <f>IF(144&gt;$I$1,"",INDEX('근조 화환'!$B$2:$B$501,MATCH(144,'근조 화환'!$G$2:$G$501,0))&amp;"")</f>
        <v/>
      </c>
      <c r="I147" s="19">
        <f>IF(144&gt;$I$1,"",INDEX('근조 화환'!$C$2:$C$501,MATCH(144,'근조 화환'!$G$2:$G$501,0))&amp;"")</f>
        <v/>
      </c>
      <c r="J147" s="19">
        <f>IF(144&gt;$I$1,"",INDEX('근조 화환'!$D$2:$D$501,MATCH(144,'근조 화환'!$G$2:$G$501,0))&amp;"")</f>
        <v/>
      </c>
      <c r="K147" s="19">
        <f>IF(144&gt;$I$1,"",INDEX('근조 화환'!$E$2:$E$501,MATCH(144,'근조 화환'!$G$2:$G$501,0))&amp;"")</f>
        <v/>
      </c>
    </row>
    <row r="148">
      <c r="A148" s="19">
        <f>IF(145&lt;=$F$1,145,"")</f>
        <v/>
      </c>
      <c r="B148" s="19">
        <f>IF($A148="","",INDEX('부의금 입력'!$B$2:$B$1001,MATCH($A148,'부의금 입력'!$H$2:$H$1001,0))&amp;"")</f>
        <v/>
      </c>
      <c r="C148" s="21">
        <f>IF($A148="","",INDEX('부의금 입력'!$C$2:$C$1001,MATCH($A148,'부의금 입력'!$H$2:$H$1001,0)))</f>
        <v/>
      </c>
      <c r="D148" s="19">
        <f>IF($A148="","",INDEX('부의금 입력'!$D$2:$D$1001,MATCH($A148,'부의금 입력'!$H$2:$H$1001,0))&amp;"")</f>
        <v/>
      </c>
      <c r="E148" s="19">
        <f>IF($A148="","",INDEX('부의금 입력'!$E$2:$E$1001,MATCH($A148,'부의금 입력'!$H$2:$H$1001,0))&amp;"")</f>
        <v/>
      </c>
      <c r="H148" s="19">
        <f>IF(145&gt;$I$1,"",INDEX('근조 화환'!$B$2:$B$501,MATCH(145,'근조 화환'!$G$2:$G$501,0))&amp;"")</f>
        <v/>
      </c>
      <c r="I148" s="19">
        <f>IF(145&gt;$I$1,"",INDEX('근조 화환'!$C$2:$C$501,MATCH(145,'근조 화환'!$G$2:$G$501,0))&amp;"")</f>
        <v/>
      </c>
      <c r="J148" s="19">
        <f>IF(145&gt;$I$1,"",INDEX('근조 화환'!$D$2:$D$501,MATCH(145,'근조 화환'!$G$2:$G$501,0))&amp;"")</f>
        <v/>
      </c>
      <c r="K148" s="19">
        <f>IF(145&gt;$I$1,"",INDEX('근조 화환'!$E$2:$E$501,MATCH(145,'근조 화환'!$G$2:$G$501,0))&amp;"")</f>
        <v/>
      </c>
    </row>
    <row r="149">
      <c r="A149" s="19">
        <f>IF(146&lt;=$F$1,146,"")</f>
        <v/>
      </c>
      <c r="B149" s="19">
        <f>IF($A149="","",INDEX('부의금 입력'!$B$2:$B$1001,MATCH($A149,'부의금 입력'!$H$2:$H$1001,0))&amp;"")</f>
        <v/>
      </c>
      <c r="C149" s="21">
        <f>IF($A149="","",INDEX('부의금 입력'!$C$2:$C$1001,MATCH($A149,'부의금 입력'!$H$2:$H$1001,0)))</f>
        <v/>
      </c>
      <c r="D149" s="19">
        <f>IF($A149="","",INDEX('부의금 입력'!$D$2:$D$1001,MATCH($A149,'부의금 입력'!$H$2:$H$1001,0))&amp;"")</f>
        <v/>
      </c>
      <c r="E149" s="19">
        <f>IF($A149="","",INDEX('부의금 입력'!$E$2:$E$1001,MATCH($A149,'부의금 입력'!$H$2:$H$1001,0))&amp;"")</f>
        <v/>
      </c>
      <c r="H149" s="19">
        <f>IF(146&gt;$I$1,"",INDEX('근조 화환'!$B$2:$B$501,MATCH(146,'근조 화환'!$G$2:$G$501,0))&amp;"")</f>
        <v/>
      </c>
      <c r="I149" s="19">
        <f>IF(146&gt;$I$1,"",INDEX('근조 화환'!$C$2:$C$501,MATCH(146,'근조 화환'!$G$2:$G$501,0))&amp;"")</f>
        <v/>
      </c>
      <c r="J149" s="19">
        <f>IF(146&gt;$I$1,"",INDEX('근조 화환'!$D$2:$D$501,MATCH(146,'근조 화환'!$G$2:$G$501,0))&amp;"")</f>
        <v/>
      </c>
      <c r="K149" s="19">
        <f>IF(146&gt;$I$1,"",INDEX('근조 화환'!$E$2:$E$501,MATCH(146,'근조 화환'!$G$2:$G$501,0))&amp;"")</f>
        <v/>
      </c>
    </row>
    <row r="150">
      <c r="A150" s="19">
        <f>IF(147&lt;=$F$1,147,"")</f>
        <v/>
      </c>
      <c r="B150" s="19">
        <f>IF($A150="","",INDEX('부의금 입력'!$B$2:$B$1001,MATCH($A150,'부의금 입력'!$H$2:$H$1001,0))&amp;"")</f>
        <v/>
      </c>
      <c r="C150" s="21">
        <f>IF($A150="","",INDEX('부의금 입력'!$C$2:$C$1001,MATCH($A150,'부의금 입력'!$H$2:$H$1001,0)))</f>
        <v/>
      </c>
      <c r="D150" s="19">
        <f>IF($A150="","",INDEX('부의금 입력'!$D$2:$D$1001,MATCH($A150,'부의금 입력'!$H$2:$H$1001,0))&amp;"")</f>
        <v/>
      </c>
      <c r="E150" s="19">
        <f>IF($A150="","",INDEX('부의금 입력'!$E$2:$E$1001,MATCH($A150,'부의금 입력'!$H$2:$H$1001,0))&amp;"")</f>
        <v/>
      </c>
      <c r="H150" s="19">
        <f>IF(147&gt;$I$1,"",INDEX('근조 화환'!$B$2:$B$501,MATCH(147,'근조 화환'!$G$2:$G$501,0))&amp;"")</f>
        <v/>
      </c>
      <c r="I150" s="19">
        <f>IF(147&gt;$I$1,"",INDEX('근조 화환'!$C$2:$C$501,MATCH(147,'근조 화환'!$G$2:$G$501,0))&amp;"")</f>
        <v/>
      </c>
      <c r="J150" s="19">
        <f>IF(147&gt;$I$1,"",INDEX('근조 화환'!$D$2:$D$501,MATCH(147,'근조 화환'!$G$2:$G$501,0))&amp;"")</f>
        <v/>
      </c>
      <c r="K150" s="19">
        <f>IF(147&gt;$I$1,"",INDEX('근조 화환'!$E$2:$E$501,MATCH(147,'근조 화환'!$G$2:$G$501,0))&amp;"")</f>
        <v/>
      </c>
    </row>
    <row r="151">
      <c r="A151" s="19">
        <f>IF(148&lt;=$F$1,148,"")</f>
        <v/>
      </c>
      <c r="B151" s="19">
        <f>IF($A151="","",INDEX('부의금 입력'!$B$2:$B$1001,MATCH($A151,'부의금 입력'!$H$2:$H$1001,0))&amp;"")</f>
        <v/>
      </c>
      <c r="C151" s="21">
        <f>IF($A151="","",INDEX('부의금 입력'!$C$2:$C$1001,MATCH($A151,'부의금 입력'!$H$2:$H$1001,0)))</f>
        <v/>
      </c>
      <c r="D151" s="19">
        <f>IF($A151="","",INDEX('부의금 입력'!$D$2:$D$1001,MATCH($A151,'부의금 입력'!$H$2:$H$1001,0))&amp;"")</f>
        <v/>
      </c>
      <c r="E151" s="19">
        <f>IF($A151="","",INDEX('부의금 입력'!$E$2:$E$1001,MATCH($A151,'부의금 입력'!$H$2:$H$1001,0))&amp;"")</f>
        <v/>
      </c>
      <c r="H151" s="19">
        <f>IF(148&gt;$I$1,"",INDEX('근조 화환'!$B$2:$B$501,MATCH(148,'근조 화환'!$G$2:$G$501,0))&amp;"")</f>
        <v/>
      </c>
      <c r="I151" s="19">
        <f>IF(148&gt;$I$1,"",INDEX('근조 화환'!$C$2:$C$501,MATCH(148,'근조 화환'!$G$2:$G$501,0))&amp;"")</f>
        <v/>
      </c>
      <c r="J151" s="19">
        <f>IF(148&gt;$I$1,"",INDEX('근조 화환'!$D$2:$D$501,MATCH(148,'근조 화환'!$G$2:$G$501,0))&amp;"")</f>
        <v/>
      </c>
      <c r="K151" s="19">
        <f>IF(148&gt;$I$1,"",INDEX('근조 화환'!$E$2:$E$501,MATCH(148,'근조 화환'!$G$2:$G$501,0))&amp;"")</f>
        <v/>
      </c>
    </row>
    <row r="152">
      <c r="A152" s="19">
        <f>IF(149&lt;=$F$1,149,"")</f>
        <v/>
      </c>
      <c r="B152" s="19">
        <f>IF($A152="","",INDEX('부의금 입력'!$B$2:$B$1001,MATCH($A152,'부의금 입력'!$H$2:$H$1001,0))&amp;"")</f>
        <v/>
      </c>
      <c r="C152" s="21">
        <f>IF($A152="","",INDEX('부의금 입력'!$C$2:$C$1001,MATCH($A152,'부의금 입력'!$H$2:$H$1001,0)))</f>
        <v/>
      </c>
      <c r="D152" s="19">
        <f>IF($A152="","",INDEX('부의금 입력'!$D$2:$D$1001,MATCH($A152,'부의금 입력'!$H$2:$H$1001,0))&amp;"")</f>
        <v/>
      </c>
      <c r="E152" s="19">
        <f>IF($A152="","",INDEX('부의금 입력'!$E$2:$E$1001,MATCH($A152,'부의금 입력'!$H$2:$H$1001,0))&amp;"")</f>
        <v/>
      </c>
      <c r="H152" s="19">
        <f>IF(149&gt;$I$1,"",INDEX('근조 화환'!$B$2:$B$501,MATCH(149,'근조 화환'!$G$2:$G$501,0))&amp;"")</f>
        <v/>
      </c>
      <c r="I152" s="19">
        <f>IF(149&gt;$I$1,"",INDEX('근조 화환'!$C$2:$C$501,MATCH(149,'근조 화환'!$G$2:$G$501,0))&amp;"")</f>
        <v/>
      </c>
      <c r="J152" s="19">
        <f>IF(149&gt;$I$1,"",INDEX('근조 화환'!$D$2:$D$501,MATCH(149,'근조 화환'!$G$2:$G$501,0))&amp;"")</f>
        <v/>
      </c>
      <c r="K152" s="19">
        <f>IF(149&gt;$I$1,"",INDEX('근조 화환'!$E$2:$E$501,MATCH(149,'근조 화환'!$G$2:$G$501,0))&amp;"")</f>
        <v/>
      </c>
    </row>
    <row r="153">
      <c r="A153" s="19">
        <f>IF(150&lt;=$F$1,150,"")</f>
        <v/>
      </c>
      <c r="B153" s="19">
        <f>IF($A153="","",INDEX('부의금 입력'!$B$2:$B$1001,MATCH($A153,'부의금 입력'!$H$2:$H$1001,0))&amp;"")</f>
        <v/>
      </c>
      <c r="C153" s="21">
        <f>IF($A153="","",INDEX('부의금 입력'!$C$2:$C$1001,MATCH($A153,'부의금 입력'!$H$2:$H$1001,0)))</f>
        <v/>
      </c>
      <c r="D153" s="19">
        <f>IF($A153="","",INDEX('부의금 입력'!$D$2:$D$1001,MATCH($A153,'부의금 입력'!$H$2:$H$1001,0))&amp;"")</f>
        <v/>
      </c>
      <c r="E153" s="19">
        <f>IF($A153="","",INDEX('부의금 입력'!$E$2:$E$1001,MATCH($A153,'부의금 입력'!$H$2:$H$1001,0))&amp;"")</f>
        <v/>
      </c>
      <c r="H153" s="19">
        <f>IF(150&gt;$I$1,"",INDEX('근조 화환'!$B$2:$B$501,MATCH(150,'근조 화환'!$G$2:$G$501,0))&amp;"")</f>
        <v/>
      </c>
      <c r="I153" s="19">
        <f>IF(150&gt;$I$1,"",INDEX('근조 화환'!$C$2:$C$501,MATCH(150,'근조 화환'!$G$2:$G$501,0))&amp;"")</f>
        <v/>
      </c>
      <c r="J153" s="19">
        <f>IF(150&gt;$I$1,"",INDEX('근조 화환'!$D$2:$D$501,MATCH(150,'근조 화환'!$G$2:$G$501,0))&amp;"")</f>
        <v/>
      </c>
      <c r="K153" s="19">
        <f>IF(150&gt;$I$1,"",INDEX('근조 화환'!$E$2:$E$501,MATCH(150,'근조 화환'!$G$2:$G$501,0))&amp;"")</f>
        <v/>
      </c>
    </row>
    <row r="154">
      <c r="A154" s="19">
        <f>IF(151&lt;=$F$1,151,"")</f>
        <v/>
      </c>
      <c r="B154" s="19">
        <f>IF($A154="","",INDEX('부의금 입력'!$B$2:$B$1001,MATCH($A154,'부의금 입력'!$H$2:$H$1001,0))&amp;"")</f>
        <v/>
      </c>
      <c r="C154" s="21">
        <f>IF($A154="","",INDEX('부의금 입력'!$C$2:$C$1001,MATCH($A154,'부의금 입력'!$H$2:$H$1001,0)))</f>
        <v/>
      </c>
      <c r="D154" s="19">
        <f>IF($A154="","",INDEX('부의금 입력'!$D$2:$D$1001,MATCH($A154,'부의금 입력'!$H$2:$H$1001,0))&amp;"")</f>
        <v/>
      </c>
      <c r="E154" s="19">
        <f>IF($A154="","",INDEX('부의금 입력'!$E$2:$E$1001,MATCH($A154,'부의금 입력'!$H$2:$H$1001,0))&amp;"")</f>
        <v/>
      </c>
      <c r="H154" s="19">
        <f>IF(151&gt;$I$1,"",INDEX('근조 화환'!$B$2:$B$501,MATCH(151,'근조 화환'!$G$2:$G$501,0))&amp;"")</f>
        <v/>
      </c>
      <c r="I154" s="19">
        <f>IF(151&gt;$I$1,"",INDEX('근조 화환'!$C$2:$C$501,MATCH(151,'근조 화환'!$G$2:$G$501,0))&amp;"")</f>
        <v/>
      </c>
      <c r="J154" s="19">
        <f>IF(151&gt;$I$1,"",INDEX('근조 화환'!$D$2:$D$501,MATCH(151,'근조 화환'!$G$2:$G$501,0))&amp;"")</f>
        <v/>
      </c>
      <c r="K154" s="19">
        <f>IF(151&gt;$I$1,"",INDEX('근조 화환'!$E$2:$E$501,MATCH(151,'근조 화환'!$G$2:$G$501,0))&amp;"")</f>
        <v/>
      </c>
    </row>
    <row r="155">
      <c r="A155" s="19">
        <f>IF(152&lt;=$F$1,152,"")</f>
        <v/>
      </c>
      <c r="B155" s="19">
        <f>IF($A155="","",INDEX('부의금 입력'!$B$2:$B$1001,MATCH($A155,'부의금 입력'!$H$2:$H$1001,0))&amp;"")</f>
        <v/>
      </c>
      <c r="C155" s="21">
        <f>IF($A155="","",INDEX('부의금 입력'!$C$2:$C$1001,MATCH($A155,'부의금 입력'!$H$2:$H$1001,0)))</f>
        <v/>
      </c>
      <c r="D155" s="19">
        <f>IF($A155="","",INDEX('부의금 입력'!$D$2:$D$1001,MATCH($A155,'부의금 입력'!$H$2:$H$1001,0))&amp;"")</f>
        <v/>
      </c>
      <c r="E155" s="19">
        <f>IF($A155="","",INDEX('부의금 입력'!$E$2:$E$1001,MATCH($A155,'부의금 입력'!$H$2:$H$1001,0))&amp;"")</f>
        <v/>
      </c>
      <c r="H155" s="19">
        <f>IF(152&gt;$I$1,"",INDEX('근조 화환'!$B$2:$B$501,MATCH(152,'근조 화환'!$G$2:$G$501,0))&amp;"")</f>
        <v/>
      </c>
      <c r="I155" s="19">
        <f>IF(152&gt;$I$1,"",INDEX('근조 화환'!$C$2:$C$501,MATCH(152,'근조 화환'!$G$2:$G$501,0))&amp;"")</f>
        <v/>
      </c>
      <c r="J155" s="19">
        <f>IF(152&gt;$I$1,"",INDEX('근조 화환'!$D$2:$D$501,MATCH(152,'근조 화환'!$G$2:$G$501,0))&amp;"")</f>
        <v/>
      </c>
      <c r="K155" s="19">
        <f>IF(152&gt;$I$1,"",INDEX('근조 화환'!$E$2:$E$501,MATCH(152,'근조 화환'!$G$2:$G$501,0))&amp;"")</f>
        <v/>
      </c>
    </row>
    <row r="156">
      <c r="A156" s="19">
        <f>IF(153&lt;=$F$1,153,"")</f>
        <v/>
      </c>
      <c r="B156" s="19">
        <f>IF($A156="","",INDEX('부의금 입력'!$B$2:$B$1001,MATCH($A156,'부의금 입력'!$H$2:$H$1001,0))&amp;"")</f>
        <v/>
      </c>
      <c r="C156" s="21">
        <f>IF($A156="","",INDEX('부의금 입력'!$C$2:$C$1001,MATCH($A156,'부의금 입력'!$H$2:$H$1001,0)))</f>
        <v/>
      </c>
      <c r="D156" s="19">
        <f>IF($A156="","",INDEX('부의금 입력'!$D$2:$D$1001,MATCH($A156,'부의금 입력'!$H$2:$H$1001,0))&amp;"")</f>
        <v/>
      </c>
      <c r="E156" s="19">
        <f>IF($A156="","",INDEX('부의금 입력'!$E$2:$E$1001,MATCH($A156,'부의금 입력'!$H$2:$H$1001,0))&amp;"")</f>
        <v/>
      </c>
      <c r="H156" s="19">
        <f>IF(153&gt;$I$1,"",INDEX('근조 화환'!$B$2:$B$501,MATCH(153,'근조 화환'!$G$2:$G$501,0))&amp;"")</f>
        <v/>
      </c>
      <c r="I156" s="19">
        <f>IF(153&gt;$I$1,"",INDEX('근조 화환'!$C$2:$C$501,MATCH(153,'근조 화환'!$G$2:$G$501,0))&amp;"")</f>
        <v/>
      </c>
      <c r="J156" s="19">
        <f>IF(153&gt;$I$1,"",INDEX('근조 화환'!$D$2:$D$501,MATCH(153,'근조 화환'!$G$2:$G$501,0))&amp;"")</f>
        <v/>
      </c>
      <c r="K156" s="19">
        <f>IF(153&gt;$I$1,"",INDEX('근조 화환'!$E$2:$E$501,MATCH(153,'근조 화환'!$G$2:$G$501,0))&amp;"")</f>
        <v/>
      </c>
    </row>
    <row r="157">
      <c r="A157" s="19">
        <f>IF(154&lt;=$F$1,154,"")</f>
        <v/>
      </c>
      <c r="B157" s="19">
        <f>IF($A157="","",INDEX('부의금 입력'!$B$2:$B$1001,MATCH($A157,'부의금 입력'!$H$2:$H$1001,0))&amp;"")</f>
        <v/>
      </c>
      <c r="C157" s="21">
        <f>IF($A157="","",INDEX('부의금 입력'!$C$2:$C$1001,MATCH($A157,'부의금 입력'!$H$2:$H$1001,0)))</f>
        <v/>
      </c>
      <c r="D157" s="19">
        <f>IF($A157="","",INDEX('부의금 입력'!$D$2:$D$1001,MATCH($A157,'부의금 입력'!$H$2:$H$1001,0))&amp;"")</f>
        <v/>
      </c>
      <c r="E157" s="19">
        <f>IF($A157="","",INDEX('부의금 입력'!$E$2:$E$1001,MATCH($A157,'부의금 입력'!$H$2:$H$1001,0))&amp;"")</f>
        <v/>
      </c>
      <c r="H157" s="19">
        <f>IF(154&gt;$I$1,"",INDEX('근조 화환'!$B$2:$B$501,MATCH(154,'근조 화환'!$G$2:$G$501,0))&amp;"")</f>
        <v/>
      </c>
      <c r="I157" s="19">
        <f>IF(154&gt;$I$1,"",INDEX('근조 화환'!$C$2:$C$501,MATCH(154,'근조 화환'!$G$2:$G$501,0))&amp;"")</f>
        <v/>
      </c>
      <c r="J157" s="19">
        <f>IF(154&gt;$I$1,"",INDEX('근조 화환'!$D$2:$D$501,MATCH(154,'근조 화환'!$G$2:$G$501,0))&amp;"")</f>
        <v/>
      </c>
      <c r="K157" s="19">
        <f>IF(154&gt;$I$1,"",INDEX('근조 화환'!$E$2:$E$501,MATCH(154,'근조 화환'!$G$2:$G$501,0))&amp;"")</f>
        <v/>
      </c>
    </row>
    <row r="158">
      <c r="A158" s="19">
        <f>IF(155&lt;=$F$1,155,"")</f>
        <v/>
      </c>
      <c r="B158" s="19">
        <f>IF($A158="","",INDEX('부의금 입력'!$B$2:$B$1001,MATCH($A158,'부의금 입력'!$H$2:$H$1001,0))&amp;"")</f>
        <v/>
      </c>
      <c r="C158" s="21">
        <f>IF($A158="","",INDEX('부의금 입력'!$C$2:$C$1001,MATCH($A158,'부의금 입력'!$H$2:$H$1001,0)))</f>
        <v/>
      </c>
      <c r="D158" s="19">
        <f>IF($A158="","",INDEX('부의금 입력'!$D$2:$D$1001,MATCH($A158,'부의금 입력'!$H$2:$H$1001,0))&amp;"")</f>
        <v/>
      </c>
      <c r="E158" s="19">
        <f>IF($A158="","",INDEX('부의금 입력'!$E$2:$E$1001,MATCH($A158,'부의금 입력'!$H$2:$H$1001,0))&amp;"")</f>
        <v/>
      </c>
      <c r="H158" s="19">
        <f>IF(155&gt;$I$1,"",INDEX('근조 화환'!$B$2:$B$501,MATCH(155,'근조 화환'!$G$2:$G$501,0))&amp;"")</f>
        <v/>
      </c>
      <c r="I158" s="19">
        <f>IF(155&gt;$I$1,"",INDEX('근조 화환'!$C$2:$C$501,MATCH(155,'근조 화환'!$G$2:$G$501,0))&amp;"")</f>
        <v/>
      </c>
      <c r="J158" s="19">
        <f>IF(155&gt;$I$1,"",INDEX('근조 화환'!$D$2:$D$501,MATCH(155,'근조 화환'!$G$2:$G$501,0))&amp;"")</f>
        <v/>
      </c>
      <c r="K158" s="19">
        <f>IF(155&gt;$I$1,"",INDEX('근조 화환'!$E$2:$E$501,MATCH(155,'근조 화환'!$G$2:$G$501,0))&amp;"")</f>
        <v/>
      </c>
    </row>
    <row r="159">
      <c r="A159" s="19">
        <f>IF(156&lt;=$F$1,156,"")</f>
        <v/>
      </c>
      <c r="B159" s="19">
        <f>IF($A159="","",INDEX('부의금 입력'!$B$2:$B$1001,MATCH($A159,'부의금 입력'!$H$2:$H$1001,0))&amp;"")</f>
        <v/>
      </c>
      <c r="C159" s="21">
        <f>IF($A159="","",INDEX('부의금 입력'!$C$2:$C$1001,MATCH($A159,'부의금 입력'!$H$2:$H$1001,0)))</f>
        <v/>
      </c>
      <c r="D159" s="19">
        <f>IF($A159="","",INDEX('부의금 입력'!$D$2:$D$1001,MATCH($A159,'부의금 입력'!$H$2:$H$1001,0))&amp;"")</f>
        <v/>
      </c>
      <c r="E159" s="19">
        <f>IF($A159="","",INDEX('부의금 입력'!$E$2:$E$1001,MATCH($A159,'부의금 입력'!$H$2:$H$1001,0))&amp;"")</f>
        <v/>
      </c>
      <c r="H159" s="19">
        <f>IF(156&gt;$I$1,"",INDEX('근조 화환'!$B$2:$B$501,MATCH(156,'근조 화환'!$G$2:$G$501,0))&amp;"")</f>
        <v/>
      </c>
      <c r="I159" s="19">
        <f>IF(156&gt;$I$1,"",INDEX('근조 화환'!$C$2:$C$501,MATCH(156,'근조 화환'!$G$2:$G$501,0))&amp;"")</f>
        <v/>
      </c>
      <c r="J159" s="19">
        <f>IF(156&gt;$I$1,"",INDEX('근조 화환'!$D$2:$D$501,MATCH(156,'근조 화환'!$G$2:$G$501,0))&amp;"")</f>
        <v/>
      </c>
      <c r="K159" s="19">
        <f>IF(156&gt;$I$1,"",INDEX('근조 화환'!$E$2:$E$501,MATCH(156,'근조 화환'!$G$2:$G$501,0))&amp;"")</f>
        <v/>
      </c>
    </row>
    <row r="160">
      <c r="A160" s="19">
        <f>IF(157&lt;=$F$1,157,"")</f>
        <v/>
      </c>
      <c r="B160" s="19">
        <f>IF($A160="","",INDEX('부의금 입력'!$B$2:$B$1001,MATCH($A160,'부의금 입력'!$H$2:$H$1001,0))&amp;"")</f>
        <v/>
      </c>
      <c r="C160" s="21">
        <f>IF($A160="","",INDEX('부의금 입력'!$C$2:$C$1001,MATCH($A160,'부의금 입력'!$H$2:$H$1001,0)))</f>
        <v/>
      </c>
      <c r="D160" s="19">
        <f>IF($A160="","",INDEX('부의금 입력'!$D$2:$D$1001,MATCH($A160,'부의금 입력'!$H$2:$H$1001,0))&amp;"")</f>
        <v/>
      </c>
      <c r="E160" s="19">
        <f>IF($A160="","",INDEX('부의금 입력'!$E$2:$E$1001,MATCH($A160,'부의금 입력'!$H$2:$H$1001,0))&amp;"")</f>
        <v/>
      </c>
      <c r="H160" s="19">
        <f>IF(157&gt;$I$1,"",INDEX('근조 화환'!$B$2:$B$501,MATCH(157,'근조 화환'!$G$2:$G$501,0))&amp;"")</f>
        <v/>
      </c>
      <c r="I160" s="19">
        <f>IF(157&gt;$I$1,"",INDEX('근조 화환'!$C$2:$C$501,MATCH(157,'근조 화환'!$G$2:$G$501,0))&amp;"")</f>
        <v/>
      </c>
      <c r="J160" s="19">
        <f>IF(157&gt;$I$1,"",INDEX('근조 화환'!$D$2:$D$501,MATCH(157,'근조 화환'!$G$2:$G$501,0))&amp;"")</f>
        <v/>
      </c>
      <c r="K160" s="19">
        <f>IF(157&gt;$I$1,"",INDEX('근조 화환'!$E$2:$E$501,MATCH(157,'근조 화환'!$G$2:$G$501,0))&amp;"")</f>
        <v/>
      </c>
    </row>
    <row r="161">
      <c r="A161" s="19">
        <f>IF(158&lt;=$F$1,158,"")</f>
        <v/>
      </c>
      <c r="B161" s="19">
        <f>IF($A161="","",INDEX('부의금 입력'!$B$2:$B$1001,MATCH($A161,'부의금 입력'!$H$2:$H$1001,0))&amp;"")</f>
        <v/>
      </c>
      <c r="C161" s="21">
        <f>IF($A161="","",INDEX('부의금 입력'!$C$2:$C$1001,MATCH($A161,'부의금 입력'!$H$2:$H$1001,0)))</f>
        <v/>
      </c>
      <c r="D161" s="19">
        <f>IF($A161="","",INDEX('부의금 입력'!$D$2:$D$1001,MATCH($A161,'부의금 입력'!$H$2:$H$1001,0))&amp;"")</f>
        <v/>
      </c>
      <c r="E161" s="19">
        <f>IF($A161="","",INDEX('부의금 입력'!$E$2:$E$1001,MATCH($A161,'부의금 입력'!$H$2:$H$1001,0))&amp;"")</f>
        <v/>
      </c>
      <c r="H161" s="19">
        <f>IF(158&gt;$I$1,"",INDEX('근조 화환'!$B$2:$B$501,MATCH(158,'근조 화환'!$G$2:$G$501,0))&amp;"")</f>
        <v/>
      </c>
      <c r="I161" s="19">
        <f>IF(158&gt;$I$1,"",INDEX('근조 화환'!$C$2:$C$501,MATCH(158,'근조 화환'!$G$2:$G$501,0))&amp;"")</f>
        <v/>
      </c>
      <c r="J161" s="19">
        <f>IF(158&gt;$I$1,"",INDEX('근조 화환'!$D$2:$D$501,MATCH(158,'근조 화환'!$G$2:$G$501,0))&amp;"")</f>
        <v/>
      </c>
      <c r="K161" s="19">
        <f>IF(158&gt;$I$1,"",INDEX('근조 화환'!$E$2:$E$501,MATCH(158,'근조 화환'!$G$2:$G$501,0))&amp;"")</f>
        <v/>
      </c>
    </row>
    <row r="162">
      <c r="A162" s="19">
        <f>IF(159&lt;=$F$1,159,"")</f>
        <v/>
      </c>
      <c r="B162" s="19">
        <f>IF($A162="","",INDEX('부의금 입력'!$B$2:$B$1001,MATCH($A162,'부의금 입력'!$H$2:$H$1001,0))&amp;"")</f>
        <v/>
      </c>
      <c r="C162" s="21">
        <f>IF($A162="","",INDEX('부의금 입력'!$C$2:$C$1001,MATCH($A162,'부의금 입력'!$H$2:$H$1001,0)))</f>
        <v/>
      </c>
      <c r="D162" s="19">
        <f>IF($A162="","",INDEX('부의금 입력'!$D$2:$D$1001,MATCH($A162,'부의금 입력'!$H$2:$H$1001,0))&amp;"")</f>
        <v/>
      </c>
      <c r="E162" s="19">
        <f>IF($A162="","",INDEX('부의금 입력'!$E$2:$E$1001,MATCH($A162,'부의금 입력'!$H$2:$H$1001,0))&amp;"")</f>
        <v/>
      </c>
      <c r="H162" s="19">
        <f>IF(159&gt;$I$1,"",INDEX('근조 화환'!$B$2:$B$501,MATCH(159,'근조 화환'!$G$2:$G$501,0))&amp;"")</f>
        <v/>
      </c>
      <c r="I162" s="19">
        <f>IF(159&gt;$I$1,"",INDEX('근조 화환'!$C$2:$C$501,MATCH(159,'근조 화환'!$G$2:$G$501,0))&amp;"")</f>
        <v/>
      </c>
      <c r="J162" s="19">
        <f>IF(159&gt;$I$1,"",INDEX('근조 화환'!$D$2:$D$501,MATCH(159,'근조 화환'!$G$2:$G$501,0))&amp;"")</f>
        <v/>
      </c>
      <c r="K162" s="19">
        <f>IF(159&gt;$I$1,"",INDEX('근조 화환'!$E$2:$E$501,MATCH(159,'근조 화환'!$G$2:$G$501,0))&amp;"")</f>
        <v/>
      </c>
    </row>
    <row r="163">
      <c r="A163" s="19">
        <f>IF(160&lt;=$F$1,160,"")</f>
        <v/>
      </c>
      <c r="B163" s="19">
        <f>IF($A163="","",INDEX('부의금 입력'!$B$2:$B$1001,MATCH($A163,'부의금 입력'!$H$2:$H$1001,0))&amp;"")</f>
        <v/>
      </c>
      <c r="C163" s="21">
        <f>IF($A163="","",INDEX('부의금 입력'!$C$2:$C$1001,MATCH($A163,'부의금 입력'!$H$2:$H$1001,0)))</f>
        <v/>
      </c>
      <c r="D163" s="19">
        <f>IF($A163="","",INDEX('부의금 입력'!$D$2:$D$1001,MATCH($A163,'부의금 입력'!$H$2:$H$1001,0))&amp;"")</f>
        <v/>
      </c>
      <c r="E163" s="19">
        <f>IF($A163="","",INDEX('부의금 입력'!$E$2:$E$1001,MATCH($A163,'부의금 입력'!$H$2:$H$1001,0))&amp;"")</f>
        <v/>
      </c>
      <c r="H163" s="19">
        <f>IF(160&gt;$I$1,"",INDEX('근조 화환'!$B$2:$B$501,MATCH(160,'근조 화환'!$G$2:$G$501,0))&amp;"")</f>
        <v/>
      </c>
      <c r="I163" s="19">
        <f>IF(160&gt;$I$1,"",INDEX('근조 화환'!$C$2:$C$501,MATCH(160,'근조 화환'!$G$2:$G$501,0))&amp;"")</f>
        <v/>
      </c>
      <c r="J163" s="19">
        <f>IF(160&gt;$I$1,"",INDEX('근조 화환'!$D$2:$D$501,MATCH(160,'근조 화환'!$G$2:$G$501,0))&amp;"")</f>
        <v/>
      </c>
      <c r="K163" s="19">
        <f>IF(160&gt;$I$1,"",INDEX('근조 화환'!$E$2:$E$501,MATCH(160,'근조 화환'!$G$2:$G$501,0))&amp;"")</f>
        <v/>
      </c>
    </row>
    <row r="164">
      <c r="A164" s="19">
        <f>IF(161&lt;=$F$1,161,"")</f>
        <v/>
      </c>
      <c r="B164" s="19">
        <f>IF($A164="","",INDEX('부의금 입력'!$B$2:$B$1001,MATCH($A164,'부의금 입력'!$H$2:$H$1001,0))&amp;"")</f>
        <v/>
      </c>
      <c r="C164" s="21">
        <f>IF($A164="","",INDEX('부의금 입력'!$C$2:$C$1001,MATCH($A164,'부의금 입력'!$H$2:$H$1001,0)))</f>
        <v/>
      </c>
      <c r="D164" s="19">
        <f>IF($A164="","",INDEX('부의금 입력'!$D$2:$D$1001,MATCH($A164,'부의금 입력'!$H$2:$H$1001,0))&amp;"")</f>
        <v/>
      </c>
      <c r="E164" s="19">
        <f>IF($A164="","",INDEX('부의금 입력'!$E$2:$E$1001,MATCH($A164,'부의금 입력'!$H$2:$H$1001,0))&amp;"")</f>
        <v/>
      </c>
      <c r="H164" s="19">
        <f>IF(161&gt;$I$1,"",INDEX('근조 화환'!$B$2:$B$501,MATCH(161,'근조 화환'!$G$2:$G$501,0))&amp;"")</f>
        <v/>
      </c>
      <c r="I164" s="19">
        <f>IF(161&gt;$I$1,"",INDEX('근조 화환'!$C$2:$C$501,MATCH(161,'근조 화환'!$G$2:$G$501,0))&amp;"")</f>
        <v/>
      </c>
      <c r="J164" s="19">
        <f>IF(161&gt;$I$1,"",INDEX('근조 화환'!$D$2:$D$501,MATCH(161,'근조 화환'!$G$2:$G$501,0))&amp;"")</f>
        <v/>
      </c>
      <c r="K164" s="19">
        <f>IF(161&gt;$I$1,"",INDEX('근조 화환'!$E$2:$E$501,MATCH(161,'근조 화환'!$G$2:$G$501,0))&amp;"")</f>
        <v/>
      </c>
    </row>
    <row r="165">
      <c r="A165" s="19">
        <f>IF(162&lt;=$F$1,162,"")</f>
        <v/>
      </c>
      <c r="B165" s="19">
        <f>IF($A165="","",INDEX('부의금 입력'!$B$2:$B$1001,MATCH($A165,'부의금 입력'!$H$2:$H$1001,0))&amp;"")</f>
        <v/>
      </c>
      <c r="C165" s="21">
        <f>IF($A165="","",INDEX('부의금 입력'!$C$2:$C$1001,MATCH($A165,'부의금 입력'!$H$2:$H$1001,0)))</f>
        <v/>
      </c>
      <c r="D165" s="19">
        <f>IF($A165="","",INDEX('부의금 입력'!$D$2:$D$1001,MATCH($A165,'부의금 입력'!$H$2:$H$1001,0))&amp;"")</f>
        <v/>
      </c>
      <c r="E165" s="19">
        <f>IF($A165="","",INDEX('부의금 입력'!$E$2:$E$1001,MATCH($A165,'부의금 입력'!$H$2:$H$1001,0))&amp;"")</f>
        <v/>
      </c>
      <c r="H165" s="19">
        <f>IF(162&gt;$I$1,"",INDEX('근조 화환'!$B$2:$B$501,MATCH(162,'근조 화환'!$G$2:$G$501,0))&amp;"")</f>
        <v/>
      </c>
      <c r="I165" s="19">
        <f>IF(162&gt;$I$1,"",INDEX('근조 화환'!$C$2:$C$501,MATCH(162,'근조 화환'!$G$2:$G$501,0))&amp;"")</f>
        <v/>
      </c>
      <c r="J165" s="19">
        <f>IF(162&gt;$I$1,"",INDEX('근조 화환'!$D$2:$D$501,MATCH(162,'근조 화환'!$G$2:$G$501,0))&amp;"")</f>
        <v/>
      </c>
      <c r="K165" s="19">
        <f>IF(162&gt;$I$1,"",INDEX('근조 화환'!$E$2:$E$501,MATCH(162,'근조 화환'!$G$2:$G$501,0))&amp;"")</f>
        <v/>
      </c>
    </row>
    <row r="166">
      <c r="A166" s="19">
        <f>IF(163&lt;=$F$1,163,"")</f>
        <v/>
      </c>
      <c r="B166" s="19">
        <f>IF($A166="","",INDEX('부의금 입력'!$B$2:$B$1001,MATCH($A166,'부의금 입력'!$H$2:$H$1001,0))&amp;"")</f>
        <v/>
      </c>
      <c r="C166" s="21">
        <f>IF($A166="","",INDEX('부의금 입력'!$C$2:$C$1001,MATCH($A166,'부의금 입력'!$H$2:$H$1001,0)))</f>
        <v/>
      </c>
      <c r="D166" s="19">
        <f>IF($A166="","",INDEX('부의금 입력'!$D$2:$D$1001,MATCH($A166,'부의금 입력'!$H$2:$H$1001,0))&amp;"")</f>
        <v/>
      </c>
      <c r="E166" s="19">
        <f>IF($A166="","",INDEX('부의금 입력'!$E$2:$E$1001,MATCH($A166,'부의금 입력'!$H$2:$H$1001,0))&amp;"")</f>
        <v/>
      </c>
      <c r="H166" s="19">
        <f>IF(163&gt;$I$1,"",INDEX('근조 화환'!$B$2:$B$501,MATCH(163,'근조 화환'!$G$2:$G$501,0))&amp;"")</f>
        <v/>
      </c>
      <c r="I166" s="19">
        <f>IF(163&gt;$I$1,"",INDEX('근조 화환'!$C$2:$C$501,MATCH(163,'근조 화환'!$G$2:$G$501,0))&amp;"")</f>
        <v/>
      </c>
      <c r="J166" s="19">
        <f>IF(163&gt;$I$1,"",INDEX('근조 화환'!$D$2:$D$501,MATCH(163,'근조 화환'!$G$2:$G$501,0))&amp;"")</f>
        <v/>
      </c>
      <c r="K166" s="19">
        <f>IF(163&gt;$I$1,"",INDEX('근조 화환'!$E$2:$E$501,MATCH(163,'근조 화환'!$G$2:$G$501,0))&amp;"")</f>
        <v/>
      </c>
    </row>
    <row r="167">
      <c r="A167" s="19">
        <f>IF(164&lt;=$F$1,164,"")</f>
        <v/>
      </c>
      <c r="B167" s="19">
        <f>IF($A167="","",INDEX('부의금 입력'!$B$2:$B$1001,MATCH($A167,'부의금 입력'!$H$2:$H$1001,0))&amp;"")</f>
        <v/>
      </c>
      <c r="C167" s="21">
        <f>IF($A167="","",INDEX('부의금 입력'!$C$2:$C$1001,MATCH($A167,'부의금 입력'!$H$2:$H$1001,0)))</f>
        <v/>
      </c>
      <c r="D167" s="19">
        <f>IF($A167="","",INDEX('부의금 입력'!$D$2:$D$1001,MATCH($A167,'부의금 입력'!$H$2:$H$1001,0))&amp;"")</f>
        <v/>
      </c>
      <c r="E167" s="19">
        <f>IF($A167="","",INDEX('부의금 입력'!$E$2:$E$1001,MATCH($A167,'부의금 입력'!$H$2:$H$1001,0))&amp;"")</f>
        <v/>
      </c>
      <c r="H167" s="19">
        <f>IF(164&gt;$I$1,"",INDEX('근조 화환'!$B$2:$B$501,MATCH(164,'근조 화환'!$G$2:$G$501,0))&amp;"")</f>
        <v/>
      </c>
      <c r="I167" s="19">
        <f>IF(164&gt;$I$1,"",INDEX('근조 화환'!$C$2:$C$501,MATCH(164,'근조 화환'!$G$2:$G$501,0))&amp;"")</f>
        <v/>
      </c>
      <c r="J167" s="19">
        <f>IF(164&gt;$I$1,"",INDEX('근조 화환'!$D$2:$D$501,MATCH(164,'근조 화환'!$G$2:$G$501,0))&amp;"")</f>
        <v/>
      </c>
      <c r="K167" s="19">
        <f>IF(164&gt;$I$1,"",INDEX('근조 화환'!$E$2:$E$501,MATCH(164,'근조 화환'!$G$2:$G$501,0))&amp;"")</f>
        <v/>
      </c>
    </row>
    <row r="168">
      <c r="A168" s="19">
        <f>IF(165&lt;=$F$1,165,"")</f>
        <v/>
      </c>
      <c r="B168" s="19">
        <f>IF($A168="","",INDEX('부의금 입력'!$B$2:$B$1001,MATCH($A168,'부의금 입력'!$H$2:$H$1001,0))&amp;"")</f>
        <v/>
      </c>
      <c r="C168" s="21">
        <f>IF($A168="","",INDEX('부의금 입력'!$C$2:$C$1001,MATCH($A168,'부의금 입력'!$H$2:$H$1001,0)))</f>
        <v/>
      </c>
      <c r="D168" s="19">
        <f>IF($A168="","",INDEX('부의금 입력'!$D$2:$D$1001,MATCH($A168,'부의금 입력'!$H$2:$H$1001,0))&amp;"")</f>
        <v/>
      </c>
      <c r="E168" s="19">
        <f>IF($A168="","",INDEX('부의금 입력'!$E$2:$E$1001,MATCH($A168,'부의금 입력'!$H$2:$H$1001,0))&amp;"")</f>
        <v/>
      </c>
      <c r="H168" s="19">
        <f>IF(165&gt;$I$1,"",INDEX('근조 화환'!$B$2:$B$501,MATCH(165,'근조 화환'!$G$2:$G$501,0))&amp;"")</f>
        <v/>
      </c>
      <c r="I168" s="19">
        <f>IF(165&gt;$I$1,"",INDEX('근조 화환'!$C$2:$C$501,MATCH(165,'근조 화환'!$G$2:$G$501,0))&amp;"")</f>
        <v/>
      </c>
      <c r="J168" s="19">
        <f>IF(165&gt;$I$1,"",INDEX('근조 화환'!$D$2:$D$501,MATCH(165,'근조 화환'!$G$2:$G$501,0))&amp;"")</f>
        <v/>
      </c>
      <c r="K168" s="19">
        <f>IF(165&gt;$I$1,"",INDEX('근조 화환'!$E$2:$E$501,MATCH(165,'근조 화환'!$G$2:$G$501,0))&amp;"")</f>
        <v/>
      </c>
    </row>
    <row r="169">
      <c r="A169" s="19">
        <f>IF(166&lt;=$F$1,166,"")</f>
        <v/>
      </c>
      <c r="B169" s="19">
        <f>IF($A169="","",INDEX('부의금 입력'!$B$2:$B$1001,MATCH($A169,'부의금 입력'!$H$2:$H$1001,0))&amp;"")</f>
        <v/>
      </c>
      <c r="C169" s="21">
        <f>IF($A169="","",INDEX('부의금 입력'!$C$2:$C$1001,MATCH($A169,'부의금 입력'!$H$2:$H$1001,0)))</f>
        <v/>
      </c>
      <c r="D169" s="19">
        <f>IF($A169="","",INDEX('부의금 입력'!$D$2:$D$1001,MATCH($A169,'부의금 입력'!$H$2:$H$1001,0))&amp;"")</f>
        <v/>
      </c>
      <c r="E169" s="19">
        <f>IF($A169="","",INDEX('부의금 입력'!$E$2:$E$1001,MATCH($A169,'부의금 입력'!$H$2:$H$1001,0))&amp;"")</f>
        <v/>
      </c>
      <c r="H169" s="19">
        <f>IF(166&gt;$I$1,"",INDEX('근조 화환'!$B$2:$B$501,MATCH(166,'근조 화환'!$G$2:$G$501,0))&amp;"")</f>
        <v/>
      </c>
      <c r="I169" s="19">
        <f>IF(166&gt;$I$1,"",INDEX('근조 화환'!$C$2:$C$501,MATCH(166,'근조 화환'!$G$2:$G$501,0))&amp;"")</f>
        <v/>
      </c>
      <c r="J169" s="19">
        <f>IF(166&gt;$I$1,"",INDEX('근조 화환'!$D$2:$D$501,MATCH(166,'근조 화환'!$G$2:$G$501,0))&amp;"")</f>
        <v/>
      </c>
      <c r="K169" s="19">
        <f>IF(166&gt;$I$1,"",INDEX('근조 화환'!$E$2:$E$501,MATCH(166,'근조 화환'!$G$2:$G$501,0))&amp;"")</f>
        <v/>
      </c>
    </row>
    <row r="170">
      <c r="A170" s="19">
        <f>IF(167&lt;=$F$1,167,"")</f>
        <v/>
      </c>
      <c r="B170" s="19">
        <f>IF($A170="","",INDEX('부의금 입력'!$B$2:$B$1001,MATCH($A170,'부의금 입력'!$H$2:$H$1001,0))&amp;"")</f>
        <v/>
      </c>
      <c r="C170" s="21">
        <f>IF($A170="","",INDEX('부의금 입력'!$C$2:$C$1001,MATCH($A170,'부의금 입력'!$H$2:$H$1001,0)))</f>
        <v/>
      </c>
      <c r="D170" s="19">
        <f>IF($A170="","",INDEX('부의금 입력'!$D$2:$D$1001,MATCH($A170,'부의금 입력'!$H$2:$H$1001,0))&amp;"")</f>
        <v/>
      </c>
      <c r="E170" s="19">
        <f>IF($A170="","",INDEX('부의금 입력'!$E$2:$E$1001,MATCH($A170,'부의금 입력'!$H$2:$H$1001,0))&amp;"")</f>
        <v/>
      </c>
      <c r="H170" s="19">
        <f>IF(167&gt;$I$1,"",INDEX('근조 화환'!$B$2:$B$501,MATCH(167,'근조 화환'!$G$2:$G$501,0))&amp;"")</f>
        <v/>
      </c>
      <c r="I170" s="19">
        <f>IF(167&gt;$I$1,"",INDEX('근조 화환'!$C$2:$C$501,MATCH(167,'근조 화환'!$G$2:$G$501,0))&amp;"")</f>
        <v/>
      </c>
      <c r="J170" s="19">
        <f>IF(167&gt;$I$1,"",INDEX('근조 화환'!$D$2:$D$501,MATCH(167,'근조 화환'!$G$2:$G$501,0))&amp;"")</f>
        <v/>
      </c>
      <c r="K170" s="19">
        <f>IF(167&gt;$I$1,"",INDEX('근조 화환'!$E$2:$E$501,MATCH(167,'근조 화환'!$G$2:$G$501,0))&amp;"")</f>
        <v/>
      </c>
    </row>
    <row r="171">
      <c r="A171" s="19">
        <f>IF(168&lt;=$F$1,168,"")</f>
        <v/>
      </c>
      <c r="B171" s="19">
        <f>IF($A171="","",INDEX('부의금 입력'!$B$2:$B$1001,MATCH($A171,'부의금 입력'!$H$2:$H$1001,0))&amp;"")</f>
        <v/>
      </c>
      <c r="C171" s="21">
        <f>IF($A171="","",INDEX('부의금 입력'!$C$2:$C$1001,MATCH($A171,'부의금 입력'!$H$2:$H$1001,0)))</f>
        <v/>
      </c>
      <c r="D171" s="19">
        <f>IF($A171="","",INDEX('부의금 입력'!$D$2:$D$1001,MATCH($A171,'부의금 입력'!$H$2:$H$1001,0))&amp;"")</f>
        <v/>
      </c>
      <c r="E171" s="19">
        <f>IF($A171="","",INDEX('부의금 입력'!$E$2:$E$1001,MATCH($A171,'부의금 입력'!$H$2:$H$1001,0))&amp;"")</f>
        <v/>
      </c>
      <c r="H171" s="19">
        <f>IF(168&gt;$I$1,"",INDEX('근조 화환'!$B$2:$B$501,MATCH(168,'근조 화환'!$G$2:$G$501,0))&amp;"")</f>
        <v/>
      </c>
      <c r="I171" s="19">
        <f>IF(168&gt;$I$1,"",INDEX('근조 화환'!$C$2:$C$501,MATCH(168,'근조 화환'!$G$2:$G$501,0))&amp;"")</f>
        <v/>
      </c>
      <c r="J171" s="19">
        <f>IF(168&gt;$I$1,"",INDEX('근조 화환'!$D$2:$D$501,MATCH(168,'근조 화환'!$G$2:$G$501,0))&amp;"")</f>
        <v/>
      </c>
      <c r="K171" s="19">
        <f>IF(168&gt;$I$1,"",INDEX('근조 화환'!$E$2:$E$501,MATCH(168,'근조 화환'!$G$2:$G$501,0))&amp;"")</f>
        <v/>
      </c>
    </row>
    <row r="172">
      <c r="A172" s="19">
        <f>IF(169&lt;=$F$1,169,"")</f>
        <v/>
      </c>
      <c r="B172" s="19">
        <f>IF($A172="","",INDEX('부의금 입력'!$B$2:$B$1001,MATCH($A172,'부의금 입력'!$H$2:$H$1001,0))&amp;"")</f>
        <v/>
      </c>
      <c r="C172" s="21">
        <f>IF($A172="","",INDEX('부의금 입력'!$C$2:$C$1001,MATCH($A172,'부의금 입력'!$H$2:$H$1001,0)))</f>
        <v/>
      </c>
      <c r="D172" s="19">
        <f>IF($A172="","",INDEX('부의금 입력'!$D$2:$D$1001,MATCH($A172,'부의금 입력'!$H$2:$H$1001,0))&amp;"")</f>
        <v/>
      </c>
      <c r="E172" s="19">
        <f>IF($A172="","",INDEX('부의금 입력'!$E$2:$E$1001,MATCH($A172,'부의금 입력'!$H$2:$H$1001,0))&amp;"")</f>
        <v/>
      </c>
      <c r="H172" s="19">
        <f>IF(169&gt;$I$1,"",INDEX('근조 화환'!$B$2:$B$501,MATCH(169,'근조 화환'!$G$2:$G$501,0))&amp;"")</f>
        <v/>
      </c>
      <c r="I172" s="19">
        <f>IF(169&gt;$I$1,"",INDEX('근조 화환'!$C$2:$C$501,MATCH(169,'근조 화환'!$G$2:$G$501,0))&amp;"")</f>
        <v/>
      </c>
      <c r="J172" s="19">
        <f>IF(169&gt;$I$1,"",INDEX('근조 화환'!$D$2:$D$501,MATCH(169,'근조 화환'!$G$2:$G$501,0))&amp;"")</f>
        <v/>
      </c>
      <c r="K172" s="19">
        <f>IF(169&gt;$I$1,"",INDEX('근조 화환'!$E$2:$E$501,MATCH(169,'근조 화환'!$G$2:$G$501,0))&amp;"")</f>
        <v/>
      </c>
    </row>
    <row r="173">
      <c r="A173" s="19">
        <f>IF(170&lt;=$F$1,170,"")</f>
        <v/>
      </c>
      <c r="B173" s="19">
        <f>IF($A173="","",INDEX('부의금 입력'!$B$2:$B$1001,MATCH($A173,'부의금 입력'!$H$2:$H$1001,0))&amp;"")</f>
        <v/>
      </c>
      <c r="C173" s="21">
        <f>IF($A173="","",INDEX('부의금 입력'!$C$2:$C$1001,MATCH($A173,'부의금 입력'!$H$2:$H$1001,0)))</f>
        <v/>
      </c>
      <c r="D173" s="19">
        <f>IF($A173="","",INDEX('부의금 입력'!$D$2:$D$1001,MATCH($A173,'부의금 입력'!$H$2:$H$1001,0))&amp;"")</f>
        <v/>
      </c>
      <c r="E173" s="19">
        <f>IF($A173="","",INDEX('부의금 입력'!$E$2:$E$1001,MATCH($A173,'부의금 입력'!$H$2:$H$1001,0))&amp;"")</f>
        <v/>
      </c>
      <c r="H173" s="19">
        <f>IF(170&gt;$I$1,"",INDEX('근조 화환'!$B$2:$B$501,MATCH(170,'근조 화환'!$G$2:$G$501,0))&amp;"")</f>
        <v/>
      </c>
      <c r="I173" s="19">
        <f>IF(170&gt;$I$1,"",INDEX('근조 화환'!$C$2:$C$501,MATCH(170,'근조 화환'!$G$2:$G$501,0))&amp;"")</f>
        <v/>
      </c>
      <c r="J173" s="19">
        <f>IF(170&gt;$I$1,"",INDEX('근조 화환'!$D$2:$D$501,MATCH(170,'근조 화환'!$G$2:$G$501,0))&amp;"")</f>
        <v/>
      </c>
      <c r="K173" s="19">
        <f>IF(170&gt;$I$1,"",INDEX('근조 화환'!$E$2:$E$501,MATCH(170,'근조 화환'!$G$2:$G$501,0))&amp;"")</f>
        <v/>
      </c>
    </row>
    <row r="174">
      <c r="A174" s="19">
        <f>IF(171&lt;=$F$1,171,"")</f>
        <v/>
      </c>
      <c r="B174" s="19">
        <f>IF($A174="","",INDEX('부의금 입력'!$B$2:$B$1001,MATCH($A174,'부의금 입력'!$H$2:$H$1001,0))&amp;"")</f>
        <v/>
      </c>
      <c r="C174" s="21">
        <f>IF($A174="","",INDEX('부의금 입력'!$C$2:$C$1001,MATCH($A174,'부의금 입력'!$H$2:$H$1001,0)))</f>
        <v/>
      </c>
      <c r="D174" s="19">
        <f>IF($A174="","",INDEX('부의금 입력'!$D$2:$D$1001,MATCH($A174,'부의금 입력'!$H$2:$H$1001,0))&amp;"")</f>
        <v/>
      </c>
      <c r="E174" s="19">
        <f>IF($A174="","",INDEX('부의금 입력'!$E$2:$E$1001,MATCH($A174,'부의금 입력'!$H$2:$H$1001,0))&amp;"")</f>
        <v/>
      </c>
      <c r="H174" s="19">
        <f>IF(171&gt;$I$1,"",INDEX('근조 화환'!$B$2:$B$501,MATCH(171,'근조 화환'!$G$2:$G$501,0))&amp;"")</f>
        <v/>
      </c>
      <c r="I174" s="19">
        <f>IF(171&gt;$I$1,"",INDEX('근조 화환'!$C$2:$C$501,MATCH(171,'근조 화환'!$G$2:$G$501,0))&amp;"")</f>
        <v/>
      </c>
      <c r="J174" s="19">
        <f>IF(171&gt;$I$1,"",INDEX('근조 화환'!$D$2:$D$501,MATCH(171,'근조 화환'!$G$2:$G$501,0))&amp;"")</f>
        <v/>
      </c>
      <c r="K174" s="19">
        <f>IF(171&gt;$I$1,"",INDEX('근조 화환'!$E$2:$E$501,MATCH(171,'근조 화환'!$G$2:$G$501,0))&amp;"")</f>
        <v/>
      </c>
    </row>
    <row r="175">
      <c r="A175" s="19">
        <f>IF(172&lt;=$F$1,172,"")</f>
        <v/>
      </c>
      <c r="B175" s="19">
        <f>IF($A175="","",INDEX('부의금 입력'!$B$2:$B$1001,MATCH($A175,'부의금 입력'!$H$2:$H$1001,0))&amp;"")</f>
        <v/>
      </c>
      <c r="C175" s="21">
        <f>IF($A175="","",INDEX('부의금 입력'!$C$2:$C$1001,MATCH($A175,'부의금 입력'!$H$2:$H$1001,0)))</f>
        <v/>
      </c>
      <c r="D175" s="19">
        <f>IF($A175="","",INDEX('부의금 입력'!$D$2:$D$1001,MATCH($A175,'부의금 입력'!$H$2:$H$1001,0))&amp;"")</f>
        <v/>
      </c>
      <c r="E175" s="19">
        <f>IF($A175="","",INDEX('부의금 입력'!$E$2:$E$1001,MATCH($A175,'부의금 입력'!$H$2:$H$1001,0))&amp;"")</f>
        <v/>
      </c>
      <c r="H175" s="19">
        <f>IF(172&gt;$I$1,"",INDEX('근조 화환'!$B$2:$B$501,MATCH(172,'근조 화환'!$G$2:$G$501,0))&amp;"")</f>
        <v/>
      </c>
      <c r="I175" s="19">
        <f>IF(172&gt;$I$1,"",INDEX('근조 화환'!$C$2:$C$501,MATCH(172,'근조 화환'!$G$2:$G$501,0))&amp;"")</f>
        <v/>
      </c>
      <c r="J175" s="19">
        <f>IF(172&gt;$I$1,"",INDEX('근조 화환'!$D$2:$D$501,MATCH(172,'근조 화환'!$G$2:$G$501,0))&amp;"")</f>
        <v/>
      </c>
      <c r="K175" s="19">
        <f>IF(172&gt;$I$1,"",INDEX('근조 화환'!$E$2:$E$501,MATCH(172,'근조 화환'!$G$2:$G$501,0))&amp;"")</f>
        <v/>
      </c>
    </row>
    <row r="176">
      <c r="A176" s="19">
        <f>IF(173&lt;=$F$1,173,"")</f>
        <v/>
      </c>
      <c r="B176" s="19">
        <f>IF($A176="","",INDEX('부의금 입력'!$B$2:$B$1001,MATCH($A176,'부의금 입력'!$H$2:$H$1001,0))&amp;"")</f>
        <v/>
      </c>
      <c r="C176" s="21">
        <f>IF($A176="","",INDEX('부의금 입력'!$C$2:$C$1001,MATCH($A176,'부의금 입력'!$H$2:$H$1001,0)))</f>
        <v/>
      </c>
      <c r="D176" s="19">
        <f>IF($A176="","",INDEX('부의금 입력'!$D$2:$D$1001,MATCH($A176,'부의금 입력'!$H$2:$H$1001,0))&amp;"")</f>
        <v/>
      </c>
      <c r="E176" s="19">
        <f>IF($A176="","",INDEX('부의금 입력'!$E$2:$E$1001,MATCH($A176,'부의금 입력'!$H$2:$H$1001,0))&amp;"")</f>
        <v/>
      </c>
      <c r="H176" s="19">
        <f>IF(173&gt;$I$1,"",INDEX('근조 화환'!$B$2:$B$501,MATCH(173,'근조 화환'!$G$2:$G$501,0))&amp;"")</f>
        <v/>
      </c>
      <c r="I176" s="19">
        <f>IF(173&gt;$I$1,"",INDEX('근조 화환'!$C$2:$C$501,MATCH(173,'근조 화환'!$G$2:$G$501,0))&amp;"")</f>
        <v/>
      </c>
      <c r="J176" s="19">
        <f>IF(173&gt;$I$1,"",INDEX('근조 화환'!$D$2:$D$501,MATCH(173,'근조 화환'!$G$2:$G$501,0))&amp;"")</f>
        <v/>
      </c>
      <c r="K176" s="19">
        <f>IF(173&gt;$I$1,"",INDEX('근조 화환'!$E$2:$E$501,MATCH(173,'근조 화환'!$G$2:$G$501,0))&amp;"")</f>
        <v/>
      </c>
    </row>
    <row r="177">
      <c r="A177" s="19">
        <f>IF(174&lt;=$F$1,174,"")</f>
        <v/>
      </c>
      <c r="B177" s="19">
        <f>IF($A177="","",INDEX('부의금 입력'!$B$2:$B$1001,MATCH($A177,'부의금 입력'!$H$2:$H$1001,0))&amp;"")</f>
        <v/>
      </c>
      <c r="C177" s="21">
        <f>IF($A177="","",INDEX('부의금 입력'!$C$2:$C$1001,MATCH($A177,'부의금 입력'!$H$2:$H$1001,0)))</f>
        <v/>
      </c>
      <c r="D177" s="19">
        <f>IF($A177="","",INDEX('부의금 입력'!$D$2:$D$1001,MATCH($A177,'부의금 입력'!$H$2:$H$1001,0))&amp;"")</f>
        <v/>
      </c>
      <c r="E177" s="19">
        <f>IF($A177="","",INDEX('부의금 입력'!$E$2:$E$1001,MATCH($A177,'부의금 입력'!$H$2:$H$1001,0))&amp;"")</f>
        <v/>
      </c>
      <c r="H177" s="19">
        <f>IF(174&gt;$I$1,"",INDEX('근조 화환'!$B$2:$B$501,MATCH(174,'근조 화환'!$G$2:$G$501,0))&amp;"")</f>
        <v/>
      </c>
      <c r="I177" s="19">
        <f>IF(174&gt;$I$1,"",INDEX('근조 화환'!$C$2:$C$501,MATCH(174,'근조 화환'!$G$2:$G$501,0))&amp;"")</f>
        <v/>
      </c>
      <c r="J177" s="19">
        <f>IF(174&gt;$I$1,"",INDEX('근조 화환'!$D$2:$D$501,MATCH(174,'근조 화환'!$G$2:$G$501,0))&amp;"")</f>
        <v/>
      </c>
      <c r="K177" s="19">
        <f>IF(174&gt;$I$1,"",INDEX('근조 화환'!$E$2:$E$501,MATCH(174,'근조 화환'!$G$2:$G$501,0))&amp;"")</f>
        <v/>
      </c>
    </row>
    <row r="178">
      <c r="A178" s="19">
        <f>IF(175&lt;=$F$1,175,"")</f>
        <v/>
      </c>
      <c r="B178" s="19">
        <f>IF($A178="","",INDEX('부의금 입력'!$B$2:$B$1001,MATCH($A178,'부의금 입력'!$H$2:$H$1001,0))&amp;"")</f>
        <v/>
      </c>
      <c r="C178" s="21">
        <f>IF($A178="","",INDEX('부의금 입력'!$C$2:$C$1001,MATCH($A178,'부의금 입력'!$H$2:$H$1001,0)))</f>
        <v/>
      </c>
      <c r="D178" s="19">
        <f>IF($A178="","",INDEX('부의금 입력'!$D$2:$D$1001,MATCH($A178,'부의금 입력'!$H$2:$H$1001,0))&amp;"")</f>
        <v/>
      </c>
      <c r="E178" s="19">
        <f>IF($A178="","",INDEX('부의금 입력'!$E$2:$E$1001,MATCH($A178,'부의금 입력'!$H$2:$H$1001,0))&amp;"")</f>
        <v/>
      </c>
      <c r="H178" s="19">
        <f>IF(175&gt;$I$1,"",INDEX('근조 화환'!$B$2:$B$501,MATCH(175,'근조 화환'!$G$2:$G$501,0))&amp;"")</f>
        <v/>
      </c>
      <c r="I178" s="19">
        <f>IF(175&gt;$I$1,"",INDEX('근조 화환'!$C$2:$C$501,MATCH(175,'근조 화환'!$G$2:$G$501,0))&amp;"")</f>
        <v/>
      </c>
      <c r="J178" s="19">
        <f>IF(175&gt;$I$1,"",INDEX('근조 화환'!$D$2:$D$501,MATCH(175,'근조 화환'!$G$2:$G$501,0))&amp;"")</f>
        <v/>
      </c>
      <c r="K178" s="19">
        <f>IF(175&gt;$I$1,"",INDEX('근조 화환'!$E$2:$E$501,MATCH(175,'근조 화환'!$G$2:$G$501,0))&amp;"")</f>
        <v/>
      </c>
    </row>
    <row r="179">
      <c r="A179" s="19">
        <f>IF(176&lt;=$F$1,176,"")</f>
        <v/>
      </c>
      <c r="B179" s="19">
        <f>IF($A179="","",INDEX('부의금 입력'!$B$2:$B$1001,MATCH($A179,'부의금 입력'!$H$2:$H$1001,0))&amp;"")</f>
        <v/>
      </c>
      <c r="C179" s="21">
        <f>IF($A179="","",INDEX('부의금 입력'!$C$2:$C$1001,MATCH($A179,'부의금 입력'!$H$2:$H$1001,0)))</f>
        <v/>
      </c>
      <c r="D179" s="19">
        <f>IF($A179="","",INDEX('부의금 입력'!$D$2:$D$1001,MATCH($A179,'부의금 입력'!$H$2:$H$1001,0))&amp;"")</f>
        <v/>
      </c>
      <c r="E179" s="19">
        <f>IF($A179="","",INDEX('부의금 입력'!$E$2:$E$1001,MATCH($A179,'부의금 입력'!$H$2:$H$1001,0))&amp;"")</f>
        <v/>
      </c>
      <c r="H179" s="19">
        <f>IF(176&gt;$I$1,"",INDEX('근조 화환'!$B$2:$B$501,MATCH(176,'근조 화환'!$G$2:$G$501,0))&amp;"")</f>
        <v/>
      </c>
      <c r="I179" s="19">
        <f>IF(176&gt;$I$1,"",INDEX('근조 화환'!$C$2:$C$501,MATCH(176,'근조 화환'!$G$2:$G$501,0))&amp;"")</f>
        <v/>
      </c>
      <c r="J179" s="19">
        <f>IF(176&gt;$I$1,"",INDEX('근조 화환'!$D$2:$D$501,MATCH(176,'근조 화환'!$G$2:$G$501,0))&amp;"")</f>
        <v/>
      </c>
      <c r="K179" s="19">
        <f>IF(176&gt;$I$1,"",INDEX('근조 화환'!$E$2:$E$501,MATCH(176,'근조 화환'!$G$2:$G$501,0))&amp;"")</f>
        <v/>
      </c>
    </row>
    <row r="180">
      <c r="A180" s="19">
        <f>IF(177&lt;=$F$1,177,"")</f>
        <v/>
      </c>
      <c r="B180" s="19">
        <f>IF($A180="","",INDEX('부의금 입력'!$B$2:$B$1001,MATCH($A180,'부의금 입력'!$H$2:$H$1001,0))&amp;"")</f>
        <v/>
      </c>
      <c r="C180" s="21">
        <f>IF($A180="","",INDEX('부의금 입력'!$C$2:$C$1001,MATCH($A180,'부의금 입력'!$H$2:$H$1001,0)))</f>
        <v/>
      </c>
      <c r="D180" s="19">
        <f>IF($A180="","",INDEX('부의금 입력'!$D$2:$D$1001,MATCH($A180,'부의금 입력'!$H$2:$H$1001,0))&amp;"")</f>
        <v/>
      </c>
      <c r="E180" s="19">
        <f>IF($A180="","",INDEX('부의금 입력'!$E$2:$E$1001,MATCH($A180,'부의금 입력'!$H$2:$H$1001,0))&amp;"")</f>
        <v/>
      </c>
      <c r="H180" s="19">
        <f>IF(177&gt;$I$1,"",INDEX('근조 화환'!$B$2:$B$501,MATCH(177,'근조 화환'!$G$2:$G$501,0))&amp;"")</f>
        <v/>
      </c>
      <c r="I180" s="19">
        <f>IF(177&gt;$I$1,"",INDEX('근조 화환'!$C$2:$C$501,MATCH(177,'근조 화환'!$G$2:$G$501,0))&amp;"")</f>
        <v/>
      </c>
      <c r="J180" s="19">
        <f>IF(177&gt;$I$1,"",INDEX('근조 화환'!$D$2:$D$501,MATCH(177,'근조 화환'!$G$2:$G$501,0))&amp;"")</f>
        <v/>
      </c>
      <c r="K180" s="19">
        <f>IF(177&gt;$I$1,"",INDEX('근조 화환'!$E$2:$E$501,MATCH(177,'근조 화환'!$G$2:$G$501,0))&amp;"")</f>
        <v/>
      </c>
    </row>
    <row r="181">
      <c r="A181" s="19">
        <f>IF(178&lt;=$F$1,178,"")</f>
        <v/>
      </c>
      <c r="B181" s="19">
        <f>IF($A181="","",INDEX('부의금 입력'!$B$2:$B$1001,MATCH($A181,'부의금 입력'!$H$2:$H$1001,0))&amp;"")</f>
        <v/>
      </c>
      <c r="C181" s="21">
        <f>IF($A181="","",INDEX('부의금 입력'!$C$2:$C$1001,MATCH($A181,'부의금 입력'!$H$2:$H$1001,0)))</f>
        <v/>
      </c>
      <c r="D181" s="19">
        <f>IF($A181="","",INDEX('부의금 입력'!$D$2:$D$1001,MATCH($A181,'부의금 입력'!$H$2:$H$1001,0))&amp;"")</f>
        <v/>
      </c>
      <c r="E181" s="19">
        <f>IF($A181="","",INDEX('부의금 입력'!$E$2:$E$1001,MATCH($A181,'부의금 입력'!$H$2:$H$1001,0))&amp;"")</f>
        <v/>
      </c>
      <c r="H181" s="19">
        <f>IF(178&gt;$I$1,"",INDEX('근조 화환'!$B$2:$B$501,MATCH(178,'근조 화환'!$G$2:$G$501,0))&amp;"")</f>
        <v/>
      </c>
      <c r="I181" s="19">
        <f>IF(178&gt;$I$1,"",INDEX('근조 화환'!$C$2:$C$501,MATCH(178,'근조 화환'!$G$2:$G$501,0))&amp;"")</f>
        <v/>
      </c>
      <c r="J181" s="19">
        <f>IF(178&gt;$I$1,"",INDEX('근조 화환'!$D$2:$D$501,MATCH(178,'근조 화환'!$G$2:$G$501,0))&amp;"")</f>
        <v/>
      </c>
      <c r="K181" s="19">
        <f>IF(178&gt;$I$1,"",INDEX('근조 화환'!$E$2:$E$501,MATCH(178,'근조 화환'!$G$2:$G$501,0))&amp;"")</f>
        <v/>
      </c>
    </row>
    <row r="182">
      <c r="A182" s="19">
        <f>IF(179&lt;=$F$1,179,"")</f>
        <v/>
      </c>
      <c r="B182" s="19">
        <f>IF($A182="","",INDEX('부의금 입력'!$B$2:$B$1001,MATCH($A182,'부의금 입력'!$H$2:$H$1001,0))&amp;"")</f>
        <v/>
      </c>
      <c r="C182" s="21">
        <f>IF($A182="","",INDEX('부의금 입력'!$C$2:$C$1001,MATCH($A182,'부의금 입력'!$H$2:$H$1001,0)))</f>
        <v/>
      </c>
      <c r="D182" s="19">
        <f>IF($A182="","",INDEX('부의금 입력'!$D$2:$D$1001,MATCH($A182,'부의금 입력'!$H$2:$H$1001,0))&amp;"")</f>
        <v/>
      </c>
      <c r="E182" s="19">
        <f>IF($A182="","",INDEX('부의금 입력'!$E$2:$E$1001,MATCH($A182,'부의금 입력'!$H$2:$H$1001,0))&amp;"")</f>
        <v/>
      </c>
      <c r="H182" s="19">
        <f>IF(179&gt;$I$1,"",INDEX('근조 화환'!$B$2:$B$501,MATCH(179,'근조 화환'!$G$2:$G$501,0))&amp;"")</f>
        <v/>
      </c>
      <c r="I182" s="19">
        <f>IF(179&gt;$I$1,"",INDEX('근조 화환'!$C$2:$C$501,MATCH(179,'근조 화환'!$G$2:$G$501,0))&amp;"")</f>
        <v/>
      </c>
      <c r="J182" s="19">
        <f>IF(179&gt;$I$1,"",INDEX('근조 화환'!$D$2:$D$501,MATCH(179,'근조 화환'!$G$2:$G$501,0))&amp;"")</f>
        <v/>
      </c>
      <c r="K182" s="19">
        <f>IF(179&gt;$I$1,"",INDEX('근조 화환'!$E$2:$E$501,MATCH(179,'근조 화환'!$G$2:$G$501,0))&amp;"")</f>
        <v/>
      </c>
    </row>
    <row r="183">
      <c r="A183" s="19">
        <f>IF(180&lt;=$F$1,180,"")</f>
        <v/>
      </c>
      <c r="B183" s="19">
        <f>IF($A183="","",INDEX('부의금 입력'!$B$2:$B$1001,MATCH($A183,'부의금 입력'!$H$2:$H$1001,0))&amp;"")</f>
        <v/>
      </c>
      <c r="C183" s="21">
        <f>IF($A183="","",INDEX('부의금 입력'!$C$2:$C$1001,MATCH($A183,'부의금 입력'!$H$2:$H$1001,0)))</f>
        <v/>
      </c>
      <c r="D183" s="19">
        <f>IF($A183="","",INDEX('부의금 입력'!$D$2:$D$1001,MATCH($A183,'부의금 입력'!$H$2:$H$1001,0))&amp;"")</f>
        <v/>
      </c>
      <c r="E183" s="19">
        <f>IF($A183="","",INDEX('부의금 입력'!$E$2:$E$1001,MATCH($A183,'부의금 입력'!$H$2:$H$1001,0))&amp;"")</f>
        <v/>
      </c>
      <c r="H183" s="19">
        <f>IF(180&gt;$I$1,"",INDEX('근조 화환'!$B$2:$B$501,MATCH(180,'근조 화환'!$G$2:$G$501,0))&amp;"")</f>
        <v/>
      </c>
      <c r="I183" s="19">
        <f>IF(180&gt;$I$1,"",INDEX('근조 화환'!$C$2:$C$501,MATCH(180,'근조 화환'!$G$2:$G$501,0))&amp;"")</f>
        <v/>
      </c>
      <c r="J183" s="19">
        <f>IF(180&gt;$I$1,"",INDEX('근조 화환'!$D$2:$D$501,MATCH(180,'근조 화환'!$G$2:$G$501,0))&amp;"")</f>
        <v/>
      </c>
      <c r="K183" s="19">
        <f>IF(180&gt;$I$1,"",INDEX('근조 화환'!$E$2:$E$501,MATCH(180,'근조 화환'!$G$2:$G$501,0))&amp;"")</f>
        <v/>
      </c>
    </row>
    <row r="184">
      <c r="A184" s="19">
        <f>IF(181&lt;=$F$1,181,"")</f>
        <v/>
      </c>
      <c r="B184" s="19">
        <f>IF($A184="","",INDEX('부의금 입력'!$B$2:$B$1001,MATCH($A184,'부의금 입력'!$H$2:$H$1001,0))&amp;"")</f>
        <v/>
      </c>
      <c r="C184" s="21">
        <f>IF($A184="","",INDEX('부의금 입력'!$C$2:$C$1001,MATCH($A184,'부의금 입력'!$H$2:$H$1001,0)))</f>
        <v/>
      </c>
      <c r="D184" s="19">
        <f>IF($A184="","",INDEX('부의금 입력'!$D$2:$D$1001,MATCH($A184,'부의금 입력'!$H$2:$H$1001,0))&amp;"")</f>
        <v/>
      </c>
      <c r="E184" s="19">
        <f>IF($A184="","",INDEX('부의금 입력'!$E$2:$E$1001,MATCH($A184,'부의금 입력'!$H$2:$H$1001,0))&amp;"")</f>
        <v/>
      </c>
      <c r="H184" s="19">
        <f>IF(181&gt;$I$1,"",INDEX('근조 화환'!$B$2:$B$501,MATCH(181,'근조 화환'!$G$2:$G$501,0))&amp;"")</f>
        <v/>
      </c>
      <c r="I184" s="19">
        <f>IF(181&gt;$I$1,"",INDEX('근조 화환'!$C$2:$C$501,MATCH(181,'근조 화환'!$G$2:$G$501,0))&amp;"")</f>
        <v/>
      </c>
      <c r="J184" s="19">
        <f>IF(181&gt;$I$1,"",INDEX('근조 화환'!$D$2:$D$501,MATCH(181,'근조 화환'!$G$2:$G$501,0))&amp;"")</f>
        <v/>
      </c>
      <c r="K184" s="19">
        <f>IF(181&gt;$I$1,"",INDEX('근조 화환'!$E$2:$E$501,MATCH(181,'근조 화환'!$G$2:$G$501,0))&amp;"")</f>
        <v/>
      </c>
    </row>
    <row r="185">
      <c r="A185" s="19">
        <f>IF(182&lt;=$F$1,182,"")</f>
        <v/>
      </c>
      <c r="B185" s="19">
        <f>IF($A185="","",INDEX('부의금 입력'!$B$2:$B$1001,MATCH($A185,'부의금 입력'!$H$2:$H$1001,0))&amp;"")</f>
        <v/>
      </c>
      <c r="C185" s="21">
        <f>IF($A185="","",INDEX('부의금 입력'!$C$2:$C$1001,MATCH($A185,'부의금 입력'!$H$2:$H$1001,0)))</f>
        <v/>
      </c>
      <c r="D185" s="19">
        <f>IF($A185="","",INDEX('부의금 입력'!$D$2:$D$1001,MATCH($A185,'부의금 입력'!$H$2:$H$1001,0))&amp;"")</f>
        <v/>
      </c>
      <c r="E185" s="19">
        <f>IF($A185="","",INDEX('부의금 입력'!$E$2:$E$1001,MATCH($A185,'부의금 입력'!$H$2:$H$1001,0))&amp;"")</f>
        <v/>
      </c>
      <c r="H185" s="19">
        <f>IF(182&gt;$I$1,"",INDEX('근조 화환'!$B$2:$B$501,MATCH(182,'근조 화환'!$G$2:$G$501,0))&amp;"")</f>
        <v/>
      </c>
      <c r="I185" s="19">
        <f>IF(182&gt;$I$1,"",INDEX('근조 화환'!$C$2:$C$501,MATCH(182,'근조 화환'!$G$2:$G$501,0))&amp;"")</f>
        <v/>
      </c>
      <c r="J185" s="19">
        <f>IF(182&gt;$I$1,"",INDEX('근조 화환'!$D$2:$D$501,MATCH(182,'근조 화환'!$G$2:$G$501,0))&amp;"")</f>
        <v/>
      </c>
      <c r="K185" s="19">
        <f>IF(182&gt;$I$1,"",INDEX('근조 화환'!$E$2:$E$501,MATCH(182,'근조 화환'!$G$2:$G$501,0))&amp;"")</f>
        <v/>
      </c>
    </row>
    <row r="186">
      <c r="A186" s="19">
        <f>IF(183&lt;=$F$1,183,"")</f>
        <v/>
      </c>
      <c r="B186" s="19">
        <f>IF($A186="","",INDEX('부의금 입력'!$B$2:$B$1001,MATCH($A186,'부의금 입력'!$H$2:$H$1001,0))&amp;"")</f>
        <v/>
      </c>
      <c r="C186" s="21">
        <f>IF($A186="","",INDEX('부의금 입력'!$C$2:$C$1001,MATCH($A186,'부의금 입력'!$H$2:$H$1001,0)))</f>
        <v/>
      </c>
      <c r="D186" s="19">
        <f>IF($A186="","",INDEX('부의금 입력'!$D$2:$D$1001,MATCH($A186,'부의금 입력'!$H$2:$H$1001,0))&amp;"")</f>
        <v/>
      </c>
      <c r="E186" s="19">
        <f>IF($A186="","",INDEX('부의금 입력'!$E$2:$E$1001,MATCH($A186,'부의금 입력'!$H$2:$H$1001,0))&amp;"")</f>
        <v/>
      </c>
      <c r="H186" s="19">
        <f>IF(183&gt;$I$1,"",INDEX('근조 화환'!$B$2:$B$501,MATCH(183,'근조 화환'!$G$2:$G$501,0))&amp;"")</f>
        <v/>
      </c>
      <c r="I186" s="19">
        <f>IF(183&gt;$I$1,"",INDEX('근조 화환'!$C$2:$C$501,MATCH(183,'근조 화환'!$G$2:$G$501,0))&amp;"")</f>
        <v/>
      </c>
      <c r="J186" s="19">
        <f>IF(183&gt;$I$1,"",INDEX('근조 화환'!$D$2:$D$501,MATCH(183,'근조 화환'!$G$2:$G$501,0))&amp;"")</f>
        <v/>
      </c>
      <c r="K186" s="19">
        <f>IF(183&gt;$I$1,"",INDEX('근조 화환'!$E$2:$E$501,MATCH(183,'근조 화환'!$G$2:$G$501,0))&amp;"")</f>
        <v/>
      </c>
    </row>
    <row r="187">
      <c r="A187" s="19">
        <f>IF(184&lt;=$F$1,184,"")</f>
        <v/>
      </c>
      <c r="B187" s="19">
        <f>IF($A187="","",INDEX('부의금 입력'!$B$2:$B$1001,MATCH($A187,'부의금 입력'!$H$2:$H$1001,0))&amp;"")</f>
        <v/>
      </c>
      <c r="C187" s="21">
        <f>IF($A187="","",INDEX('부의금 입력'!$C$2:$C$1001,MATCH($A187,'부의금 입력'!$H$2:$H$1001,0)))</f>
        <v/>
      </c>
      <c r="D187" s="19">
        <f>IF($A187="","",INDEX('부의금 입력'!$D$2:$D$1001,MATCH($A187,'부의금 입력'!$H$2:$H$1001,0))&amp;"")</f>
        <v/>
      </c>
      <c r="E187" s="19">
        <f>IF($A187="","",INDEX('부의금 입력'!$E$2:$E$1001,MATCH($A187,'부의금 입력'!$H$2:$H$1001,0))&amp;"")</f>
        <v/>
      </c>
      <c r="H187" s="19">
        <f>IF(184&gt;$I$1,"",INDEX('근조 화환'!$B$2:$B$501,MATCH(184,'근조 화환'!$G$2:$G$501,0))&amp;"")</f>
        <v/>
      </c>
      <c r="I187" s="19">
        <f>IF(184&gt;$I$1,"",INDEX('근조 화환'!$C$2:$C$501,MATCH(184,'근조 화환'!$G$2:$G$501,0))&amp;"")</f>
        <v/>
      </c>
      <c r="J187" s="19">
        <f>IF(184&gt;$I$1,"",INDEX('근조 화환'!$D$2:$D$501,MATCH(184,'근조 화환'!$G$2:$G$501,0))&amp;"")</f>
        <v/>
      </c>
      <c r="K187" s="19">
        <f>IF(184&gt;$I$1,"",INDEX('근조 화환'!$E$2:$E$501,MATCH(184,'근조 화환'!$G$2:$G$501,0))&amp;"")</f>
        <v/>
      </c>
    </row>
    <row r="188">
      <c r="A188" s="19">
        <f>IF(185&lt;=$F$1,185,"")</f>
        <v/>
      </c>
      <c r="B188" s="19">
        <f>IF($A188="","",INDEX('부의금 입력'!$B$2:$B$1001,MATCH($A188,'부의금 입력'!$H$2:$H$1001,0))&amp;"")</f>
        <v/>
      </c>
      <c r="C188" s="21">
        <f>IF($A188="","",INDEX('부의금 입력'!$C$2:$C$1001,MATCH($A188,'부의금 입력'!$H$2:$H$1001,0)))</f>
        <v/>
      </c>
      <c r="D188" s="19">
        <f>IF($A188="","",INDEX('부의금 입력'!$D$2:$D$1001,MATCH($A188,'부의금 입력'!$H$2:$H$1001,0))&amp;"")</f>
        <v/>
      </c>
      <c r="E188" s="19">
        <f>IF($A188="","",INDEX('부의금 입력'!$E$2:$E$1001,MATCH($A188,'부의금 입력'!$H$2:$H$1001,0))&amp;"")</f>
        <v/>
      </c>
      <c r="H188" s="19">
        <f>IF(185&gt;$I$1,"",INDEX('근조 화환'!$B$2:$B$501,MATCH(185,'근조 화환'!$G$2:$G$501,0))&amp;"")</f>
        <v/>
      </c>
      <c r="I188" s="19">
        <f>IF(185&gt;$I$1,"",INDEX('근조 화환'!$C$2:$C$501,MATCH(185,'근조 화환'!$G$2:$G$501,0))&amp;"")</f>
        <v/>
      </c>
      <c r="J188" s="19">
        <f>IF(185&gt;$I$1,"",INDEX('근조 화환'!$D$2:$D$501,MATCH(185,'근조 화환'!$G$2:$G$501,0))&amp;"")</f>
        <v/>
      </c>
      <c r="K188" s="19">
        <f>IF(185&gt;$I$1,"",INDEX('근조 화환'!$E$2:$E$501,MATCH(185,'근조 화환'!$G$2:$G$501,0))&amp;"")</f>
        <v/>
      </c>
    </row>
    <row r="189">
      <c r="A189" s="19">
        <f>IF(186&lt;=$F$1,186,"")</f>
        <v/>
      </c>
      <c r="B189" s="19">
        <f>IF($A189="","",INDEX('부의금 입력'!$B$2:$B$1001,MATCH($A189,'부의금 입력'!$H$2:$H$1001,0))&amp;"")</f>
        <v/>
      </c>
      <c r="C189" s="21">
        <f>IF($A189="","",INDEX('부의금 입력'!$C$2:$C$1001,MATCH($A189,'부의금 입력'!$H$2:$H$1001,0)))</f>
        <v/>
      </c>
      <c r="D189" s="19">
        <f>IF($A189="","",INDEX('부의금 입력'!$D$2:$D$1001,MATCH($A189,'부의금 입력'!$H$2:$H$1001,0))&amp;"")</f>
        <v/>
      </c>
      <c r="E189" s="19">
        <f>IF($A189="","",INDEX('부의금 입력'!$E$2:$E$1001,MATCH($A189,'부의금 입력'!$H$2:$H$1001,0))&amp;"")</f>
        <v/>
      </c>
      <c r="H189" s="19">
        <f>IF(186&gt;$I$1,"",INDEX('근조 화환'!$B$2:$B$501,MATCH(186,'근조 화환'!$G$2:$G$501,0))&amp;"")</f>
        <v/>
      </c>
      <c r="I189" s="19">
        <f>IF(186&gt;$I$1,"",INDEX('근조 화환'!$C$2:$C$501,MATCH(186,'근조 화환'!$G$2:$G$501,0))&amp;"")</f>
        <v/>
      </c>
      <c r="J189" s="19">
        <f>IF(186&gt;$I$1,"",INDEX('근조 화환'!$D$2:$D$501,MATCH(186,'근조 화환'!$G$2:$G$501,0))&amp;"")</f>
        <v/>
      </c>
      <c r="K189" s="19">
        <f>IF(186&gt;$I$1,"",INDEX('근조 화환'!$E$2:$E$501,MATCH(186,'근조 화환'!$G$2:$G$501,0))&amp;"")</f>
        <v/>
      </c>
    </row>
    <row r="190">
      <c r="A190" s="19">
        <f>IF(187&lt;=$F$1,187,"")</f>
        <v/>
      </c>
      <c r="B190" s="19">
        <f>IF($A190="","",INDEX('부의금 입력'!$B$2:$B$1001,MATCH($A190,'부의금 입력'!$H$2:$H$1001,0))&amp;"")</f>
        <v/>
      </c>
      <c r="C190" s="21">
        <f>IF($A190="","",INDEX('부의금 입력'!$C$2:$C$1001,MATCH($A190,'부의금 입력'!$H$2:$H$1001,0)))</f>
        <v/>
      </c>
      <c r="D190" s="19">
        <f>IF($A190="","",INDEX('부의금 입력'!$D$2:$D$1001,MATCH($A190,'부의금 입력'!$H$2:$H$1001,0))&amp;"")</f>
        <v/>
      </c>
      <c r="E190" s="19">
        <f>IF($A190="","",INDEX('부의금 입력'!$E$2:$E$1001,MATCH($A190,'부의금 입력'!$H$2:$H$1001,0))&amp;"")</f>
        <v/>
      </c>
      <c r="H190" s="19">
        <f>IF(187&gt;$I$1,"",INDEX('근조 화환'!$B$2:$B$501,MATCH(187,'근조 화환'!$G$2:$G$501,0))&amp;"")</f>
        <v/>
      </c>
      <c r="I190" s="19">
        <f>IF(187&gt;$I$1,"",INDEX('근조 화환'!$C$2:$C$501,MATCH(187,'근조 화환'!$G$2:$G$501,0))&amp;"")</f>
        <v/>
      </c>
      <c r="J190" s="19">
        <f>IF(187&gt;$I$1,"",INDEX('근조 화환'!$D$2:$D$501,MATCH(187,'근조 화환'!$G$2:$G$501,0))&amp;"")</f>
        <v/>
      </c>
      <c r="K190" s="19">
        <f>IF(187&gt;$I$1,"",INDEX('근조 화환'!$E$2:$E$501,MATCH(187,'근조 화환'!$G$2:$G$501,0))&amp;"")</f>
        <v/>
      </c>
    </row>
    <row r="191">
      <c r="A191" s="19">
        <f>IF(188&lt;=$F$1,188,"")</f>
        <v/>
      </c>
      <c r="B191" s="19">
        <f>IF($A191="","",INDEX('부의금 입력'!$B$2:$B$1001,MATCH($A191,'부의금 입력'!$H$2:$H$1001,0))&amp;"")</f>
        <v/>
      </c>
      <c r="C191" s="21">
        <f>IF($A191="","",INDEX('부의금 입력'!$C$2:$C$1001,MATCH($A191,'부의금 입력'!$H$2:$H$1001,0)))</f>
        <v/>
      </c>
      <c r="D191" s="19">
        <f>IF($A191="","",INDEX('부의금 입력'!$D$2:$D$1001,MATCH($A191,'부의금 입력'!$H$2:$H$1001,0))&amp;"")</f>
        <v/>
      </c>
      <c r="E191" s="19">
        <f>IF($A191="","",INDEX('부의금 입력'!$E$2:$E$1001,MATCH($A191,'부의금 입력'!$H$2:$H$1001,0))&amp;"")</f>
        <v/>
      </c>
      <c r="H191" s="19">
        <f>IF(188&gt;$I$1,"",INDEX('근조 화환'!$B$2:$B$501,MATCH(188,'근조 화환'!$G$2:$G$501,0))&amp;"")</f>
        <v/>
      </c>
      <c r="I191" s="19">
        <f>IF(188&gt;$I$1,"",INDEX('근조 화환'!$C$2:$C$501,MATCH(188,'근조 화환'!$G$2:$G$501,0))&amp;"")</f>
        <v/>
      </c>
      <c r="J191" s="19">
        <f>IF(188&gt;$I$1,"",INDEX('근조 화환'!$D$2:$D$501,MATCH(188,'근조 화환'!$G$2:$G$501,0))&amp;"")</f>
        <v/>
      </c>
      <c r="K191" s="19">
        <f>IF(188&gt;$I$1,"",INDEX('근조 화환'!$E$2:$E$501,MATCH(188,'근조 화환'!$G$2:$G$501,0))&amp;"")</f>
        <v/>
      </c>
    </row>
    <row r="192">
      <c r="A192" s="19">
        <f>IF(189&lt;=$F$1,189,"")</f>
        <v/>
      </c>
      <c r="B192" s="19">
        <f>IF($A192="","",INDEX('부의금 입력'!$B$2:$B$1001,MATCH($A192,'부의금 입력'!$H$2:$H$1001,0))&amp;"")</f>
        <v/>
      </c>
      <c r="C192" s="21">
        <f>IF($A192="","",INDEX('부의금 입력'!$C$2:$C$1001,MATCH($A192,'부의금 입력'!$H$2:$H$1001,0)))</f>
        <v/>
      </c>
      <c r="D192" s="19">
        <f>IF($A192="","",INDEX('부의금 입력'!$D$2:$D$1001,MATCH($A192,'부의금 입력'!$H$2:$H$1001,0))&amp;"")</f>
        <v/>
      </c>
      <c r="E192" s="19">
        <f>IF($A192="","",INDEX('부의금 입력'!$E$2:$E$1001,MATCH($A192,'부의금 입력'!$H$2:$H$1001,0))&amp;"")</f>
        <v/>
      </c>
      <c r="H192" s="19">
        <f>IF(189&gt;$I$1,"",INDEX('근조 화환'!$B$2:$B$501,MATCH(189,'근조 화환'!$G$2:$G$501,0))&amp;"")</f>
        <v/>
      </c>
      <c r="I192" s="19">
        <f>IF(189&gt;$I$1,"",INDEX('근조 화환'!$C$2:$C$501,MATCH(189,'근조 화환'!$G$2:$G$501,0))&amp;"")</f>
        <v/>
      </c>
      <c r="J192" s="19">
        <f>IF(189&gt;$I$1,"",INDEX('근조 화환'!$D$2:$D$501,MATCH(189,'근조 화환'!$G$2:$G$501,0))&amp;"")</f>
        <v/>
      </c>
      <c r="K192" s="19">
        <f>IF(189&gt;$I$1,"",INDEX('근조 화환'!$E$2:$E$501,MATCH(189,'근조 화환'!$G$2:$G$501,0))&amp;"")</f>
        <v/>
      </c>
    </row>
    <row r="193">
      <c r="A193" s="19">
        <f>IF(190&lt;=$F$1,190,"")</f>
        <v/>
      </c>
      <c r="B193" s="19">
        <f>IF($A193="","",INDEX('부의금 입력'!$B$2:$B$1001,MATCH($A193,'부의금 입력'!$H$2:$H$1001,0))&amp;"")</f>
        <v/>
      </c>
      <c r="C193" s="21">
        <f>IF($A193="","",INDEX('부의금 입력'!$C$2:$C$1001,MATCH($A193,'부의금 입력'!$H$2:$H$1001,0)))</f>
        <v/>
      </c>
      <c r="D193" s="19">
        <f>IF($A193="","",INDEX('부의금 입력'!$D$2:$D$1001,MATCH($A193,'부의금 입력'!$H$2:$H$1001,0))&amp;"")</f>
        <v/>
      </c>
      <c r="E193" s="19">
        <f>IF($A193="","",INDEX('부의금 입력'!$E$2:$E$1001,MATCH($A193,'부의금 입력'!$H$2:$H$1001,0))&amp;"")</f>
        <v/>
      </c>
      <c r="H193" s="19">
        <f>IF(190&gt;$I$1,"",INDEX('근조 화환'!$B$2:$B$501,MATCH(190,'근조 화환'!$G$2:$G$501,0))&amp;"")</f>
        <v/>
      </c>
      <c r="I193" s="19">
        <f>IF(190&gt;$I$1,"",INDEX('근조 화환'!$C$2:$C$501,MATCH(190,'근조 화환'!$G$2:$G$501,0))&amp;"")</f>
        <v/>
      </c>
      <c r="J193" s="19">
        <f>IF(190&gt;$I$1,"",INDEX('근조 화환'!$D$2:$D$501,MATCH(190,'근조 화환'!$G$2:$G$501,0))&amp;"")</f>
        <v/>
      </c>
      <c r="K193" s="19">
        <f>IF(190&gt;$I$1,"",INDEX('근조 화환'!$E$2:$E$501,MATCH(190,'근조 화환'!$G$2:$G$501,0))&amp;"")</f>
        <v/>
      </c>
    </row>
    <row r="194">
      <c r="A194" s="19">
        <f>IF(191&lt;=$F$1,191,"")</f>
        <v/>
      </c>
      <c r="B194" s="19">
        <f>IF($A194="","",INDEX('부의금 입력'!$B$2:$B$1001,MATCH($A194,'부의금 입력'!$H$2:$H$1001,0))&amp;"")</f>
        <v/>
      </c>
      <c r="C194" s="21">
        <f>IF($A194="","",INDEX('부의금 입력'!$C$2:$C$1001,MATCH($A194,'부의금 입력'!$H$2:$H$1001,0)))</f>
        <v/>
      </c>
      <c r="D194" s="19">
        <f>IF($A194="","",INDEX('부의금 입력'!$D$2:$D$1001,MATCH($A194,'부의금 입력'!$H$2:$H$1001,0))&amp;"")</f>
        <v/>
      </c>
      <c r="E194" s="19">
        <f>IF($A194="","",INDEX('부의금 입력'!$E$2:$E$1001,MATCH($A194,'부의금 입력'!$H$2:$H$1001,0))&amp;"")</f>
        <v/>
      </c>
      <c r="H194" s="19">
        <f>IF(191&gt;$I$1,"",INDEX('근조 화환'!$B$2:$B$501,MATCH(191,'근조 화환'!$G$2:$G$501,0))&amp;"")</f>
        <v/>
      </c>
      <c r="I194" s="19">
        <f>IF(191&gt;$I$1,"",INDEX('근조 화환'!$C$2:$C$501,MATCH(191,'근조 화환'!$G$2:$G$501,0))&amp;"")</f>
        <v/>
      </c>
      <c r="J194" s="19">
        <f>IF(191&gt;$I$1,"",INDEX('근조 화환'!$D$2:$D$501,MATCH(191,'근조 화환'!$G$2:$G$501,0))&amp;"")</f>
        <v/>
      </c>
      <c r="K194" s="19">
        <f>IF(191&gt;$I$1,"",INDEX('근조 화환'!$E$2:$E$501,MATCH(191,'근조 화환'!$G$2:$G$501,0))&amp;"")</f>
        <v/>
      </c>
    </row>
    <row r="195">
      <c r="A195" s="19">
        <f>IF(192&lt;=$F$1,192,"")</f>
        <v/>
      </c>
      <c r="B195" s="19">
        <f>IF($A195="","",INDEX('부의금 입력'!$B$2:$B$1001,MATCH($A195,'부의금 입력'!$H$2:$H$1001,0))&amp;"")</f>
        <v/>
      </c>
      <c r="C195" s="21">
        <f>IF($A195="","",INDEX('부의금 입력'!$C$2:$C$1001,MATCH($A195,'부의금 입력'!$H$2:$H$1001,0)))</f>
        <v/>
      </c>
      <c r="D195" s="19">
        <f>IF($A195="","",INDEX('부의금 입력'!$D$2:$D$1001,MATCH($A195,'부의금 입력'!$H$2:$H$1001,0))&amp;"")</f>
        <v/>
      </c>
      <c r="E195" s="19">
        <f>IF($A195="","",INDEX('부의금 입력'!$E$2:$E$1001,MATCH($A195,'부의금 입력'!$H$2:$H$1001,0))&amp;"")</f>
        <v/>
      </c>
      <c r="H195" s="19">
        <f>IF(192&gt;$I$1,"",INDEX('근조 화환'!$B$2:$B$501,MATCH(192,'근조 화환'!$G$2:$G$501,0))&amp;"")</f>
        <v/>
      </c>
      <c r="I195" s="19">
        <f>IF(192&gt;$I$1,"",INDEX('근조 화환'!$C$2:$C$501,MATCH(192,'근조 화환'!$G$2:$G$501,0))&amp;"")</f>
        <v/>
      </c>
      <c r="J195" s="19">
        <f>IF(192&gt;$I$1,"",INDEX('근조 화환'!$D$2:$D$501,MATCH(192,'근조 화환'!$G$2:$G$501,0))&amp;"")</f>
        <v/>
      </c>
      <c r="K195" s="19">
        <f>IF(192&gt;$I$1,"",INDEX('근조 화환'!$E$2:$E$501,MATCH(192,'근조 화환'!$G$2:$G$501,0))&amp;"")</f>
        <v/>
      </c>
    </row>
    <row r="196">
      <c r="A196" s="19">
        <f>IF(193&lt;=$F$1,193,"")</f>
        <v/>
      </c>
      <c r="B196" s="19">
        <f>IF($A196="","",INDEX('부의금 입력'!$B$2:$B$1001,MATCH($A196,'부의금 입력'!$H$2:$H$1001,0))&amp;"")</f>
        <v/>
      </c>
      <c r="C196" s="21">
        <f>IF($A196="","",INDEX('부의금 입력'!$C$2:$C$1001,MATCH($A196,'부의금 입력'!$H$2:$H$1001,0)))</f>
        <v/>
      </c>
      <c r="D196" s="19">
        <f>IF($A196="","",INDEX('부의금 입력'!$D$2:$D$1001,MATCH($A196,'부의금 입력'!$H$2:$H$1001,0))&amp;"")</f>
        <v/>
      </c>
      <c r="E196" s="19">
        <f>IF($A196="","",INDEX('부의금 입력'!$E$2:$E$1001,MATCH($A196,'부의금 입력'!$H$2:$H$1001,0))&amp;"")</f>
        <v/>
      </c>
      <c r="H196" s="19">
        <f>IF(193&gt;$I$1,"",INDEX('근조 화환'!$B$2:$B$501,MATCH(193,'근조 화환'!$G$2:$G$501,0))&amp;"")</f>
        <v/>
      </c>
      <c r="I196" s="19">
        <f>IF(193&gt;$I$1,"",INDEX('근조 화환'!$C$2:$C$501,MATCH(193,'근조 화환'!$G$2:$G$501,0))&amp;"")</f>
        <v/>
      </c>
      <c r="J196" s="19">
        <f>IF(193&gt;$I$1,"",INDEX('근조 화환'!$D$2:$D$501,MATCH(193,'근조 화환'!$G$2:$G$501,0))&amp;"")</f>
        <v/>
      </c>
      <c r="K196" s="19">
        <f>IF(193&gt;$I$1,"",INDEX('근조 화환'!$E$2:$E$501,MATCH(193,'근조 화환'!$G$2:$G$501,0))&amp;"")</f>
        <v/>
      </c>
    </row>
    <row r="197">
      <c r="A197" s="19">
        <f>IF(194&lt;=$F$1,194,"")</f>
        <v/>
      </c>
      <c r="B197" s="19">
        <f>IF($A197="","",INDEX('부의금 입력'!$B$2:$B$1001,MATCH($A197,'부의금 입력'!$H$2:$H$1001,0))&amp;"")</f>
        <v/>
      </c>
      <c r="C197" s="21">
        <f>IF($A197="","",INDEX('부의금 입력'!$C$2:$C$1001,MATCH($A197,'부의금 입력'!$H$2:$H$1001,0)))</f>
        <v/>
      </c>
      <c r="D197" s="19">
        <f>IF($A197="","",INDEX('부의금 입력'!$D$2:$D$1001,MATCH($A197,'부의금 입력'!$H$2:$H$1001,0))&amp;"")</f>
        <v/>
      </c>
      <c r="E197" s="19">
        <f>IF($A197="","",INDEX('부의금 입력'!$E$2:$E$1001,MATCH($A197,'부의금 입력'!$H$2:$H$1001,0))&amp;"")</f>
        <v/>
      </c>
      <c r="H197" s="19">
        <f>IF(194&gt;$I$1,"",INDEX('근조 화환'!$B$2:$B$501,MATCH(194,'근조 화환'!$G$2:$G$501,0))&amp;"")</f>
        <v/>
      </c>
      <c r="I197" s="19">
        <f>IF(194&gt;$I$1,"",INDEX('근조 화환'!$C$2:$C$501,MATCH(194,'근조 화환'!$G$2:$G$501,0))&amp;"")</f>
        <v/>
      </c>
      <c r="J197" s="19">
        <f>IF(194&gt;$I$1,"",INDEX('근조 화환'!$D$2:$D$501,MATCH(194,'근조 화환'!$G$2:$G$501,0))&amp;"")</f>
        <v/>
      </c>
      <c r="K197" s="19">
        <f>IF(194&gt;$I$1,"",INDEX('근조 화환'!$E$2:$E$501,MATCH(194,'근조 화환'!$G$2:$G$501,0))&amp;"")</f>
        <v/>
      </c>
    </row>
    <row r="198">
      <c r="A198" s="19">
        <f>IF(195&lt;=$F$1,195,"")</f>
        <v/>
      </c>
      <c r="B198" s="19">
        <f>IF($A198="","",INDEX('부의금 입력'!$B$2:$B$1001,MATCH($A198,'부의금 입력'!$H$2:$H$1001,0))&amp;"")</f>
        <v/>
      </c>
      <c r="C198" s="21">
        <f>IF($A198="","",INDEX('부의금 입력'!$C$2:$C$1001,MATCH($A198,'부의금 입력'!$H$2:$H$1001,0)))</f>
        <v/>
      </c>
      <c r="D198" s="19">
        <f>IF($A198="","",INDEX('부의금 입력'!$D$2:$D$1001,MATCH($A198,'부의금 입력'!$H$2:$H$1001,0))&amp;"")</f>
        <v/>
      </c>
      <c r="E198" s="19">
        <f>IF($A198="","",INDEX('부의금 입력'!$E$2:$E$1001,MATCH($A198,'부의금 입력'!$H$2:$H$1001,0))&amp;"")</f>
        <v/>
      </c>
      <c r="H198" s="19">
        <f>IF(195&gt;$I$1,"",INDEX('근조 화환'!$B$2:$B$501,MATCH(195,'근조 화환'!$G$2:$G$501,0))&amp;"")</f>
        <v/>
      </c>
      <c r="I198" s="19">
        <f>IF(195&gt;$I$1,"",INDEX('근조 화환'!$C$2:$C$501,MATCH(195,'근조 화환'!$G$2:$G$501,0))&amp;"")</f>
        <v/>
      </c>
      <c r="J198" s="19">
        <f>IF(195&gt;$I$1,"",INDEX('근조 화환'!$D$2:$D$501,MATCH(195,'근조 화환'!$G$2:$G$501,0))&amp;"")</f>
        <v/>
      </c>
      <c r="K198" s="19">
        <f>IF(195&gt;$I$1,"",INDEX('근조 화환'!$E$2:$E$501,MATCH(195,'근조 화환'!$G$2:$G$501,0))&amp;"")</f>
        <v/>
      </c>
    </row>
    <row r="199">
      <c r="A199" s="19">
        <f>IF(196&lt;=$F$1,196,"")</f>
        <v/>
      </c>
      <c r="B199" s="19">
        <f>IF($A199="","",INDEX('부의금 입력'!$B$2:$B$1001,MATCH($A199,'부의금 입력'!$H$2:$H$1001,0))&amp;"")</f>
        <v/>
      </c>
      <c r="C199" s="21">
        <f>IF($A199="","",INDEX('부의금 입력'!$C$2:$C$1001,MATCH($A199,'부의금 입력'!$H$2:$H$1001,0)))</f>
        <v/>
      </c>
      <c r="D199" s="19">
        <f>IF($A199="","",INDEX('부의금 입력'!$D$2:$D$1001,MATCH($A199,'부의금 입력'!$H$2:$H$1001,0))&amp;"")</f>
        <v/>
      </c>
      <c r="E199" s="19">
        <f>IF($A199="","",INDEX('부의금 입력'!$E$2:$E$1001,MATCH($A199,'부의금 입력'!$H$2:$H$1001,0))&amp;"")</f>
        <v/>
      </c>
      <c r="H199" s="19">
        <f>IF(196&gt;$I$1,"",INDEX('근조 화환'!$B$2:$B$501,MATCH(196,'근조 화환'!$G$2:$G$501,0))&amp;"")</f>
        <v/>
      </c>
      <c r="I199" s="19">
        <f>IF(196&gt;$I$1,"",INDEX('근조 화환'!$C$2:$C$501,MATCH(196,'근조 화환'!$G$2:$G$501,0))&amp;"")</f>
        <v/>
      </c>
      <c r="J199" s="19">
        <f>IF(196&gt;$I$1,"",INDEX('근조 화환'!$D$2:$D$501,MATCH(196,'근조 화환'!$G$2:$G$501,0))&amp;"")</f>
        <v/>
      </c>
      <c r="K199" s="19">
        <f>IF(196&gt;$I$1,"",INDEX('근조 화환'!$E$2:$E$501,MATCH(196,'근조 화환'!$G$2:$G$501,0))&amp;"")</f>
        <v/>
      </c>
    </row>
    <row r="200">
      <c r="A200" s="19">
        <f>IF(197&lt;=$F$1,197,"")</f>
        <v/>
      </c>
      <c r="B200" s="19">
        <f>IF($A200="","",INDEX('부의금 입력'!$B$2:$B$1001,MATCH($A200,'부의금 입력'!$H$2:$H$1001,0))&amp;"")</f>
        <v/>
      </c>
      <c r="C200" s="21">
        <f>IF($A200="","",INDEX('부의금 입력'!$C$2:$C$1001,MATCH($A200,'부의금 입력'!$H$2:$H$1001,0)))</f>
        <v/>
      </c>
      <c r="D200" s="19">
        <f>IF($A200="","",INDEX('부의금 입력'!$D$2:$D$1001,MATCH($A200,'부의금 입력'!$H$2:$H$1001,0))&amp;"")</f>
        <v/>
      </c>
      <c r="E200" s="19">
        <f>IF($A200="","",INDEX('부의금 입력'!$E$2:$E$1001,MATCH($A200,'부의금 입력'!$H$2:$H$1001,0))&amp;"")</f>
        <v/>
      </c>
      <c r="H200" s="19">
        <f>IF(197&gt;$I$1,"",INDEX('근조 화환'!$B$2:$B$501,MATCH(197,'근조 화환'!$G$2:$G$501,0))&amp;"")</f>
        <v/>
      </c>
      <c r="I200" s="19">
        <f>IF(197&gt;$I$1,"",INDEX('근조 화환'!$C$2:$C$501,MATCH(197,'근조 화환'!$G$2:$G$501,0))&amp;"")</f>
        <v/>
      </c>
      <c r="J200" s="19">
        <f>IF(197&gt;$I$1,"",INDEX('근조 화환'!$D$2:$D$501,MATCH(197,'근조 화환'!$G$2:$G$501,0))&amp;"")</f>
        <v/>
      </c>
      <c r="K200" s="19">
        <f>IF(197&gt;$I$1,"",INDEX('근조 화환'!$E$2:$E$501,MATCH(197,'근조 화환'!$G$2:$G$501,0))&amp;"")</f>
        <v/>
      </c>
    </row>
    <row r="201">
      <c r="A201" s="19">
        <f>IF(198&lt;=$F$1,198,"")</f>
        <v/>
      </c>
      <c r="B201" s="19">
        <f>IF($A201="","",INDEX('부의금 입력'!$B$2:$B$1001,MATCH($A201,'부의금 입력'!$H$2:$H$1001,0))&amp;"")</f>
        <v/>
      </c>
      <c r="C201" s="21">
        <f>IF($A201="","",INDEX('부의금 입력'!$C$2:$C$1001,MATCH($A201,'부의금 입력'!$H$2:$H$1001,0)))</f>
        <v/>
      </c>
      <c r="D201" s="19">
        <f>IF($A201="","",INDEX('부의금 입력'!$D$2:$D$1001,MATCH($A201,'부의금 입력'!$H$2:$H$1001,0))&amp;"")</f>
        <v/>
      </c>
      <c r="E201" s="19">
        <f>IF($A201="","",INDEX('부의금 입력'!$E$2:$E$1001,MATCH($A201,'부의금 입력'!$H$2:$H$1001,0))&amp;"")</f>
        <v/>
      </c>
      <c r="H201" s="19">
        <f>IF(198&gt;$I$1,"",INDEX('근조 화환'!$B$2:$B$501,MATCH(198,'근조 화환'!$G$2:$G$501,0))&amp;"")</f>
        <v/>
      </c>
      <c r="I201" s="19">
        <f>IF(198&gt;$I$1,"",INDEX('근조 화환'!$C$2:$C$501,MATCH(198,'근조 화환'!$G$2:$G$501,0))&amp;"")</f>
        <v/>
      </c>
      <c r="J201" s="19">
        <f>IF(198&gt;$I$1,"",INDEX('근조 화환'!$D$2:$D$501,MATCH(198,'근조 화환'!$G$2:$G$501,0))&amp;"")</f>
        <v/>
      </c>
      <c r="K201" s="19">
        <f>IF(198&gt;$I$1,"",INDEX('근조 화환'!$E$2:$E$501,MATCH(198,'근조 화환'!$G$2:$G$501,0))&amp;"")</f>
        <v/>
      </c>
    </row>
    <row r="202">
      <c r="A202" s="19">
        <f>IF(199&lt;=$F$1,199,"")</f>
        <v/>
      </c>
      <c r="B202" s="19">
        <f>IF($A202="","",INDEX('부의금 입력'!$B$2:$B$1001,MATCH($A202,'부의금 입력'!$H$2:$H$1001,0))&amp;"")</f>
        <v/>
      </c>
      <c r="C202" s="21">
        <f>IF($A202="","",INDEX('부의금 입력'!$C$2:$C$1001,MATCH($A202,'부의금 입력'!$H$2:$H$1001,0)))</f>
        <v/>
      </c>
      <c r="D202" s="19">
        <f>IF($A202="","",INDEX('부의금 입력'!$D$2:$D$1001,MATCH($A202,'부의금 입력'!$H$2:$H$1001,0))&amp;"")</f>
        <v/>
      </c>
      <c r="E202" s="19">
        <f>IF($A202="","",INDEX('부의금 입력'!$E$2:$E$1001,MATCH($A202,'부의금 입력'!$H$2:$H$1001,0))&amp;"")</f>
        <v/>
      </c>
      <c r="H202" s="19">
        <f>IF(199&gt;$I$1,"",INDEX('근조 화환'!$B$2:$B$501,MATCH(199,'근조 화환'!$G$2:$G$501,0))&amp;"")</f>
        <v/>
      </c>
      <c r="I202" s="19">
        <f>IF(199&gt;$I$1,"",INDEX('근조 화환'!$C$2:$C$501,MATCH(199,'근조 화환'!$G$2:$G$501,0))&amp;"")</f>
        <v/>
      </c>
      <c r="J202" s="19">
        <f>IF(199&gt;$I$1,"",INDEX('근조 화환'!$D$2:$D$501,MATCH(199,'근조 화환'!$G$2:$G$501,0))&amp;"")</f>
        <v/>
      </c>
      <c r="K202" s="19">
        <f>IF(199&gt;$I$1,"",INDEX('근조 화환'!$E$2:$E$501,MATCH(199,'근조 화환'!$G$2:$G$501,0))&amp;"")</f>
        <v/>
      </c>
    </row>
    <row r="203">
      <c r="A203" s="19">
        <f>IF(200&lt;=$F$1,200,"")</f>
        <v/>
      </c>
      <c r="B203" s="19">
        <f>IF($A203="","",INDEX('부의금 입력'!$B$2:$B$1001,MATCH($A203,'부의금 입력'!$H$2:$H$1001,0))&amp;"")</f>
        <v/>
      </c>
      <c r="C203" s="21">
        <f>IF($A203="","",INDEX('부의금 입력'!$C$2:$C$1001,MATCH($A203,'부의금 입력'!$H$2:$H$1001,0)))</f>
        <v/>
      </c>
      <c r="D203" s="19">
        <f>IF($A203="","",INDEX('부의금 입력'!$D$2:$D$1001,MATCH($A203,'부의금 입력'!$H$2:$H$1001,0))&amp;"")</f>
        <v/>
      </c>
      <c r="E203" s="19">
        <f>IF($A203="","",INDEX('부의금 입력'!$E$2:$E$1001,MATCH($A203,'부의금 입력'!$H$2:$H$1001,0))&amp;"")</f>
        <v/>
      </c>
      <c r="H203" s="19">
        <f>IF(200&gt;$I$1,"",INDEX('근조 화환'!$B$2:$B$501,MATCH(200,'근조 화환'!$G$2:$G$501,0))&amp;"")</f>
        <v/>
      </c>
      <c r="I203" s="19">
        <f>IF(200&gt;$I$1,"",INDEX('근조 화환'!$C$2:$C$501,MATCH(200,'근조 화환'!$G$2:$G$501,0))&amp;"")</f>
        <v/>
      </c>
      <c r="J203" s="19">
        <f>IF(200&gt;$I$1,"",INDEX('근조 화환'!$D$2:$D$501,MATCH(200,'근조 화환'!$G$2:$G$501,0))&amp;"")</f>
        <v/>
      </c>
      <c r="K203" s="19">
        <f>IF(200&gt;$I$1,"",INDEX('근조 화환'!$E$2:$E$501,MATCH(200,'근조 화환'!$G$2:$G$501,0))&amp;"")</f>
        <v/>
      </c>
    </row>
    <row r="204">
      <c r="A204" s="19">
        <f>IF(201&lt;=$F$1,201,"")</f>
        <v/>
      </c>
      <c r="B204" s="19">
        <f>IF($A204="","",INDEX('부의금 입력'!$B$2:$B$1001,MATCH($A204,'부의금 입력'!$H$2:$H$1001,0))&amp;"")</f>
        <v/>
      </c>
      <c r="C204" s="21">
        <f>IF($A204="","",INDEX('부의금 입력'!$C$2:$C$1001,MATCH($A204,'부의금 입력'!$H$2:$H$1001,0)))</f>
        <v/>
      </c>
      <c r="D204" s="19">
        <f>IF($A204="","",INDEX('부의금 입력'!$D$2:$D$1001,MATCH($A204,'부의금 입력'!$H$2:$H$1001,0))&amp;"")</f>
        <v/>
      </c>
      <c r="E204" s="19">
        <f>IF($A204="","",INDEX('부의금 입력'!$E$2:$E$1001,MATCH($A204,'부의금 입력'!$H$2:$H$1001,0))&amp;"")</f>
        <v/>
      </c>
      <c r="H204" s="19">
        <f>IF(201&gt;$I$1,"",INDEX('근조 화환'!$B$2:$B$501,MATCH(201,'근조 화환'!$G$2:$G$501,0))&amp;"")</f>
        <v/>
      </c>
      <c r="I204" s="19">
        <f>IF(201&gt;$I$1,"",INDEX('근조 화환'!$C$2:$C$501,MATCH(201,'근조 화환'!$G$2:$G$501,0))&amp;"")</f>
        <v/>
      </c>
      <c r="J204" s="19">
        <f>IF(201&gt;$I$1,"",INDEX('근조 화환'!$D$2:$D$501,MATCH(201,'근조 화환'!$G$2:$G$501,0))&amp;"")</f>
        <v/>
      </c>
      <c r="K204" s="19">
        <f>IF(201&gt;$I$1,"",INDEX('근조 화환'!$E$2:$E$501,MATCH(201,'근조 화환'!$G$2:$G$501,0))&amp;"")</f>
        <v/>
      </c>
    </row>
    <row r="205">
      <c r="A205" s="19">
        <f>IF(202&lt;=$F$1,202,"")</f>
        <v/>
      </c>
      <c r="B205" s="19">
        <f>IF($A205="","",INDEX('부의금 입력'!$B$2:$B$1001,MATCH($A205,'부의금 입력'!$H$2:$H$1001,0))&amp;"")</f>
        <v/>
      </c>
      <c r="C205" s="21">
        <f>IF($A205="","",INDEX('부의금 입력'!$C$2:$C$1001,MATCH($A205,'부의금 입력'!$H$2:$H$1001,0)))</f>
        <v/>
      </c>
      <c r="D205" s="19">
        <f>IF($A205="","",INDEX('부의금 입력'!$D$2:$D$1001,MATCH($A205,'부의금 입력'!$H$2:$H$1001,0))&amp;"")</f>
        <v/>
      </c>
      <c r="E205" s="19">
        <f>IF($A205="","",INDEX('부의금 입력'!$E$2:$E$1001,MATCH($A205,'부의금 입력'!$H$2:$H$1001,0))&amp;"")</f>
        <v/>
      </c>
      <c r="H205" s="19">
        <f>IF(202&gt;$I$1,"",INDEX('근조 화환'!$B$2:$B$501,MATCH(202,'근조 화환'!$G$2:$G$501,0))&amp;"")</f>
        <v/>
      </c>
      <c r="I205" s="19">
        <f>IF(202&gt;$I$1,"",INDEX('근조 화환'!$C$2:$C$501,MATCH(202,'근조 화환'!$G$2:$G$501,0))&amp;"")</f>
        <v/>
      </c>
      <c r="J205" s="19">
        <f>IF(202&gt;$I$1,"",INDEX('근조 화환'!$D$2:$D$501,MATCH(202,'근조 화환'!$G$2:$G$501,0))&amp;"")</f>
        <v/>
      </c>
      <c r="K205" s="19">
        <f>IF(202&gt;$I$1,"",INDEX('근조 화환'!$E$2:$E$501,MATCH(202,'근조 화환'!$G$2:$G$501,0))&amp;"")</f>
        <v/>
      </c>
    </row>
    <row r="206">
      <c r="A206" s="19">
        <f>IF(203&lt;=$F$1,203,"")</f>
        <v/>
      </c>
      <c r="B206" s="19">
        <f>IF($A206="","",INDEX('부의금 입력'!$B$2:$B$1001,MATCH($A206,'부의금 입력'!$H$2:$H$1001,0))&amp;"")</f>
        <v/>
      </c>
      <c r="C206" s="21">
        <f>IF($A206="","",INDEX('부의금 입력'!$C$2:$C$1001,MATCH($A206,'부의금 입력'!$H$2:$H$1001,0)))</f>
        <v/>
      </c>
      <c r="D206" s="19">
        <f>IF($A206="","",INDEX('부의금 입력'!$D$2:$D$1001,MATCH($A206,'부의금 입력'!$H$2:$H$1001,0))&amp;"")</f>
        <v/>
      </c>
      <c r="E206" s="19">
        <f>IF($A206="","",INDEX('부의금 입력'!$E$2:$E$1001,MATCH($A206,'부의금 입력'!$H$2:$H$1001,0))&amp;"")</f>
        <v/>
      </c>
      <c r="H206" s="19">
        <f>IF(203&gt;$I$1,"",INDEX('근조 화환'!$B$2:$B$501,MATCH(203,'근조 화환'!$G$2:$G$501,0))&amp;"")</f>
        <v/>
      </c>
      <c r="I206" s="19">
        <f>IF(203&gt;$I$1,"",INDEX('근조 화환'!$C$2:$C$501,MATCH(203,'근조 화환'!$G$2:$G$501,0))&amp;"")</f>
        <v/>
      </c>
      <c r="J206" s="19">
        <f>IF(203&gt;$I$1,"",INDEX('근조 화환'!$D$2:$D$501,MATCH(203,'근조 화환'!$G$2:$G$501,0))&amp;"")</f>
        <v/>
      </c>
      <c r="K206" s="19">
        <f>IF(203&gt;$I$1,"",INDEX('근조 화환'!$E$2:$E$501,MATCH(203,'근조 화환'!$G$2:$G$501,0))&amp;"")</f>
        <v/>
      </c>
    </row>
    <row r="207">
      <c r="A207" s="19">
        <f>IF(204&lt;=$F$1,204,"")</f>
        <v/>
      </c>
      <c r="B207" s="19">
        <f>IF($A207="","",INDEX('부의금 입력'!$B$2:$B$1001,MATCH($A207,'부의금 입력'!$H$2:$H$1001,0))&amp;"")</f>
        <v/>
      </c>
      <c r="C207" s="21">
        <f>IF($A207="","",INDEX('부의금 입력'!$C$2:$C$1001,MATCH($A207,'부의금 입력'!$H$2:$H$1001,0)))</f>
        <v/>
      </c>
      <c r="D207" s="19">
        <f>IF($A207="","",INDEX('부의금 입력'!$D$2:$D$1001,MATCH($A207,'부의금 입력'!$H$2:$H$1001,0))&amp;"")</f>
        <v/>
      </c>
      <c r="E207" s="19">
        <f>IF($A207="","",INDEX('부의금 입력'!$E$2:$E$1001,MATCH($A207,'부의금 입력'!$H$2:$H$1001,0))&amp;"")</f>
        <v/>
      </c>
      <c r="H207" s="19">
        <f>IF(204&gt;$I$1,"",INDEX('근조 화환'!$B$2:$B$501,MATCH(204,'근조 화환'!$G$2:$G$501,0))&amp;"")</f>
        <v/>
      </c>
      <c r="I207" s="19">
        <f>IF(204&gt;$I$1,"",INDEX('근조 화환'!$C$2:$C$501,MATCH(204,'근조 화환'!$G$2:$G$501,0))&amp;"")</f>
        <v/>
      </c>
      <c r="J207" s="19">
        <f>IF(204&gt;$I$1,"",INDEX('근조 화환'!$D$2:$D$501,MATCH(204,'근조 화환'!$G$2:$G$501,0))&amp;"")</f>
        <v/>
      </c>
      <c r="K207" s="19">
        <f>IF(204&gt;$I$1,"",INDEX('근조 화환'!$E$2:$E$501,MATCH(204,'근조 화환'!$G$2:$G$501,0))&amp;"")</f>
        <v/>
      </c>
    </row>
    <row r="208">
      <c r="A208" s="19">
        <f>IF(205&lt;=$F$1,205,"")</f>
        <v/>
      </c>
      <c r="B208" s="19">
        <f>IF($A208="","",INDEX('부의금 입력'!$B$2:$B$1001,MATCH($A208,'부의금 입력'!$H$2:$H$1001,0))&amp;"")</f>
        <v/>
      </c>
      <c r="C208" s="21">
        <f>IF($A208="","",INDEX('부의금 입력'!$C$2:$C$1001,MATCH($A208,'부의금 입력'!$H$2:$H$1001,0)))</f>
        <v/>
      </c>
      <c r="D208" s="19">
        <f>IF($A208="","",INDEX('부의금 입력'!$D$2:$D$1001,MATCH($A208,'부의금 입력'!$H$2:$H$1001,0))&amp;"")</f>
        <v/>
      </c>
      <c r="E208" s="19">
        <f>IF($A208="","",INDEX('부의금 입력'!$E$2:$E$1001,MATCH($A208,'부의금 입력'!$H$2:$H$1001,0))&amp;"")</f>
        <v/>
      </c>
      <c r="H208" s="19">
        <f>IF(205&gt;$I$1,"",INDEX('근조 화환'!$B$2:$B$501,MATCH(205,'근조 화환'!$G$2:$G$501,0))&amp;"")</f>
        <v/>
      </c>
      <c r="I208" s="19">
        <f>IF(205&gt;$I$1,"",INDEX('근조 화환'!$C$2:$C$501,MATCH(205,'근조 화환'!$G$2:$G$501,0))&amp;"")</f>
        <v/>
      </c>
      <c r="J208" s="19">
        <f>IF(205&gt;$I$1,"",INDEX('근조 화환'!$D$2:$D$501,MATCH(205,'근조 화환'!$G$2:$G$501,0))&amp;"")</f>
        <v/>
      </c>
      <c r="K208" s="19">
        <f>IF(205&gt;$I$1,"",INDEX('근조 화환'!$E$2:$E$501,MATCH(205,'근조 화환'!$G$2:$G$501,0))&amp;"")</f>
        <v/>
      </c>
    </row>
    <row r="209">
      <c r="A209" s="19">
        <f>IF(206&lt;=$F$1,206,"")</f>
        <v/>
      </c>
      <c r="B209" s="19">
        <f>IF($A209="","",INDEX('부의금 입력'!$B$2:$B$1001,MATCH($A209,'부의금 입력'!$H$2:$H$1001,0))&amp;"")</f>
        <v/>
      </c>
      <c r="C209" s="21">
        <f>IF($A209="","",INDEX('부의금 입력'!$C$2:$C$1001,MATCH($A209,'부의금 입력'!$H$2:$H$1001,0)))</f>
        <v/>
      </c>
      <c r="D209" s="19">
        <f>IF($A209="","",INDEX('부의금 입력'!$D$2:$D$1001,MATCH($A209,'부의금 입력'!$H$2:$H$1001,0))&amp;"")</f>
        <v/>
      </c>
      <c r="E209" s="19">
        <f>IF($A209="","",INDEX('부의금 입력'!$E$2:$E$1001,MATCH($A209,'부의금 입력'!$H$2:$H$1001,0))&amp;"")</f>
        <v/>
      </c>
      <c r="H209" s="19">
        <f>IF(206&gt;$I$1,"",INDEX('근조 화환'!$B$2:$B$501,MATCH(206,'근조 화환'!$G$2:$G$501,0))&amp;"")</f>
        <v/>
      </c>
      <c r="I209" s="19">
        <f>IF(206&gt;$I$1,"",INDEX('근조 화환'!$C$2:$C$501,MATCH(206,'근조 화환'!$G$2:$G$501,0))&amp;"")</f>
        <v/>
      </c>
      <c r="J209" s="19">
        <f>IF(206&gt;$I$1,"",INDEX('근조 화환'!$D$2:$D$501,MATCH(206,'근조 화환'!$G$2:$G$501,0))&amp;"")</f>
        <v/>
      </c>
      <c r="K209" s="19">
        <f>IF(206&gt;$I$1,"",INDEX('근조 화환'!$E$2:$E$501,MATCH(206,'근조 화환'!$G$2:$G$501,0))&amp;"")</f>
        <v/>
      </c>
    </row>
    <row r="210">
      <c r="A210" s="19">
        <f>IF(207&lt;=$F$1,207,"")</f>
        <v/>
      </c>
      <c r="B210" s="19">
        <f>IF($A210="","",INDEX('부의금 입력'!$B$2:$B$1001,MATCH($A210,'부의금 입력'!$H$2:$H$1001,0))&amp;"")</f>
        <v/>
      </c>
      <c r="C210" s="21">
        <f>IF($A210="","",INDEX('부의금 입력'!$C$2:$C$1001,MATCH($A210,'부의금 입력'!$H$2:$H$1001,0)))</f>
        <v/>
      </c>
      <c r="D210" s="19">
        <f>IF($A210="","",INDEX('부의금 입력'!$D$2:$D$1001,MATCH($A210,'부의금 입력'!$H$2:$H$1001,0))&amp;"")</f>
        <v/>
      </c>
      <c r="E210" s="19">
        <f>IF($A210="","",INDEX('부의금 입력'!$E$2:$E$1001,MATCH($A210,'부의금 입력'!$H$2:$H$1001,0))&amp;"")</f>
        <v/>
      </c>
      <c r="H210" s="19">
        <f>IF(207&gt;$I$1,"",INDEX('근조 화환'!$B$2:$B$501,MATCH(207,'근조 화환'!$G$2:$G$501,0))&amp;"")</f>
        <v/>
      </c>
      <c r="I210" s="19">
        <f>IF(207&gt;$I$1,"",INDEX('근조 화환'!$C$2:$C$501,MATCH(207,'근조 화환'!$G$2:$G$501,0))&amp;"")</f>
        <v/>
      </c>
      <c r="J210" s="19">
        <f>IF(207&gt;$I$1,"",INDEX('근조 화환'!$D$2:$D$501,MATCH(207,'근조 화환'!$G$2:$G$501,0))&amp;"")</f>
        <v/>
      </c>
      <c r="K210" s="19">
        <f>IF(207&gt;$I$1,"",INDEX('근조 화환'!$E$2:$E$501,MATCH(207,'근조 화환'!$G$2:$G$501,0))&amp;"")</f>
        <v/>
      </c>
    </row>
    <row r="211">
      <c r="A211" s="19">
        <f>IF(208&lt;=$F$1,208,"")</f>
        <v/>
      </c>
      <c r="B211" s="19">
        <f>IF($A211="","",INDEX('부의금 입력'!$B$2:$B$1001,MATCH($A211,'부의금 입력'!$H$2:$H$1001,0))&amp;"")</f>
        <v/>
      </c>
      <c r="C211" s="21">
        <f>IF($A211="","",INDEX('부의금 입력'!$C$2:$C$1001,MATCH($A211,'부의금 입력'!$H$2:$H$1001,0)))</f>
        <v/>
      </c>
      <c r="D211" s="19">
        <f>IF($A211="","",INDEX('부의금 입력'!$D$2:$D$1001,MATCH($A211,'부의금 입력'!$H$2:$H$1001,0))&amp;"")</f>
        <v/>
      </c>
      <c r="E211" s="19">
        <f>IF($A211="","",INDEX('부의금 입력'!$E$2:$E$1001,MATCH($A211,'부의금 입력'!$H$2:$H$1001,0))&amp;"")</f>
        <v/>
      </c>
      <c r="H211" s="19">
        <f>IF(208&gt;$I$1,"",INDEX('근조 화환'!$B$2:$B$501,MATCH(208,'근조 화환'!$G$2:$G$501,0))&amp;"")</f>
        <v/>
      </c>
      <c r="I211" s="19">
        <f>IF(208&gt;$I$1,"",INDEX('근조 화환'!$C$2:$C$501,MATCH(208,'근조 화환'!$G$2:$G$501,0))&amp;"")</f>
        <v/>
      </c>
      <c r="J211" s="19">
        <f>IF(208&gt;$I$1,"",INDEX('근조 화환'!$D$2:$D$501,MATCH(208,'근조 화환'!$G$2:$G$501,0))&amp;"")</f>
        <v/>
      </c>
      <c r="K211" s="19">
        <f>IF(208&gt;$I$1,"",INDEX('근조 화환'!$E$2:$E$501,MATCH(208,'근조 화환'!$G$2:$G$501,0))&amp;"")</f>
        <v/>
      </c>
    </row>
    <row r="212">
      <c r="A212" s="19">
        <f>IF(209&lt;=$F$1,209,"")</f>
        <v/>
      </c>
      <c r="B212" s="19">
        <f>IF($A212="","",INDEX('부의금 입력'!$B$2:$B$1001,MATCH($A212,'부의금 입력'!$H$2:$H$1001,0))&amp;"")</f>
        <v/>
      </c>
      <c r="C212" s="21">
        <f>IF($A212="","",INDEX('부의금 입력'!$C$2:$C$1001,MATCH($A212,'부의금 입력'!$H$2:$H$1001,0)))</f>
        <v/>
      </c>
      <c r="D212" s="19">
        <f>IF($A212="","",INDEX('부의금 입력'!$D$2:$D$1001,MATCH($A212,'부의금 입력'!$H$2:$H$1001,0))&amp;"")</f>
        <v/>
      </c>
      <c r="E212" s="19">
        <f>IF($A212="","",INDEX('부의금 입력'!$E$2:$E$1001,MATCH($A212,'부의금 입력'!$H$2:$H$1001,0))&amp;"")</f>
        <v/>
      </c>
      <c r="H212" s="19">
        <f>IF(209&gt;$I$1,"",INDEX('근조 화환'!$B$2:$B$501,MATCH(209,'근조 화환'!$G$2:$G$501,0))&amp;"")</f>
        <v/>
      </c>
      <c r="I212" s="19">
        <f>IF(209&gt;$I$1,"",INDEX('근조 화환'!$C$2:$C$501,MATCH(209,'근조 화환'!$G$2:$G$501,0))&amp;"")</f>
        <v/>
      </c>
      <c r="J212" s="19">
        <f>IF(209&gt;$I$1,"",INDEX('근조 화환'!$D$2:$D$501,MATCH(209,'근조 화환'!$G$2:$G$501,0))&amp;"")</f>
        <v/>
      </c>
      <c r="K212" s="19">
        <f>IF(209&gt;$I$1,"",INDEX('근조 화환'!$E$2:$E$501,MATCH(209,'근조 화환'!$G$2:$G$501,0))&amp;"")</f>
        <v/>
      </c>
    </row>
    <row r="213">
      <c r="A213" s="19">
        <f>IF(210&lt;=$F$1,210,"")</f>
        <v/>
      </c>
      <c r="B213" s="19">
        <f>IF($A213="","",INDEX('부의금 입력'!$B$2:$B$1001,MATCH($A213,'부의금 입력'!$H$2:$H$1001,0))&amp;"")</f>
        <v/>
      </c>
      <c r="C213" s="21">
        <f>IF($A213="","",INDEX('부의금 입력'!$C$2:$C$1001,MATCH($A213,'부의금 입력'!$H$2:$H$1001,0)))</f>
        <v/>
      </c>
      <c r="D213" s="19">
        <f>IF($A213="","",INDEX('부의금 입력'!$D$2:$D$1001,MATCH($A213,'부의금 입력'!$H$2:$H$1001,0))&amp;"")</f>
        <v/>
      </c>
      <c r="E213" s="19">
        <f>IF($A213="","",INDEX('부의금 입력'!$E$2:$E$1001,MATCH($A213,'부의금 입력'!$H$2:$H$1001,0))&amp;"")</f>
        <v/>
      </c>
      <c r="H213" s="19">
        <f>IF(210&gt;$I$1,"",INDEX('근조 화환'!$B$2:$B$501,MATCH(210,'근조 화환'!$G$2:$G$501,0))&amp;"")</f>
        <v/>
      </c>
      <c r="I213" s="19">
        <f>IF(210&gt;$I$1,"",INDEX('근조 화환'!$C$2:$C$501,MATCH(210,'근조 화환'!$G$2:$G$501,0))&amp;"")</f>
        <v/>
      </c>
      <c r="J213" s="19">
        <f>IF(210&gt;$I$1,"",INDEX('근조 화환'!$D$2:$D$501,MATCH(210,'근조 화환'!$G$2:$G$501,0))&amp;"")</f>
        <v/>
      </c>
      <c r="K213" s="19">
        <f>IF(210&gt;$I$1,"",INDEX('근조 화환'!$E$2:$E$501,MATCH(210,'근조 화환'!$G$2:$G$501,0))&amp;"")</f>
        <v/>
      </c>
    </row>
    <row r="214">
      <c r="A214" s="19">
        <f>IF(211&lt;=$F$1,211,"")</f>
        <v/>
      </c>
      <c r="B214" s="19">
        <f>IF($A214="","",INDEX('부의금 입력'!$B$2:$B$1001,MATCH($A214,'부의금 입력'!$H$2:$H$1001,0))&amp;"")</f>
        <v/>
      </c>
      <c r="C214" s="21">
        <f>IF($A214="","",INDEX('부의금 입력'!$C$2:$C$1001,MATCH($A214,'부의금 입력'!$H$2:$H$1001,0)))</f>
        <v/>
      </c>
      <c r="D214" s="19">
        <f>IF($A214="","",INDEX('부의금 입력'!$D$2:$D$1001,MATCH($A214,'부의금 입력'!$H$2:$H$1001,0))&amp;"")</f>
        <v/>
      </c>
      <c r="E214" s="19">
        <f>IF($A214="","",INDEX('부의금 입력'!$E$2:$E$1001,MATCH($A214,'부의금 입력'!$H$2:$H$1001,0))&amp;"")</f>
        <v/>
      </c>
      <c r="H214" s="19">
        <f>IF(211&gt;$I$1,"",INDEX('근조 화환'!$B$2:$B$501,MATCH(211,'근조 화환'!$G$2:$G$501,0))&amp;"")</f>
        <v/>
      </c>
      <c r="I214" s="19">
        <f>IF(211&gt;$I$1,"",INDEX('근조 화환'!$C$2:$C$501,MATCH(211,'근조 화환'!$G$2:$G$501,0))&amp;"")</f>
        <v/>
      </c>
      <c r="J214" s="19">
        <f>IF(211&gt;$I$1,"",INDEX('근조 화환'!$D$2:$D$501,MATCH(211,'근조 화환'!$G$2:$G$501,0))&amp;"")</f>
        <v/>
      </c>
      <c r="K214" s="19">
        <f>IF(211&gt;$I$1,"",INDEX('근조 화환'!$E$2:$E$501,MATCH(211,'근조 화환'!$G$2:$G$501,0))&amp;"")</f>
        <v/>
      </c>
    </row>
    <row r="215">
      <c r="A215" s="19">
        <f>IF(212&lt;=$F$1,212,"")</f>
        <v/>
      </c>
      <c r="B215" s="19">
        <f>IF($A215="","",INDEX('부의금 입력'!$B$2:$B$1001,MATCH($A215,'부의금 입력'!$H$2:$H$1001,0))&amp;"")</f>
        <v/>
      </c>
      <c r="C215" s="21">
        <f>IF($A215="","",INDEX('부의금 입력'!$C$2:$C$1001,MATCH($A215,'부의금 입력'!$H$2:$H$1001,0)))</f>
        <v/>
      </c>
      <c r="D215" s="19">
        <f>IF($A215="","",INDEX('부의금 입력'!$D$2:$D$1001,MATCH($A215,'부의금 입력'!$H$2:$H$1001,0))&amp;"")</f>
        <v/>
      </c>
      <c r="E215" s="19">
        <f>IF($A215="","",INDEX('부의금 입력'!$E$2:$E$1001,MATCH($A215,'부의금 입력'!$H$2:$H$1001,0))&amp;"")</f>
        <v/>
      </c>
      <c r="H215" s="19">
        <f>IF(212&gt;$I$1,"",INDEX('근조 화환'!$B$2:$B$501,MATCH(212,'근조 화환'!$G$2:$G$501,0))&amp;"")</f>
        <v/>
      </c>
      <c r="I215" s="19">
        <f>IF(212&gt;$I$1,"",INDEX('근조 화환'!$C$2:$C$501,MATCH(212,'근조 화환'!$G$2:$G$501,0))&amp;"")</f>
        <v/>
      </c>
      <c r="J215" s="19">
        <f>IF(212&gt;$I$1,"",INDEX('근조 화환'!$D$2:$D$501,MATCH(212,'근조 화환'!$G$2:$G$501,0))&amp;"")</f>
        <v/>
      </c>
      <c r="K215" s="19">
        <f>IF(212&gt;$I$1,"",INDEX('근조 화환'!$E$2:$E$501,MATCH(212,'근조 화환'!$G$2:$G$501,0))&amp;"")</f>
        <v/>
      </c>
    </row>
    <row r="216">
      <c r="A216" s="19">
        <f>IF(213&lt;=$F$1,213,"")</f>
        <v/>
      </c>
      <c r="B216" s="19">
        <f>IF($A216="","",INDEX('부의금 입력'!$B$2:$B$1001,MATCH($A216,'부의금 입력'!$H$2:$H$1001,0))&amp;"")</f>
        <v/>
      </c>
      <c r="C216" s="21">
        <f>IF($A216="","",INDEX('부의금 입력'!$C$2:$C$1001,MATCH($A216,'부의금 입력'!$H$2:$H$1001,0)))</f>
        <v/>
      </c>
      <c r="D216" s="19">
        <f>IF($A216="","",INDEX('부의금 입력'!$D$2:$D$1001,MATCH($A216,'부의금 입력'!$H$2:$H$1001,0))&amp;"")</f>
        <v/>
      </c>
      <c r="E216" s="19">
        <f>IF($A216="","",INDEX('부의금 입력'!$E$2:$E$1001,MATCH($A216,'부의금 입력'!$H$2:$H$1001,0))&amp;"")</f>
        <v/>
      </c>
      <c r="H216" s="19">
        <f>IF(213&gt;$I$1,"",INDEX('근조 화환'!$B$2:$B$501,MATCH(213,'근조 화환'!$G$2:$G$501,0))&amp;"")</f>
        <v/>
      </c>
      <c r="I216" s="19">
        <f>IF(213&gt;$I$1,"",INDEX('근조 화환'!$C$2:$C$501,MATCH(213,'근조 화환'!$G$2:$G$501,0))&amp;"")</f>
        <v/>
      </c>
      <c r="J216" s="19">
        <f>IF(213&gt;$I$1,"",INDEX('근조 화환'!$D$2:$D$501,MATCH(213,'근조 화환'!$G$2:$G$501,0))&amp;"")</f>
        <v/>
      </c>
      <c r="K216" s="19">
        <f>IF(213&gt;$I$1,"",INDEX('근조 화환'!$E$2:$E$501,MATCH(213,'근조 화환'!$G$2:$G$501,0))&amp;"")</f>
        <v/>
      </c>
    </row>
    <row r="217">
      <c r="A217" s="19">
        <f>IF(214&lt;=$F$1,214,"")</f>
        <v/>
      </c>
      <c r="B217" s="19">
        <f>IF($A217="","",INDEX('부의금 입력'!$B$2:$B$1001,MATCH($A217,'부의금 입력'!$H$2:$H$1001,0))&amp;"")</f>
        <v/>
      </c>
      <c r="C217" s="21">
        <f>IF($A217="","",INDEX('부의금 입력'!$C$2:$C$1001,MATCH($A217,'부의금 입력'!$H$2:$H$1001,0)))</f>
        <v/>
      </c>
      <c r="D217" s="19">
        <f>IF($A217="","",INDEX('부의금 입력'!$D$2:$D$1001,MATCH($A217,'부의금 입력'!$H$2:$H$1001,0))&amp;"")</f>
        <v/>
      </c>
      <c r="E217" s="19">
        <f>IF($A217="","",INDEX('부의금 입력'!$E$2:$E$1001,MATCH($A217,'부의금 입력'!$H$2:$H$1001,0))&amp;"")</f>
        <v/>
      </c>
      <c r="H217" s="19">
        <f>IF(214&gt;$I$1,"",INDEX('근조 화환'!$B$2:$B$501,MATCH(214,'근조 화환'!$G$2:$G$501,0))&amp;"")</f>
        <v/>
      </c>
      <c r="I217" s="19">
        <f>IF(214&gt;$I$1,"",INDEX('근조 화환'!$C$2:$C$501,MATCH(214,'근조 화환'!$G$2:$G$501,0))&amp;"")</f>
        <v/>
      </c>
      <c r="J217" s="19">
        <f>IF(214&gt;$I$1,"",INDEX('근조 화환'!$D$2:$D$501,MATCH(214,'근조 화환'!$G$2:$G$501,0))&amp;"")</f>
        <v/>
      </c>
      <c r="K217" s="19">
        <f>IF(214&gt;$I$1,"",INDEX('근조 화환'!$E$2:$E$501,MATCH(214,'근조 화환'!$G$2:$G$501,0))&amp;"")</f>
        <v/>
      </c>
    </row>
    <row r="218">
      <c r="A218" s="19">
        <f>IF(215&lt;=$F$1,215,"")</f>
        <v/>
      </c>
      <c r="B218" s="19">
        <f>IF($A218="","",INDEX('부의금 입력'!$B$2:$B$1001,MATCH($A218,'부의금 입력'!$H$2:$H$1001,0))&amp;"")</f>
        <v/>
      </c>
      <c r="C218" s="21">
        <f>IF($A218="","",INDEX('부의금 입력'!$C$2:$C$1001,MATCH($A218,'부의금 입력'!$H$2:$H$1001,0)))</f>
        <v/>
      </c>
      <c r="D218" s="19">
        <f>IF($A218="","",INDEX('부의금 입력'!$D$2:$D$1001,MATCH($A218,'부의금 입력'!$H$2:$H$1001,0))&amp;"")</f>
        <v/>
      </c>
      <c r="E218" s="19">
        <f>IF($A218="","",INDEX('부의금 입력'!$E$2:$E$1001,MATCH($A218,'부의금 입력'!$H$2:$H$1001,0))&amp;"")</f>
        <v/>
      </c>
      <c r="H218" s="19">
        <f>IF(215&gt;$I$1,"",INDEX('근조 화환'!$B$2:$B$501,MATCH(215,'근조 화환'!$G$2:$G$501,0))&amp;"")</f>
        <v/>
      </c>
      <c r="I218" s="19">
        <f>IF(215&gt;$I$1,"",INDEX('근조 화환'!$C$2:$C$501,MATCH(215,'근조 화환'!$G$2:$G$501,0))&amp;"")</f>
        <v/>
      </c>
      <c r="J218" s="19">
        <f>IF(215&gt;$I$1,"",INDEX('근조 화환'!$D$2:$D$501,MATCH(215,'근조 화환'!$G$2:$G$501,0))&amp;"")</f>
        <v/>
      </c>
      <c r="K218" s="19">
        <f>IF(215&gt;$I$1,"",INDEX('근조 화환'!$E$2:$E$501,MATCH(215,'근조 화환'!$G$2:$G$501,0))&amp;"")</f>
        <v/>
      </c>
    </row>
    <row r="219">
      <c r="A219" s="19">
        <f>IF(216&lt;=$F$1,216,"")</f>
        <v/>
      </c>
      <c r="B219" s="19">
        <f>IF($A219="","",INDEX('부의금 입력'!$B$2:$B$1001,MATCH($A219,'부의금 입력'!$H$2:$H$1001,0))&amp;"")</f>
        <v/>
      </c>
      <c r="C219" s="21">
        <f>IF($A219="","",INDEX('부의금 입력'!$C$2:$C$1001,MATCH($A219,'부의금 입력'!$H$2:$H$1001,0)))</f>
        <v/>
      </c>
      <c r="D219" s="19">
        <f>IF($A219="","",INDEX('부의금 입력'!$D$2:$D$1001,MATCH($A219,'부의금 입력'!$H$2:$H$1001,0))&amp;"")</f>
        <v/>
      </c>
      <c r="E219" s="19">
        <f>IF($A219="","",INDEX('부의금 입력'!$E$2:$E$1001,MATCH($A219,'부의금 입력'!$H$2:$H$1001,0))&amp;"")</f>
        <v/>
      </c>
      <c r="H219" s="19">
        <f>IF(216&gt;$I$1,"",INDEX('근조 화환'!$B$2:$B$501,MATCH(216,'근조 화환'!$G$2:$G$501,0))&amp;"")</f>
        <v/>
      </c>
      <c r="I219" s="19">
        <f>IF(216&gt;$I$1,"",INDEX('근조 화환'!$C$2:$C$501,MATCH(216,'근조 화환'!$G$2:$G$501,0))&amp;"")</f>
        <v/>
      </c>
      <c r="J219" s="19">
        <f>IF(216&gt;$I$1,"",INDEX('근조 화환'!$D$2:$D$501,MATCH(216,'근조 화환'!$G$2:$G$501,0))&amp;"")</f>
        <v/>
      </c>
      <c r="K219" s="19">
        <f>IF(216&gt;$I$1,"",INDEX('근조 화환'!$E$2:$E$501,MATCH(216,'근조 화환'!$G$2:$G$501,0))&amp;"")</f>
        <v/>
      </c>
    </row>
    <row r="220">
      <c r="A220" s="19">
        <f>IF(217&lt;=$F$1,217,"")</f>
        <v/>
      </c>
      <c r="B220" s="19">
        <f>IF($A220="","",INDEX('부의금 입력'!$B$2:$B$1001,MATCH($A220,'부의금 입력'!$H$2:$H$1001,0))&amp;"")</f>
        <v/>
      </c>
      <c r="C220" s="21">
        <f>IF($A220="","",INDEX('부의금 입력'!$C$2:$C$1001,MATCH($A220,'부의금 입력'!$H$2:$H$1001,0)))</f>
        <v/>
      </c>
      <c r="D220" s="19">
        <f>IF($A220="","",INDEX('부의금 입력'!$D$2:$D$1001,MATCH($A220,'부의금 입력'!$H$2:$H$1001,0))&amp;"")</f>
        <v/>
      </c>
      <c r="E220" s="19">
        <f>IF($A220="","",INDEX('부의금 입력'!$E$2:$E$1001,MATCH($A220,'부의금 입력'!$H$2:$H$1001,0))&amp;"")</f>
        <v/>
      </c>
      <c r="H220" s="19">
        <f>IF(217&gt;$I$1,"",INDEX('근조 화환'!$B$2:$B$501,MATCH(217,'근조 화환'!$G$2:$G$501,0))&amp;"")</f>
        <v/>
      </c>
      <c r="I220" s="19">
        <f>IF(217&gt;$I$1,"",INDEX('근조 화환'!$C$2:$C$501,MATCH(217,'근조 화환'!$G$2:$G$501,0))&amp;"")</f>
        <v/>
      </c>
      <c r="J220" s="19">
        <f>IF(217&gt;$I$1,"",INDEX('근조 화환'!$D$2:$D$501,MATCH(217,'근조 화환'!$G$2:$G$501,0))&amp;"")</f>
        <v/>
      </c>
      <c r="K220" s="19">
        <f>IF(217&gt;$I$1,"",INDEX('근조 화환'!$E$2:$E$501,MATCH(217,'근조 화환'!$G$2:$G$501,0))&amp;"")</f>
        <v/>
      </c>
    </row>
    <row r="221">
      <c r="A221" s="19">
        <f>IF(218&lt;=$F$1,218,"")</f>
        <v/>
      </c>
      <c r="B221" s="19">
        <f>IF($A221="","",INDEX('부의금 입력'!$B$2:$B$1001,MATCH($A221,'부의금 입력'!$H$2:$H$1001,0))&amp;"")</f>
        <v/>
      </c>
      <c r="C221" s="21">
        <f>IF($A221="","",INDEX('부의금 입력'!$C$2:$C$1001,MATCH($A221,'부의금 입력'!$H$2:$H$1001,0)))</f>
        <v/>
      </c>
      <c r="D221" s="19">
        <f>IF($A221="","",INDEX('부의금 입력'!$D$2:$D$1001,MATCH($A221,'부의금 입력'!$H$2:$H$1001,0))&amp;"")</f>
        <v/>
      </c>
      <c r="E221" s="19">
        <f>IF($A221="","",INDEX('부의금 입력'!$E$2:$E$1001,MATCH($A221,'부의금 입력'!$H$2:$H$1001,0))&amp;"")</f>
        <v/>
      </c>
      <c r="H221" s="19">
        <f>IF(218&gt;$I$1,"",INDEX('근조 화환'!$B$2:$B$501,MATCH(218,'근조 화환'!$G$2:$G$501,0))&amp;"")</f>
        <v/>
      </c>
      <c r="I221" s="19">
        <f>IF(218&gt;$I$1,"",INDEX('근조 화환'!$C$2:$C$501,MATCH(218,'근조 화환'!$G$2:$G$501,0))&amp;"")</f>
        <v/>
      </c>
      <c r="J221" s="19">
        <f>IF(218&gt;$I$1,"",INDEX('근조 화환'!$D$2:$D$501,MATCH(218,'근조 화환'!$G$2:$G$501,0))&amp;"")</f>
        <v/>
      </c>
      <c r="K221" s="19">
        <f>IF(218&gt;$I$1,"",INDEX('근조 화환'!$E$2:$E$501,MATCH(218,'근조 화환'!$G$2:$G$501,0))&amp;"")</f>
        <v/>
      </c>
    </row>
    <row r="222">
      <c r="A222" s="19">
        <f>IF(219&lt;=$F$1,219,"")</f>
        <v/>
      </c>
      <c r="B222" s="19">
        <f>IF($A222="","",INDEX('부의금 입력'!$B$2:$B$1001,MATCH($A222,'부의금 입력'!$H$2:$H$1001,0))&amp;"")</f>
        <v/>
      </c>
      <c r="C222" s="21">
        <f>IF($A222="","",INDEX('부의금 입력'!$C$2:$C$1001,MATCH($A222,'부의금 입력'!$H$2:$H$1001,0)))</f>
        <v/>
      </c>
      <c r="D222" s="19">
        <f>IF($A222="","",INDEX('부의금 입력'!$D$2:$D$1001,MATCH($A222,'부의금 입력'!$H$2:$H$1001,0))&amp;"")</f>
        <v/>
      </c>
      <c r="E222" s="19">
        <f>IF($A222="","",INDEX('부의금 입력'!$E$2:$E$1001,MATCH($A222,'부의금 입력'!$H$2:$H$1001,0))&amp;"")</f>
        <v/>
      </c>
      <c r="H222" s="19">
        <f>IF(219&gt;$I$1,"",INDEX('근조 화환'!$B$2:$B$501,MATCH(219,'근조 화환'!$G$2:$G$501,0))&amp;"")</f>
        <v/>
      </c>
      <c r="I222" s="19">
        <f>IF(219&gt;$I$1,"",INDEX('근조 화환'!$C$2:$C$501,MATCH(219,'근조 화환'!$G$2:$G$501,0))&amp;"")</f>
        <v/>
      </c>
      <c r="J222" s="19">
        <f>IF(219&gt;$I$1,"",INDEX('근조 화환'!$D$2:$D$501,MATCH(219,'근조 화환'!$G$2:$G$501,0))&amp;"")</f>
        <v/>
      </c>
      <c r="K222" s="19">
        <f>IF(219&gt;$I$1,"",INDEX('근조 화환'!$E$2:$E$501,MATCH(219,'근조 화환'!$G$2:$G$501,0))&amp;"")</f>
        <v/>
      </c>
    </row>
    <row r="223">
      <c r="A223" s="19">
        <f>IF(220&lt;=$F$1,220,"")</f>
        <v/>
      </c>
      <c r="B223" s="19">
        <f>IF($A223="","",INDEX('부의금 입력'!$B$2:$B$1001,MATCH($A223,'부의금 입력'!$H$2:$H$1001,0))&amp;"")</f>
        <v/>
      </c>
      <c r="C223" s="21">
        <f>IF($A223="","",INDEX('부의금 입력'!$C$2:$C$1001,MATCH($A223,'부의금 입력'!$H$2:$H$1001,0)))</f>
        <v/>
      </c>
      <c r="D223" s="19">
        <f>IF($A223="","",INDEX('부의금 입력'!$D$2:$D$1001,MATCH($A223,'부의금 입력'!$H$2:$H$1001,0))&amp;"")</f>
        <v/>
      </c>
      <c r="E223" s="19">
        <f>IF($A223="","",INDEX('부의금 입력'!$E$2:$E$1001,MATCH($A223,'부의금 입력'!$H$2:$H$1001,0))&amp;"")</f>
        <v/>
      </c>
      <c r="H223" s="19">
        <f>IF(220&gt;$I$1,"",INDEX('근조 화환'!$B$2:$B$501,MATCH(220,'근조 화환'!$G$2:$G$501,0))&amp;"")</f>
        <v/>
      </c>
      <c r="I223" s="19">
        <f>IF(220&gt;$I$1,"",INDEX('근조 화환'!$C$2:$C$501,MATCH(220,'근조 화환'!$G$2:$G$501,0))&amp;"")</f>
        <v/>
      </c>
      <c r="J223" s="19">
        <f>IF(220&gt;$I$1,"",INDEX('근조 화환'!$D$2:$D$501,MATCH(220,'근조 화환'!$G$2:$G$501,0))&amp;"")</f>
        <v/>
      </c>
      <c r="K223" s="19">
        <f>IF(220&gt;$I$1,"",INDEX('근조 화환'!$E$2:$E$501,MATCH(220,'근조 화환'!$G$2:$G$501,0))&amp;"")</f>
        <v/>
      </c>
    </row>
    <row r="224">
      <c r="A224" s="19">
        <f>IF(221&lt;=$F$1,221,"")</f>
        <v/>
      </c>
      <c r="B224" s="19">
        <f>IF($A224="","",INDEX('부의금 입력'!$B$2:$B$1001,MATCH($A224,'부의금 입력'!$H$2:$H$1001,0))&amp;"")</f>
        <v/>
      </c>
      <c r="C224" s="21">
        <f>IF($A224="","",INDEX('부의금 입력'!$C$2:$C$1001,MATCH($A224,'부의금 입력'!$H$2:$H$1001,0)))</f>
        <v/>
      </c>
      <c r="D224" s="19">
        <f>IF($A224="","",INDEX('부의금 입력'!$D$2:$D$1001,MATCH($A224,'부의금 입력'!$H$2:$H$1001,0))&amp;"")</f>
        <v/>
      </c>
      <c r="E224" s="19">
        <f>IF($A224="","",INDEX('부의금 입력'!$E$2:$E$1001,MATCH($A224,'부의금 입력'!$H$2:$H$1001,0))&amp;"")</f>
        <v/>
      </c>
      <c r="H224" s="19">
        <f>IF(221&gt;$I$1,"",INDEX('근조 화환'!$B$2:$B$501,MATCH(221,'근조 화환'!$G$2:$G$501,0))&amp;"")</f>
        <v/>
      </c>
      <c r="I224" s="19">
        <f>IF(221&gt;$I$1,"",INDEX('근조 화환'!$C$2:$C$501,MATCH(221,'근조 화환'!$G$2:$G$501,0))&amp;"")</f>
        <v/>
      </c>
      <c r="J224" s="19">
        <f>IF(221&gt;$I$1,"",INDEX('근조 화환'!$D$2:$D$501,MATCH(221,'근조 화환'!$G$2:$G$501,0))&amp;"")</f>
        <v/>
      </c>
      <c r="K224" s="19">
        <f>IF(221&gt;$I$1,"",INDEX('근조 화환'!$E$2:$E$501,MATCH(221,'근조 화환'!$G$2:$G$501,0))&amp;"")</f>
        <v/>
      </c>
    </row>
    <row r="225">
      <c r="A225" s="19">
        <f>IF(222&lt;=$F$1,222,"")</f>
        <v/>
      </c>
      <c r="B225" s="19">
        <f>IF($A225="","",INDEX('부의금 입력'!$B$2:$B$1001,MATCH($A225,'부의금 입력'!$H$2:$H$1001,0))&amp;"")</f>
        <v/>
      </c>
      <c r="C225" s="21">
        <f>IF($A225="","",INDEX('부의금 입력'!$C$2:$C$1001,MATCH($A225,'부의금 입력'!$H$2:$H$1001,0)))</f>
        <v/>
      </c>
      <c r="D225" s="19">
        <f>IF($A225="","",INDEX('부의금 입력'!$D$2:$D$1001,MATCH($A225,'부의금 입력'!$H$2:$H$1001,0))&amp;"")</f>
        <v/>
      </c>
      <c r="E225" s="19">
        <f>IF($A225="","",INDEX('부의금 입력'!$E$2:$E$1001,MATCH($A225,'부의금 입력'!$H$2:$H$1001,0))&amp;"")</f>
        <v/>
      </c>
      <c r="H225" s="19">
        <f>IF(222&gt;$I$1,"",INDEX('근조 화환'!$B$2:$B$501,MATCH(222,'근조 화환'!$G$2:$G$501,0))&amp;"")</f>
        <v/>
      </c>
      <c r="I225" s="19">
        <f>IF(222&gt;$I$1,"",INDEX('근조 화환'!$C$2:$C$501,MATCH(222,'근조 화환'!$G$2:$G$501,0))&amp;"")</f>
        <v/>
      </c>
      <c r="J225" s="19">
        <f>IF(222&gt;$I$1,"",INDEX('근조 화환'!$D$2:$D$501,MATCH(222,'근조 화환'!$G$2:$G$501,0))&amp;"")</f>
        <v/>
      </c>
      <c r="K225" s="19">
        <f>IF(222&gt;$I$1,"",INDEX('근조 화환'!$E$2:$E$501,MATCH(222,'근조 화환'!$G$2:$G$501,0))&amp;"")</f>
        <v/>
      </c>
    </row>
    <row r="226">
      <c r="A226" s="19">
        <f>IF(223&lt;=$F$1,223,"")</f>
        <v/>
      </c>
      <c r="B226" s="19">
        <f>IF($A226="","",INDEX('부의금 입력'!$B$2:$B$1001,MATCH($A226,'부의금 입력'!$H$2:$H$1001,0))&amp;"")</f>
        <v/>
      </c>
      <c r="C226" s="21">
        <f>IF($A226="","",INDEX('부의금 입력'!$C$2:$C$1001,MATCH($A226,'부의금 입력'!$H$2:$H$1001,0)))</f>
        <v/>
      </c>
      <c r="D226" s="19">
        <f>IF($A226="","",INDEX('부의금 입력'!$D$2:$D$1001,MATCH($A226,'부의금 입력'!$H$2:$H$1001,0))&amp;"")</f>
        <v/>
      </c>
      <c r="E226" s="19">
        <f>IF($A226="","",INDEX('부의금 입력'!$E$2:$E$1001,MATCH($A226,'부의금 입력'!$H$2:$H$1001,0))&amp;"")</f>
        <v/>
      </c>
      <c r="H226" s="19">
        <f>IF(223&gt;$I$1,"",INDEX('근조 화환'!$B$2:$B$501,MATCH(223,'근조 화환'!$G$2:$G$501,0))&amp;"")</f>
        <v/>
      </c>
      <c r="I226" s="19">
        <f>IF(223&gt;$I$1,"",INDEX('근조 화환'!$C$2:$C$501,MATCH(223,'근조 화환'!$G$2:$G$501,0))&amp;"")</f>
        <v/>
      </c>
      <c r="J226" s="19">
        <f>IF(223&gt;$I$1,"",INDEX('근조 화환'!$D$2:$D$501,MATCH(223,'근조 화환'!$G$2:$G$501,0))&amp;"")</f>
        <v/>
      </c>
      <c r="K226" s="19">
        <f>IF(223&gt;$I$1,"",INDEX('근조 화환'!$E$2:$E$501,MATCH(223,'근조 화환'!$G$2:$G$501,0))&amp;"")</f>
        <v/>
      </c>
    </row>
    <row r="227">
      <c r="A227" s="19">
        <f>IF(224&lt;=$F$1,224,"")</f>
        <v/>
      </c>
      <c r="B227" s="19">
        <f>IF($A227="","",INDEX('부의금 입력'!$B$2:$B$1001,MATCH($A227,'부의금 입력'!$H$2:$H$1001,0))&amp;"")</f>
        <v/>
      </c>
      <c r="C227" s="21">
        <f>IF($A227="","",INDEX('부의금 입력'!$C$2:$C$1001,MATCH($A227,'부의금 입력'!$H$2:$H$1001,0)))</f>
        <v/>
      </c>
      <c r="D227" s="19">
        <f>IF($A227="","",INDEX('부의금 입력'!$D$2:$D$1001,MATCH($A227,'부의금 입력'!$H$2:$H$1001,0))&amp;"")</f>
        <v/>
      </c>
      <c r="E227" s="19">
        <f>IF($A227="","",INDEX('부의금 입력'!$E$2:$E$1001,MATCH($A227,'부의금 입력'!$H$2:$H$1001,0))&amp;"")</f>
        <v/>
      </c>
      <c r="H227" s="19">
        <f>IF(224&gt;$I$1,"",INDEX('근조 화환'!$B$2:$B$501,MATCH(224,'근조 화환'!$G$2:$G$501,0))&amp;"")</f>
        <v/>
      </c>
      <c r="I227" s="19">
        <f>IF(224&gt;$I$1,"",INDEX('근조 화환'!$C$2:$C$501,MATCH(224,'근조 화환'!$G$2:$G$501,0))&amp;"")</f>
        <v/>
      </c>
      <c r="J227" s="19">
        <f>IF(224&gt;$I$1,"",INDEX('근조 화환'!$D$2:$D$501,MATCH(224,'근조 화환'!$G$2:$G$501,0))&amp;"")</f>
        <v/>
      </c>
      <c r="K227" s="19">
        <f>IF(224&gt;$I$1,"",INDEX('근조 화환'!$E$2:$E$501,MATCH(224,'근조 화환'!$G$2:$G$501,0))&amp;"")</f>
        <v/>
      </c>
    </row>
    <row r="228">
      <c r="A228" s="19">
        <f>IF(225&lt;=$F$1,225,"")</f>
        <v/>
      </c>
      <c r="B228" s="19">
        <f>IF($A228="","",INDEX('부의금 입력'!$B$2:$B$1001,MATCH($A228,'부의금 입력'!$H$2:$H$1001,0))&amp;"")</f>
        <v/>
      </c>
      <c r="C228" s="21">
        <f>IF($A228="","",INDEX('부의금 입력'!$C$2:$C$1001,MATCH($A228,'부의금 입력'!$H$2:$H$1001,0)))</f>
        <v/>
      </c>
      <c r="D228" s="19">
        <f>IF($A228="","",INDEX('부의금 입력'!$D$2:$D$1001,MATCH($A228,'부의금 입력'!$H$2:$H$1001,0))&amp;"")</f>
        <v/>
      </c>
      <c r="E228" s="19">
        <f>IF($A228="","",INDEX('부의금 입력'!$E$2:$E$1001,MATCH($A228,'부의금 입력'!$H$2:$H$1001,0))&amp;"")</f>
        <v/>
      </c>
      <c r="H228" s="19">
        <f>IF(225&gt;$I$1,"",INDEX('근조 화환'!$B$2:$B$501,MATCH(225,'근조 화환'!$G$2:$G$501,0))&amp;"")</f>
        <v/>
      </c>
      <c r="I228" s="19">
        <f>IF(225&gt;$I$1,"",INDEX('근조 화환'!$C$2:$C$501,MATCH(225,'근조 화환'!$G$2:$G$501,0))&amp;"")</f>
        <v/>
      </c>
      <c r="J228" s="19">
        <f>IF(225&gt;$I$1,"",INDEX('근조 화환'!$D$2:$D$501,MATCH(225,'근조 화환'!$G$2:$G$501,0))&amp;"")</f>
        <v/>
      </c>
      <c r="K228" s="19">
        <f>IF(225&gt;$I$1,"",INDEX('근조 화환'!$E$2:$E$501,MATCH(225,'근조 화환'!$G$2:$G$501,0))&amp;"")</f>
        <v/>
      </c>
    </row>
    <row r="229">
      <c r="A229" s="19">
        <f>IF(226&lt;=$F$1,226,"")</f>
        <v/>
      </c>
      <c r="B229" s="19">
        <f>IF($A229="","",INDEX('부의금 입력'!$B$2:$B$1001,MATCH($A229,'부의금 입력'!$H$2:$H$1001,0))&amp;"")</f>
        <v/>
      </c>
      <c r="C229" s="21">
        <f>IF($A229="","",INDEX('부의금 입력'!$C$2:$C$1001,MATCH($A229,'부의금 입력'!$H$2:$H$1001,0)))</f>
        <v/>
      </c>
      <c r="D229" s="19">
        <f>IF($A229="","",INDEX('부의금 입력'!$D$2:$D$1001,MATCH($A229,'부의금 입력'!$H$2:$H$1001,0))&amp;"")</f>
        <v/>
      </c>
      <c r="E229" s="19">
        <f>IF($A229="","",INDEX('부의금 입력'!$E$2:$E$1001,MATCH($A229,'부의금 입력'!$H$2:$H$1001,0))&amp;"")</f>
        <v/>
      </c>
      <c r="H229" s="19">
        <f>IF(226&gt;$I$1,"",INDEX('근조 화환'!$B$2:$B$501,MATCH(226,'근조 화환'!$G$2:$G$501,0))&amp;"")</f>
        <v/>
      </c>
      <c r="I229" s="19">
        <f>IF(226&gt;$I$1,"",INDEX('근조 화환'!$C$2:$C$501,MATCH(226,'근조 화환'!$G$2:$G$501,0))&amp;"")</f>
        <v/>
      </c>
      <c r="J229" s="19">
        <f>IF(226&gt;$I$1,"",INDEX('근조 화환'!$D$2:$D$501,MATCH(226,'근조 화환'!$G$2:$G$501,0))&amp;"")</f>
        <v/>
      </c>
      <c r="K229" s="19">
        <f>IF(226&gt;$I$1,"",INDEX('근조 화환'!$E$2:$E$501,MATCH(226,'근조 화환'!$G$2:$G$501,0))&amp;"")</f>
        <v/>
      </c>
    </row>
    <row r="230">
      <c r="A230" s="19">
        <f>IF(227&lt;=$F$1,227,"")</f>
        <v/>
      </c>
      <c r="B230" s="19">
        <f>IF($A230="","",INDEX('부의금 입력'!$B$2:$B$1001,MATCH($A230,'부의금 입력'!$H$2:$H$1001,0))&amp;"")</f>
        <v/>
      </c>
      <c r="C230" s="21">
        <f>IF($A230="","",INDEX('부의금 입력'!$C$2:$C$1001,MATCH($A230,'부의금 입력'!$H$2:$H$1001,0)))</f>
        <v/>
      </c>
      <c r="D230" s="19">
        <f>IF($A230="","",INDEX('부의금 입력'!$D$2:$D$1001,MATCH($A230,'부의금 입력'!$H$2:$H$1001,0))&amp;"")</f>
        <v/>
      </c>
      <c r="E230" s="19">
        <f>IF($A230="","",INDEX('부의금 입력'!$E$2:$E$1001,MATCH($A230,'부의금 입력'!$H$2:$H$1001,0))&amp;"")</f>
        <v/>
      </c>
      <c r="H230" s="19">
        <f>IF(227&gt;$I$1,"",INDEX('근조 화환'!$B$2:$B$501,MATCH(227,'근조 화환'!$G$2:$G$501,0))&amp;"")</f>
        <v/>
      </c>
      <c r="I230" s="19">
        <f>IF(227&gt;$I$1,"",INDEX('근조 화환'!$C$2:$C$501,MATCH(227,'근조 화환'!$G$2:$G$501,0))&amp;"")</f>
        <v/>
      </c>
      <c r="J230" s="19">
        <f>IF(227&gt;$I$1,"",INDEX('근조 화환'!$D$2:$D$501,MATCH(227,'근조 화환'!$G$2:$G$501,0))&amp;"")</f>
        <v/>
      </c>
      <c r="K230" s="19">
        <f>IF(227&gt;$I$1,"",INDEX('근조 화환'!$E$2:$E$501,MATCH(227,'근조 화환'!$G$2:$G$501,0))&amp;"")</f>
        <v/>
      </c>
    </row>
    <row r="231">
      <c r="A231" s="19">
        <f>IF(228&lt;=$F$1,228,"")</f>
        <v/>
      </c>
      <c r="B231" s="19">
        <f>IF($A231="","",INDEX('부의금 입력'!$B$2:$B$1001,MATCH($A231,'부의금 입력'!$H$2:$H$1001,0))&amp;"")</f>
        <v/>
      </c>
      <c r="C231" s="21">
        <f>IF($A231="","",INDEX('부의금 입력'!$C$2:$C$1001,MATCH($A231,'부의금 입력'!$H$2:$H$1001,0)))</f>
        <v/>
      </c>
      <c r="D231" s="19">
        <f>IF($A231="","",INDEX('부의금 입력'!$D$2:$D$1001,MATCH($A231,'부의금 입력'!$H$2:$H$1001,0))&amp;"")</f>
        <v/>
      </c>
      <c r="E231" s="19">
        <f>IF($A231="","",INDEX('부의금 입력'!$E$2:$E$1001,MATCH($A231,'부의금 입력'!$H$2:$H$1001,0))&amp;"")</f>
        <v/>
      </c>
      <c r="H231" s="19">
        <f>IF(228&gt;$I$1,"",INDEX('근조 화환'!$B$2:$B$501,MATCH(228,'근조 화환'!$G$2:$G$501,0))&amp;"")</f>
        <v/>
      </c>
      <c r="I231" s="19">
        <f>IF(228&gt;$I$1,"",INDEX('근조 화환'!$C$2:$C$501,MATCH(228,'근조 화환'!$G$2:$G$501,0))&amp;"")</f>
        <v/>
      </c>
      <c r="J231" s="19">
        <f>IF(228&gt;$I$1,"",INDEX('근조 화환'!$D$2:$D$501,MATCH(228,'근조 화환'!$G$2:$G$501,0))&amp;"")</f>
        <v/>
      </c>
      <c r="K231" s="19">
        <f>IF(228&gt;$I$1,"",INDEX('근조 화환'!$E$2:$E$501,MATCH(228,'근조 화환'!$G$2:$G$501,0))&amp;"")</f>
        <v/>
      </c>
    </row>
    <row r="232">
      <c r="A232" s="19">
        <f>IF(229&lt;=$F$1,229,"")</f>
        <v/>
      </c>
      <c r="B232" s="19">
        <f>IF($A232="","",INDEX('부의금 입력'!$B$2:$B$1001,MATCH($A232,'부의금 입력'!$H$2:$H$1001,0))&amp;"")</f>
        <v/>
      </c>
      <c r="C232" s="21">
        <f>IF($A232="","",INDEX('부의금 입력'!$C$2:$C$1001,MATCH($A232,'부의금 입력'!$H$2:$H$1001,0)))</f>
        <v/>
      </c>
      <c r="D232" s="19">
        <f>IF($A232="","",INDEX('부의금 입력'!$D$2:$D$1001,MATCH($A232,'부의금 입력'!$H$2:$H$1001,0))&amp;"")</f>
        <v/>
      </c>
      <c r="E232" s="19">
        <f>IF($A232="","",INDEX('부의금 입력'!$E$2:$E$1001,MATCH($A232,'부의금 입력'!$H$2:$H$1001,0))&amp;"")</f>
        <v/>
      </c>
      <c r="H232" s="19">
        <f>IF(229&gt;$I$1,"",INDEX('근조 화환'!$B$2:$B$501,MATCH(229,'근조 화환'!$G$2:$G$501,0))&amp;"")</f>
        <v/>
      </c>
      <c r="I232" s="19">
        <f>IF(229&gt;$I$1,"",INDEX('근조 화환'!$C$2:$C$501,MATCH(229,'근조 화환'!$G$2:$G$501,0))&amp;"")</f>
        <v/>
      </c>
      <c r="J232" s="19">
        <f>IF(229&gt;$I$1,"",INDEX('근조 화환'!$D$2:$D$501,MATCH(229,'근조 화환'!$G$2:$G$501,0))&amp;"")</f>
        <v/>
      </c>
      <c r="K232" s="19">
        <f>IF(229&gt;$I$1,"",INDEX('근조 화환'!$E$2:$E$501,MATCH(229,'근조 화환'!$G$2:$G$501,0))&amp;"")</f>
        <v/>
      </c>
    </row>
    <row r="233">
      <c r="A233" s="19">
        <f>IF(230&lt;=$F$1,230,"")</f>
        <v/>
      </c>
      <c r="B233" s="19">
        <f>IF($A233="","",INDEX('부의금 입력'!$B$2:$B$1001,MATCH($A233,'부의금 입력'!$H$2:$H$1001,0))&amp;"")</f>
        <v/>
      </c>
      <c r="C233" s="21">
        <f>IF($A233="","",INDEX('부의금 입력'!$C$2:$C$1001,MATCH($A233,'부의금 입력'!$H$2:$H$1001,0)))</f>
        <v/>
      </c>
      <c r="D233" s="19">
        <f>IF($A233="","",INDEX('부의금 입력'!$D$2:$D$1001,MATCH($A233,'부의금 입력'!$H$2:$H$1001,0))&amp;"")</f>
        <v/>
      </c>
      <c r="E233" s="19">
        <f>IF($A233="","",INDEX('부의금 입력'!$E$2:$E$1001,MATCH($A233,'부의금 입력'!$H$2:$H$1001,0))&amp;"")</f>
        <v/>
      </c>
      <c r="H233" s="19">
        <f>IF(230&gt;$I$1,"",INDEX('근조 화환'!$B$2:$B$501,MATCH(230,'근조 화환'!$G$2:$G$501,0))&amp;"")</f>
        <v/>
      </c>
      <c r="I233" s="19">
        <f>IF(230&gt;$I$1,"",INDEX('근조 화환'!$C$2:$C$501,MATCH(230,'근조 화환'!$G$2:$G$501,0))&amp;"")</f>
        <v/>
      </c>
      <c r="J233" s="19">
        <f>IF(230&gt;$I$1,"",INDEX('근조 화환'!$D$2:$D$501,MATCH(230,'근조 화환'!$G$2:$G$501,0))&amp;"")</f>
        <v/>
      </c>
      <c r="K233" s="19">
        <f>IF(230&gt;$I$1,"",INDEX('근조 화환'!$E$2:$E$501,MATCH(230,'근조 화환'!$G$2:$G$501,0))&amp;"")</f>
        <v/>
      </c>
    </row>
    <row r="234">
      <c r="A234" s="19">
        <f>IF(231&lt;=$F$1,231,"")</f>
        <v/>
      </c>
      <c r="B234" s="19">
        <f>IF($A234="","",INDEX('부의금 입력'!$B$2:$B$1001,MATCH($A234,'부의금 입력'!$H$2:$H$1001,0))&amp;"")</f>
        <v/>
      </c>
      <c r="C234" s="21">
        <f>IF($A234="","",INDEX('부의금 입력'!$C$2:$C$1001,MATCH($A234,'부의금 입력'!$H$2:$H$1001,0)))</f>
        <v/>
      </c>
      <c r="D234" s="19">
        <f>IF($A234="","",INDEX('부의금 입력'!$D$2:$D$1001,MATCH($A234,'부의금 입력'!$H$2:$H$1001,0))&amp;"")</f>
        <v/>
      </c>
      <c r="E234" s="19">
        <f>IF($A234="","",INDEX('부의금 입력'!$E$2:$E$1001,MATCH($A234,'부의금 입력'!$H$2:$H$1001,0))&amp;"")</f>
        <v/>
      </c>
      <c r="H234" s="19">
        <f>IF(231&gt;$I$1,"",INDEX('근조 화환'!$B$2:$B$501,MATCH(231,'근조 화환'!$G$2:$G$501,0))&amp;"")</f>
        <v/>
      </c>
      <c r="I234" s="19">
        <f>IF(231&gt;$I$1,"",INDEX('근조 화환'!$C$2:$C$501,MATCH(231,'근조 화환'!$G$2:$G$501,0))&amp;"")</f>
        <v/>
      </c>
      <c r="J234" s="19">
        <f>IF(231&gt;$I$1,"",INDEX('근조 화환'!$D$2:$D$501,MATCH(231,'근조 화환'!$G$2:$G$501,0))&amp;"")</f>
        <v/>
      </c>
      <c r="K234" s="19">
        <f>IF(231&gt;$I$1,"",INDEX('근조 화환'!$E$2:$E$501,MATCH(231,'근조 화환'!$G$2:$G$501,0))&amp;"")</f>
        <v/>
      </c>
    </row>
    <row r="235">
      <c r="A235" s="19">
        <f>IF(232&lt;=$F$1,232,"")</f>
        <v/>
      </c>
      <c r="B235" s="19">
        <f>IF($A235="","",INDEX('부의금 입력'!$B$2:$B$1001,MATCH($A235,'부의금 입력'!$H$2:$H$1001,0))&amp;"")</f>
        <v/>
      </c>
      <c r="C235" s="21">
        <f>IF($A235="","",INDEX('부의금 입력'!$C$2:$C$1001,MATCH($A235,'부의금 입력'!$H$2:$H$1001,0)))</f>
        <v/>
      </c>
      <c r="D235" s="19">
        <f>IF($A235="","",INDEX('부의금 입력'!$D$2:$D$1001,MATCH($A235,'부의금 입력'!$H$2:$H$1001,0))&amp;"")</f>
        <v/>
      </c>
      <c r="E235" s="19">
        <f>IF($A235="","",INDEX('부의금 입력'!$E$2:$E$1001,MATCH($A235,'부의금 입력'!$H$2:$H$1001,0))&amp;"")</f>
        <v/>
      </c>
      <c r="H235" s="19">
        <f>IF(232&gt;$I$1,"",INDEX('근조 화환'!$B$2:$B$501,MATCH(232,'근조 화환'!$G$2:$G$501,0))&amp;"")</f>
        <v/>
      </c>
      <c r="I235" s="19">
        <f>IF(232&gt;$I$1,"",INDEX('근조 화환'!$C$2:$C$501,MATCH(232,'근조 화환'!$G$2:$G$501,0))&amp;"")</f>
        <v/>
      </c>
      <c r="J235" s="19">
        <f>IF(232&gt;$I$1,"",INDEX('근조 화환'!$D$2:$D$501,MATCH(232,'근조 화환'!$G$2:$G$501,0))&amp;"")</f>
        <v/>
      </c>
      <c r="K235" s="19">
        <f>IF(232&gt;$I$1,"",INDEX('근조 화환'!$E$2:$E$501,MATCH(232,'근조 화환'!$G$2:$G$501,0))&amp;"")</f>
        <v/>
      </c>
    </row>
    <row r="236">
      <c r="A236" s="19">
        <f>IF(233&lt;=$F$1,233,"")</f>
        <v/>
      </c>
      <c r="B236" s="19">
        <f>IF($A236="","",INDEX('부의금 입력'!$B$2:$B$1001,MATCH($A236,'부의금 입력'!$H$2:$H$1001,0))&amp;"")</f>
        <v/>
      </c>
      <c r="C236" s="21">
        <f>IF($A236="","",INDEX('부의금 입력'!$C$2:$C$1001,MATCH($A236,'부의금 입력'!$H$2:$H$1001,0)))</f>
        <v/>
      </c>
      <c r="D236" s="19">
        <f>IF($A236="","",INDEX('부의금 입력'!$D$2:$D$1001,MATCH($A236,'부의금 입력'!$H$2:$H$1001,0))&amp;"")</f>
        <v/>
      </c>
      <c r="E236" s="19">
        <f>IF($A236="","",INDEX('부의금 입력'!$E$2:$E$1001,MATCH($A236,'부의금 입력'!$H$2:$H$1001,0))&amp;"")</f>
        <v/>
      </c>
      <c r="H236" s="19">
        <f>IF(233&gt;$I$1,"",INDEX('근조 화환'!$B$2:$B$501,MATCH(233,'근조 화환'!$G$2:$G$501,0))&amp;"")</f>
        <v/>
      </c>
      <c r="I236" s="19">
        <f>IF(233&gt;$I$1,"",INDEX('근조 화환'!$C$2:$C$501,MATCH(233,'근조 화환'!$G$2:$G$501,0))&amp;"")</f>
        <v/>
      </c>
      <c r="J236" s="19">
        <f>IF(233&gt;$I$1,"",INDEX('근조 화환'!$D$2:$D$501,MATCH(233,'근조 화환'!$G$2:$G$501,0))&amp;"")</f>
        <v/>
      </c>
      <c r="K236" s="19">
        <f>IF(233&gt;$I$1,"",INDEX('근조 화환'!$E$2:$E$501,MATCH(233,'근조 화환'!$G$2:$G$501,0))&amp;"")</f>
        <v/>
      </c>
    </row>
    <row r="237">
      <c r="A237" s="19">
        <f>IF(234&lt;=$F$1,234,"")</f>
        <v/>
      </c>
      <c r="B237" s="19">
        <f>IF($A237="","",INDEX('부의금 입력'!$B$2:$B$1001,MATCH($A237,'부의금 입력'!$H$2:$H$1001,0))&amp;"")</f>
        <v/>
      </c>
      <c r="C237" s="21">
        <f>IF($A237="","",INDEX('부의금 입력'!$C$2:$C$1001,MATCH($A237,'부의금 입력'!$H$2:$H$1001,0)))</f>
        <v/>
      </c>
      <c r="D237" s="19">
        <f>IF($A237="","",INDEX('부의금 입력'!$D$2:$D$1001,MATCH($A237,'부의금 입력'!$H$2:$H$1001,0))&amp;"")</f>
        <v/>
      </c>
      <c r="E237" s="19">
        <f>IF($A237="","",INDEX('부의금 입력'!$E$2:$E$1001,MATCH($A237,'부의금 입력'!$H$2:$H$1001,0))&amp;"")</f>
        <v/>
      </c>
      <c r="H237" s="19">
        <f>IF(234&gt;$I$1,"",INDEX('근조 화환'!$B$2:$B$501,MATCH(234,'근조 화환'!$G$2:$G$501,0))&amp;"")</f>
        <v/>
      </c>
      <c r="I237" s="19">
        <f>IF(234&gt;$I$1,"",INDEX('근조 화환'!$C$2:$C$501,MATCH(234,'근조 화환'!$G$2:$G$501,0))&amp;"")</f>
        <v/>
      </c>
      <c r="J237" s="19">
        <f>IF(234&gt;$I$1,"",INDEX('근조 화환'!$D$2:$D$501,MATCH(234,'근조 화환'!$G$2:$G$501,0))&amp;"")</f>
        <v/>
      </c>
      <c r="K237" s="19">
        <f>IF(234&gt;$I$1,"",INDEX('근조 화환'!$E$2:$E$501,MATCH(234,'근조 화환'!$G$2:$G$501,0))&amp;"")</f>
        <v/>
      </c>
    </row>
    <row r="238">
      <c r="A238" s="19">
        <f>IF(235&lt;=$F$1,235,"")</f>
        <v/>
      </c>
      <c r="B238" s="19">
        <f>IF($A238="","",INDEX('부의금 입력'!$B$2:$B$1001,MATCH($A238,'부의금 입력'!$H$2:$H$1001,0))&amp;"")</f>
        <v/>
      </c>
      <c r="C238" s="21">
        <f>IF($A238="","",INDEX('부의금 입력'!$C$2:$C$1001,MATCH($A238,'부의금 입력'!$H$2:$H$1001,0)))</f>
        <v/>
      </c>
      <c r="D238" s="19">
        <f>IF($A238="","",INDEX('부의금 입력'!$D$2:$D$1001,MATCH($A238,'부의금 입력'!$H$2:$H$1001,0))&amp;"")</f>
        <v/>
      </c>
      <c r="E238" s="19">
        <f>IF($A238="","",INDEX('부의금 입력'!$E$2:$E$1001,MATCH($A238,'부의금 입력'!$H$2:$H$1001,0))&amp;"")</f>
        <v/>
      </c>
      <c r="H238" s="19">
        <f>IF(235&gt;$I$1,"",INDEX('근조 화환'!$B$2:$B$501,MATCH(235,'근조 화환'!$G$2:$G$501,0))&amp;"")</f>
        <v/>
      </c>
      <c r="I238" s="19">
        <f>IF(235&gt;$I$1,"",INDEX('근조 화환'!$C$2:$C$501,MATCH(235,'근조 화환'!$G$2:$G$501,0))&amp;"")</f>
        <v/>
      </c>
      <c r="J238" s="19">
        <f>IF(235&gt;$I$1,"",INDEX('근조 화환'!$D$2:$D$501,MATCH(235,'근조 화환'!$G$2:$G$501,0))&amp;"")</f>
        <v/>
      </c>
      <c r="K238" s="19">
        <f>IF(235&gt;$I$1,"",INDEX('근조 화환'!$E$2:$E$501,MATCH(235,'근조 화환'!$G$2:$G$501,0))&amp;"")</f>
        <v/>
      </c>
    </row>
    <row r="239">
      <c r="A239" s="19">
        <f>IF(236&lt;=$F$1,236,"")</f>
        <v/>
      </c>
      <c r="B239" s="19">
        <f>IF($A239="","",INDEX('부의금 입력'!$B$2:$B$1001,MATCH($A239,'부의금 입력'!$H$2:$H$1001,0))&amp;"")</f>
        <v/>
      </c>
      <c r="C239" s="21">
        <f>IF($A239="","",INDEX('부의금 입력'!$C$2:$C$1001,MATCH($A239,'부의금 입력'!$H$2:$H$1001,0)))</f>
        <v/>
      </c>
      <c r="D239" s="19">
        <f>IF($A239="","",INDEX('부의금 입력'!$D$2:$D$1001,MATCH($A239,'부의금 입력'!$H$2:$H$1001,0))&amp;"")</f>
        <v/>
      </c>
      <c r="E239" s="19">
        <f>IF($A239="","",INDEX('부의금 입력'!$E$2:$E$1001,MATCH($A239,'부의금 입력'!$H$2:$H$1001,0))&amp;"")</f>
        <v/>
      </c>
      <c r="H239" s="19">
        <f>IF(236&gt;$I$1,"",INDEX('근조 화환'!$B$2:$B$501,MATCH(236,'근조 화환'!$G$2:$G$501,0))&amp;"")</f>
        <v/>
      </c>
      <c r="I239" s="19">
        <f>IF(236&gt;$I$1,"",INDEX('근조 화환'!$C$2:$C$501,MATCH(236,'근조 화환'!$G$2:$G$501,0))&amp;"")</f>
        <v/>
      </c>
      <c r="J239" s="19">
        <f>IF(236&gt;$I$1,"",INDEX('근조 화환'!$D$2:$D$501,MATCH(236,'근조 화환'!$G$2:$G$501,0))&amp;"")</f>
        <v/>
      </c>
      <c r="K239" s="19">
        <f>IF(236&gt;$I$1,"",INDEX('근조 화환'!$E$2:$E$501,MATCH(236,'근조 화환'!$G$2:$G$501,0))&amp;"")</f>
        <v/>
      </c>
    </row>
    <row r="240">
      <c r="A240" s="19">
        <f>IF(237&lt;=$F$1,237,"")</f>
        <v/>
      </c>
      <c r="B240" s="19">
        <f>IF($A240="","",INDEX('부의금 입력'!$B$2:$B$1001,MATCH($A240,'부의금 입력'!$H$2:$H$1001,0))&amp;"")</f>
        <v/>
      </c>
      <c r="C240" s="21">
        <f>IF($A240="","",INDEX('부의금 입력'!$C$2:$C$1001,MATCH($A240,'부의금 입력'!$H$2:$H$1001,0)))</f>
        <v/>
      </c>
      <c r="D240" s="19">
        <f>IF($A240="","",INDEX('부의금 입력'!$D$2:$D$1001,MATCH($A240,'부의금 입력'!$H$2:$H$1001,0))&amp;"")</f>
        <v/>
      </c>
      <c r="E240" s="19">
        <f>IF($A240="","",INDEX('부의금 입력'!$E$2:$E$1001,MATCH($A240,'부의금 입력'!$H$2:$H$1001,0))&amp;"")</f>
        <v/>
      </c>
      <c r="H240" s="19">
        <f>IF(237&gt;$I$1,"",INDEX('근조 화환'!$B$2:$B$501,MATCH(237,'근조 화환'!$G$2:$G$501,0))&amp;"")</f>
        <v/>
      </c>
      <c r="I240" s="19">
        <f>IF(237&gt;$I$1,"",INDEX('근조 화환'!$C$2:$C$501,MATCH(237,'근조 화환'!$G$2:$G$501,0))&amp;"")</f>
        <v/>
      </c>
      <c r="J240" s="19">
        <f>IF(237&gt;$I$1,"",INDEX('근조 화환'!$D$2:$D$501,MATCH(237,'근조 화환'!$G$2:$G$501,0))&amp;"")</f>
        <v/>
      </c>
      <c r="K240" s="19">
        <f>IF(237&gt;$I$1,"",INDEX('근조 화환'!$E$2:$E$501,MATCH(237,'근조 화환'!$G$2:$G$501,0))&amp;"")</f>
        <v/>
      </c>
    </row>
    <row r="241">
      <c r="A241" s="19">
        <f>IF(238&lt;=$F$1,238,"")</f>
        <v/>
      </c>
      <c r="B241" s="19">
        <f>IF($A241="","",INDEX('부의금 입력'!$B$2:$B$1001,MATCH($A241,'부의금 입력'!$H$2:$H$1001,0))&amp;"")</f>
        <v/>
      </c>
      <c r="C241" s="21">
        <f>IF($A241="","",INDEX('부의금 입력'!$C$2:$C$1001,MATCH($A241,'부의금 입력'!$H$2:$H$1001,0)))</f>
        <v/>
      </c>
      <c r="D241" s="19">
        <f>IF($A241="","",INDEX('부의금 입력'!$D$2:$D$1001,MATCH($A241,'부의금 입력'!$H$2:$H$1001,0))&amp;"")</f>
        <v/>
      </c>
      <c r="E241" s="19">
        <f>IF($A241="","",INDEX('부의금 입력'!$E$2:$E$1001,MATCH($A241,'부의금 입력'!$H$2:$H$1001,0))&amp;"")</f>
        <v/>
      </c>
      <c r="H241" s="19">
        <f>IF(238&gt;$I$1,"",INDEX('근조 화환'!$B$2:$B$501,MATCH(238,'근조 화환'!$G$2:$G$501,0))&amp;"")</f>
        <v/>
      </c>
      <c r="I241" s="19">
        <f>IF(238&gt;$I$1,"",INDEX('근조 화환'!$C$2:$C$501,MATCH(238,'근조 화환'!$G$2:$G$501,0))&amp;"")</f>
        <v/>
      </c>
      <c r="J241" s="19">
        <f>IF(238&gt;$I$1,"",INDEX('근조 화환'!$D$2:$D$501,MATCH(238,'근조 화환'!$G$2:$G$501,0))&amp;"")</f>
        <v/>
      </c>
      <c r="K241" s="19">
        <f>IF(238&gt;$I$1,"",INDEX('근조 화환'!$E$2:$E$501,MATCH(238,'근조 화환'!$G$2:$G$501,0))&amp;"")</f>
        <v/>
      </c>
    </row>
    <row r="242">
      <c r="A242" s="19">
        <f>IF(239&lt;=$F$1,239,"")</f>
        <v/>
      </c>
      <c r="B242" s="19">
        <f>IF($A242="","",INDEX('부의금 입력'!$B$2:$B$1001,MATCH($A242,'부의금 입력'!$H$2:$H$1001,0))&amp;"")</f>
        <v/>
      </c>
      <c r="C242" s="21">
        <f>IF($A242="","",INDEX('부의금 입력'!$C$2:$C$1001,MATCH($A242,'부의금 입력'!$H$2:$H$1001,0)))</f>
        <v/>
      </c>
      <c r="D242" s="19">
        <f>IF($A242="","",INDEX('부의금 입력'!$D$2:$D$1001,MATCH($A242,'부의금 입력'!$H$2:$H$1001,0))&amp;"")</f>
        <v/>
      </c>
      <c r="E242" s="19">
        <f>IF($A242="","",INDEX('부의금 입력'!$E$2:$E$1001,MATCH($A242,'부의금 입력'!$H$2:$H$1001,0))&amp;"")</f>
        <v/>
      </c>
      <c r="H242" s="19">
        <f>IF(239&gt;$I$1,"",INDEX('근조 화환'!$B$2:$B$501,MATCH(239,'근조 화환'!$G$2:$G$501,0))&amp;"")</f>
        <v/>
      </c>
      <c r="I242" s="19">
        <f>IF(239&gt;$I$1,"",INDEX('근조 화환'!$C$2:$C$501,MATCH(239,'근조 화환'!$G$2:$G$501,0))&amp;"")</f>
        <v/>
      </c>
      <c r="J242" s="19">
        <f>IF(239&gt;$I$1,"",INDEX('근조 화환'!$D$2:$D$501,MATCH(239,'근조 화환'!$G$2:$G$501,0))&amp;"")</f>
        <v/>
      </c>
      <c r="K242" s="19">
        <f>IF(239&gt;$I$1,"",INDEX('근조 화환'!$E$2:$E$501,MATCH(239,'근조 화환'!$G$2:$G$501,0))&amp;"")</f>
        <v/>
      </c>
    </row>
    <row r="243">
      <c r="A243" s="19">
        <f>IF(240&lt;=$F$1,240,"")</f>
        <v/>
      </c>
      <c r="B243" s="19">
        <f>IF($A243="","",INDEX('부의금 입력'!$B$2:$B$1001,MATCH($A243,'부의금 입력'!$H$2:$H$1001,0))&amp;"")</f>
        <v/>
      </c>
      <c r="C243" s="21">
        <f>IF($A243="","",INDEX('부의금 입력'!$C$2:$C$1001,MATCH($A243,'부의금 입력'!$H$2:$H$1001,0)))</f>
        <v/>
      </c>
      <c r="D243" s="19">
        <f>IF($A243="","",INDEX('부의금 입력'!$D$2:$D$1001,MATCH($A243,'부의금 입력'!$H$2:$H$1001,0))&amp;"")</f>
        <v/>
      </c>
      <c r="E243" s="19">
        <f>IF($A243="","",INDEX('부의금 입력'!$E$2:$E$1001,MATCH($A243,'부의금 입력'!$H$2:$H$1001,0))&amp;"")</f>
        <v/>
      </c>
      <c r="H243" s="19">
        <f>IF(240&gt;$I$1,"",INDEX('근조 화환'!$B$2:$B$501,MATCH(240,'근조 화환'!$G$2:$G$501,0))&amp;"")</f>
        <v/>
      </c>
      <c r="I243" s="19">
        <f>IF(240&gt;$I$1,"",INDEX('근조 화환'!$C$2:$C$501,MATCH(240,'근조 화환'!$G$2:$G$501,0))&amp;"")</f>
        <v/>
      </c>
      <c r="J243" s="19">
        <f>IF(240&gt;$I$1,"",INDEX('근조 화환'!$D$2:$D$501,MATCH(240,'근조 화환'!$G$2:$G$501,0))&amp;"")</f>
        <v/>
      </c>
      <c r="K243" s="19">
        <f>IF(240&gt;$I$1,"",INDEX('근조 화환'!$E$2:$E$501,MATCH(240,'근조 화환'!$G$2:$G$501,0))&amp;"")</f>
        <v/>
      </c>
    </row>
    <row r="244">
      <c r="A244" s="19">
        <f>IF(241&lt;=$F$1,241,"")</f>
        <v/>
      </c>
      <c r="B244" s="19">
        <f>IF($A244="","",INDEX('부의금 입력'!$B$2:$B$1001,MATCH($A244,'부의금 입력'!$H$2:$H$1001,0))&amp;"")</f>
        <v/>
      </c>
      <c r="C244" s="21">
        <f>IF($A244="","",INDEX('부의금 입력'!$C$2:$C$1001,MATCH($A244,'부의금 입력'!$H$2:$H$1001,0)))</f>
        <v/>
      </c>
      <c r="D244" s="19">
        <f>IF($A244="","",INDEX('부의금 입력'!$D$2:$D$1001,MATCH($A244,'부의금 입력'!$H$2:$H$1001,0))&amp;"")</f>
        <v/>
      </c>
      <c r="E244" s="19">
        <f>IF($A244="","",INDEX('부의금 입력'!$E$2:$E$1001,MATCH($A244,'부의금 입력'!$H$2:$H$1001,0))&amp;"")</f>
        <v/>
      </c>
      <c r="H244" s="19">
        <f>IF(241&gt;$I$1,"",INDEX('근조 화환'!$B$2:$B$501,MATCH(241,'근조 화환'!$G$2:$G$501,0))&amp;"")</f>
        <v/>
      </c>
      <c r="I244" s="19">
        <f>IF(241&gt;$I$1,"",INDEX('근조 화환'!$C$2:$C$501,MATCH(241,'근조 화환'!$G$2:$G$501,0))&amp;"")</f>
        <v/>
      </c>
      <c r="J244" s="19">
        <f>IF(241&gt;$I$1,"",INDEX('근조 화환'!$D$2:$D$501,MATCH(241,'근조 화환'!$G$2:$G$501,0))&amp;"")</f>
        <v/>
      </c>
      <c r="K244" s="19">
        <f>IF(241&gt;$I$1,"",INDEX('근조 화환'!$E$2:$E$501,MATCH(241,'근조 화환'!$G$2:$G$501,0))&amp;"")</f>
        <v/>
      </c>
    </row>
    <row r="245">
      <c r="A245" s="19">
        <f>IF(242&lt;=$F$1,242,"")</f>
        <v/>
      </c>
      <c r="B245" s="19">
        <f>IF($A245="","",INDEX('부의금 입력'!$B$2:$B$1001,MATCH($A245,'부의금 입력'!$H$2:$H$1001,0))&amp;"")</f>
        <v/>
      </c>
      <c r="C245" s="21">
        <f>IF($A245="","",INDEX('부의금 입력'!$C$2:$C$1001,MATCH($A245,'부의금 입력'!$H$2:$H$1001,0)))</f>
        <v/>
      </c>
      <c r="D245" s="19">
        <f>IF($A245="","",INDEX('부의금 입력'!$D$2:$D$1001,MATCH($A245,'부의금 입력'!$H$2:$H$1001,0))&amp;"")</f>
        <v/>
      </c>
      <c r="E245" s="19">
        <f>IF($A245="","",INDEX('부의금 입력'!$E$2:$E$1001,MATCH($A245,'부의금 입력'!$H$2:$H$1001,0))&amp;"")</f>
        <v/>
      </c>
      <c r="H245" s="19">
        <f>IF(242&gt;$I$1,"",INDEX('근조 화환'!$B$2:$B$501,MATCH(242,'근조 화환'!$G$2:$G$501,0))&amp;"")</f>
        <v/>
      </c>
      <c r="I245" s="19">
        <f>IF(242&gt;$I$1,"",INDEX('근조 화환'!$C$2:$C$501,MATCH(242,'근조 화환'!$G$2:$G$501,0))&amp;"")</f>
        <v/>
      </c>
      <c r="J245" s="19">
        <f>IF(242&gt;$I$1,"",INDEX('근조 화환'!$D$2:$D$501,MATCH(242,'근조 화환'!$G$2:$G$501,0))&amp;"")</f>
        <v/>
      </c>
      <c r="K245" s="19">
        <f>IF(242&gt;$I$1,"",INDEX('근조 화환'!$E$2:$E$501,MATCH(242,'근조 화환'!$G$2:$G$501,0))&amp;"")</f>
        <v/>
      </c>
    </row>
    <row r="246">
      <c r="A246" s="19">
        <f>IF(243&lt;=$F$1,243,"")</f>
        <v/>
      </c>
      <c r="B246" s="19">
        <f>IF($A246="","",INDEX('부의금 입력'!$B$2:$B$1001,MATCH($A246,'부의금 입력'!$H$2:$H$1001,0))&amp;"")</f>
        <v/>
      </c>
      <c r="C246" s="21">
        <f>IF($A246="","",INDEX('부의금 입력'!$C$2:$C$1001,MATCH($A246,'부의금 입력'!$H$2:$H$1001,0)))</f>
        <v/>
      </c>
      <c r="D246" s="19">
        <f>IF($A246="","",INDEX('부의금 입력'!$D$2:$D$1001,MATCH($A246,'부의금 입력'!$H$2:$H$1001,0))&amp;"")</f>
        <v/>
      </c>
      <c r="E246" s="19">
        <f>IF($A246="","",INDEX('부의금 입력'!$E$2:$E$1001,MATCH($A246,'부의금 입력'!$H$2:$H$1001,0))&amp;"")</f>
        <v/>
      </c>
      <c r="H246" s="19">
        <f>IF(243&gt;$I$1,"",INDEX('근조 화환'!$B$2:$B$501,MATCH(243,'근조 화환'!$G$2:$G$501,0))&amp;"")</f>
        <v/>
      </c>
      <c r="I246" s="19">
        <f>IF(243&gt;$I$1,"",INDEX('근조 화환'!$C$2:$C$501,MATCH(243,'근조 화환'!$G$2:$G$501,0))&amp;"")</f>
        <v/>
      </c>
      <c r="J246" s="19">
        <f>IF(243&gt;$I$1,"",INDEX('근조 화환'!$D$2:$D$501,MATCH(243,'근조 화환'!$G$2:$G$501,0))&amp;"")</f>
        <v/>
      </c>
      <c r="K246" s="19">
        <f>IF(243&gt;$I$1,"",INDEX('근조 화환'!$E$2:$E$501,MATCH(243,'근조 화환'!$G$2:$G$501,0))&amp;"")</f>
        <v/>
      </c>
    </row>
    <row r="247">
      <c r="A247" s="19">
        <f>IF(244&lt;=$F$1,244,"")</f>
        <v/>
      </c>
      <c r="B247" s="19">
        <f>IF($A247="","",INDEX('부의금 입력'!$B$2:$B$1001,MATCH($A247,'부의금 입력'!$H$2:$H$1001,0))&amp;"")</f>
        <v/>
      </c>
      <c r="C247" s="21">
        <f>IF($A247="","",INDEX('부의금 입력'!$C$2:$C$1001,MATCH($A247,'부의금 입력'!$H$2:$H$1001,0)))</f>
        <v/>
      </c>
      <c r="D247" s="19">
        <f>IF($A247="","",INDEX('부의금 입력'!$D$2:$D$1001,MATCH($A247,'부의금 입력'!$H$2:$H$1001,0))&amp;"")</f>
        <v/>
      </c>
      <c r="E247" s="19">
        <f>IF($A247="","",INDEX('부의금 입력'!$E$2:$E$1001,MATCH($A247,'부의금 입력'!$H$2:$H$1001,0))&amp;"")</f>
        <v/>
      </c>
      <c r="H247" s="19">
        <f>IF(244&gt;$I$1,"",INDEX('근조 화환'!$B$2:$B$501,MATCH(244,'근조 화환'!$G$2:$G$501,0))&amp;"")</f>
        <v/>
      </c>
      <c r="I247" s="19">
        <f>IF(244&gt;$I$1,"",INDEX('근조 화환'!$C$2:$C$501,MATCH(244,'근조 화환'!$G$2:$G$501,0))&amp;"")</f>
        <v/>
      </c>
      <c r="J247" s="19">
        <f>IF(244&gt;$I$1,"",INDEX('근조 화환'!$D$2:$D$501,MATCH(244,'근조 화환'!$G$2:$G$501,0))&amp;"")</f>
        <v/>
      </c>
      <c r="K247" s="19">
        <f>IF(244&gt;$I$1,"",INDEX('근조 화환'!$E$2:$E$501,MATCH(244,'근조 화환'!$G$2:$G$501,0))&amp;"")</f>
        <v/>
      </c>
    </row>
    <row r="248">
      <c r="A248" s="19">
        <f>IF(245&lt;=$F$1,245,"")</f>
        <v/>
      </c>
      <c r="B248" s="19">
        <f>IF($A248="","",INDEX('부의금 입력'!$B$2:$B$1001,MATCH($A248,'부의금 입력'!$H$2:$H$1001,0))&amp;"")</f>
        <v/>
      </c>
      <c r="C248" s="21">
        <f>IF($A248="","",INDEX('부의금 입력'!$C$2:$C$1001,MATCH($A248,'부의금 입력'!$H$2:$H$1001,0)))</f>
        <v/>
      </c>
      <c r="D248" s="19">
        <f>IF($A248="","",INDEX('부의금 입력'!$D$2:$D$1001,MATCH($A248,'부의금 입력'!$H$2:$H$1001,0))&amp;"")</f>
        <v/>
      </c>
      <c r="E248" s="19">
        <f>IF($A248="","",INDEX('부의금 입력'!$E$2:$E$1001,MATCH($A248,'부의금 입력'!$H$2:$H$1001,0))&amp;"")</f>
        <v/>
      </c>
      <c r="H248" s="19">
        <f>IF(245&gt;$I$1,"",INDEX('근조 화환'!$B$2:$B$501,MATCH(245,'근조 화환'!$G$2:$G$501,0))&amp;"")</f>
        <v/>
      </c>
      <c r="I248" s="19">
        <f>IF(245&gt;$I$1,"",INDEX('근조 화환'!$C$2:$C$501,MATCH(245,'근조 화환'!$G$2:$G$501,0))&amp;"")</f>
        <v/>
      </c>
      <c r="J248" s="19">
        <f>IF(245&gt;$I$1,"",INDEX('근조 화환'!$D$2:$D$501,MATCH(245,'근조 화환'!$G$2:$G$501,0))&amp;"")</f>
        <v/>
      </c>
      <c r="K248" s="19">
        <f>IF(245&gt;$I$1,"",INDEX('근조 화환'!$E$2:$E$501,MATCH(245,'근조 화환'!$G$2:$G$501,0))&amp;"")</f>
        <v/>
      </c>
    </row>
    <row r="249">
      <c r="A249" s="19">
        <f>IF(246&lt;=$F$1,246,"")</f>
        <v/>
      </c>
      <c r="B249" s="19">
        <f>IF($A249="","",INDEX('부의금 입력'!$B$2:$B$1001,MATCH($A249,'부의금 입력'!$H$2:$H$1001,0))&amp;"")</f>
        <v/>
      </c>
      <c r="C249" s="21">
        <f>IF($A249="","",INDEX('부의금 입력'!$C$2:$C$1001,MATCH($A249,'부의금 입력'!$H$2:$H$1001,0)))</f>
        <v/>
      </c>
      <c r="D249" s="19">
        <f>IF($A249="","",INDEX('부의금 입력'!$D$2:$D$1001,MATCH($A249,'부의금 입력'!$H$2:$H$1001,0))&amp;"")</f>
        <v/>
      </c>
      <c r="E249" s="19">
        <f>IF($A249="","",INDEX('부의금 입력'!$E$2:$E$1001,MATCH($A249,'부의금 입력'!$H$2:$H$1001,0))&amp;"")</f>
        <v/>
      </c>
      <c r="H249" s="19">
        <f>IF(246&gt;$I$1,"",INDEX('근조 화환'!$B$2:$B$501,MATCH(246,'근조 화환'!$G$2:$G$501,0))&amp;"")</f>
        <v/>
      </c>
      <c r="I249" s="19">
        <f>IF(246&gt;$I$1,"",INDEX('근조 화환'!$C$2:$C$501,MATCH(246,'근조 화환'!$G$2:$G$501,0))&amp;"")</f>
        <v/>
      </c>
      <c r="J249" s="19">
        <f>IF(246&gt;$I$1,"",INDEX('근조 화환'!$D$2:$D$501,MATCH(246,'근조 화환'!$G$2:$G$501,0))&amp;"")</f>
        <v/>
      </c>
      <c r="K249" s="19">
        <f>IF(246&gt;$I$1,"",INDEX('근조 화환'!$E$2:$E$501,MATCH(246,'근조 화환'!$G$2:$G$501,0))&amp;"")</f>
        <v/>
      </c>
    </row>
    <row r="250">
      <c r="A250" s="19">
        <f>IF(247&lt;=$F$1,247,"")</f>
        <v/>
      </c>
      <c r="B250" s="19">
        <f>IF($A250="","",INDEX('부의금 입력'!$B$2:$B$1001,MATCH($A250,'부의금 입력'!$H$2:$H$1001,0))&amp;"")</f>
        <v/>
      </c>
      <c r="C250" s="21">
        <f>IF($A250="","",INDEX('부의금 입력'!$C$2:$C$1001,MATCH($A250,'부의금 입력'!$H$2:$H$1001,0)))</f>
        <v/>
      </c>
      <c r="D250" s="19">
        <f>IF($A250="","",INDEX('부의금 입력'!$D$2:$D$1001,MATCH($A250,'부의금 입력'!$H$2:$H$1001,0))&amp;"")</f>
        <v/>
      </c>
      <c r="E250" s="19">
        <f>IF($A250="","",INDEX('부의금 입력'!$E$2:$E$1001,MATCH($A250,'부의금 입력'!$H$2:$H$1001,0))&amp;"")</f>
        <v/>
      </c>
      <c r="H250" s="19">
        <f>IF(247&gt;$I$1,"",INDEX('근조 화환'!$B$2:$B$501,MATCH(247,'근조 화환'!$G$2:$G$501,0))&amp;"")</f>
        <v/>
      </c>
      <c r="I250" s="19">
        <f>IF(247&gt;$I$1,"",INDEX('근조 화환'!$C$2:$C$501,MATCH(247,'근조 화환'!$G$2:$G$501,0))&amp;"")</f>
        <v/>
      </c>
      <c r="J250" s="19">
        <f>IF(247&gt;$I$1,"",INDEX('근조 화환'!$D$2:$D$501,MATCH(247,'근조 화환'!$G$2:$G$501,0))&amp;"")</f>
        <v/>
      </c>
      <c r="K250" s="19">
        <f>IF(247&gt;$I$1,"",INDEX('근조 화환'!$E$2:$E$501,MATCH(247,'근조 화환'!$G$2:$G$501,0))&amp;"")</f>
        <v/>
      </c>
    </row>
    <row r="251">
      <c r="A251" s="19">
        <f>IF(248&lt;=$F$1,248,"")</f>
        <v/>
      </c>
      <c r="B251" s="19">
        <f>IF($A251="","",INDEX('부의금 입력'!$B$2:$B$1001,MATCH($A251,'부의금 입력'!$H$2:$H$1001,0))&amp;"")</f>
        <v/>
      </c>
      <c r="C251" s="21">
        <f>IF($A251="","",INDEX('부의금 입력'!$C$2:$C$1001,MATCH($A251,'부의금 입력'!$H$2:$H$1001,0)))</f>
        <v/>
      </c>
      <c r="D251" s="19">
        <f>IF($A251="","",INDEX('부의금 입력'!$D$2:$D$1001,MATCH($A251,'부의금 입력'!$H$2:$H$1001,0))&amp;"")</f>
        <v/>
      </c>
      <c r="E251" s="19">
        <f>IF($A251="","",INDEX('부의금 입력'!$E$2:$E$1001,MATCH($A251,'부의금 입력'!$H$2:$H$1001,0))&amp;"")</f>
        <v/>
      </c>
      <c r="H251" s="19">
        <f>IF(248&gt;$I$1,"",INDEX('근조 화환'!$B$2:$B$501,MATCH(248,'근조 화환'!$G$2:$G$501,0))&amp;"")</f>
        <v/>
      </c>
      <c r="I251" s="19">
        <f>IF(248&gt;$I$1,"",INDEX('근조 화환'!$C$2:$C$501,MATCH(248,'근조 화환'!$G$2:$G$501,0))&amp;"")</f>
        <v/>
      </c>
      <c r="J251" s="19">
        <f>IF(248&gt;$I$1,"",INDEX('근조 화환'!$D$2:$D$501,MATCH(248,'근조 화환'!$G$2:$G$501,0))&amp;"")</f>
        <v/>
      </c>
      <c r="K251" s="19">
        <f>IF(248&gt;$I$1,"",INDEX('근조 화환'!$E$2:$E$501,MATCH(248,'근조 화환'!$G$2:$G$501,0))&amp;"")</f>
        <v/>
      </c>
    </row>
    <row r="252">
      <c r="A252" s="19">
        <f>IF(249&lt;=$F$1,249,"")</f>
        <v/>
      </c>
      <c r="B252" s="19">
        <f>IF($A252="","",INDEX('부의금 입력'!$B$2:$B$1001,MATCH($A252,'부의금 입력'!$H$2:$H$1001,0))&amp;"")</f>
        <v/>
      </c>
      <c r="C252" s="21">
        <f>IF($A252="","",INDEX('부의금 입력'!$C$2:$C$1001,MATCH($A252,'부의금 입력'!$H$2:$H$1001,0)))</f>
        <v/>
      </c>
      <c r="D252" s="19">
        <f>IF($A252="","",INDEX('부의금 입력'!$D$2:$D$1001,MATCH($A252,'부의금 입력'!$H$2:$H$1001,0))&amp;"")</f>
        <v/>
      </c>
      <c r="E252" s="19">
        <f>IF($A252="","",INDEX('부의금 입력'!$E$2:$E$1001,MATCH($A252,'부의금 입력'!$H$2:$H$1001,0))&amp;"")</f>
        <v/>
      </c>
      <c r="H252" s="19">
        <f>IF(249&gt;$I$1,"",INDEX('근조 화환'!$B$2:$B$501,MATCH(249,'근조 화환'!$G$2:$G$501,0))&amp;"")</f>
        <v/>
      </c>
      <c r="I252" s="19">
        <f>IF(249&gt;$I$1,"",INDEX('근조 화환'!$C$2:$C$501,MATCH(249,'근조 화환'!$G$2:$G$501,0))&amp;"")</f>
        <v/>
      </c>
      <c r="J252" s="19">
        <f>IF(249&gt;$I$1,"",INDEX('근조 화환'!$D$2:$D$501,MATCH(249,'근조 화환'!$G$2:$G$501,0))&amp;"")</f>
        <v/>
      </c>
      <c r="K252" s="19">
        <f>IF(249&gt;$I$1,"",INDEX('근조 화환'!$E$2:$E$501,MATCH(249,'근조 화환'!$G$2:$G$501,0))&amp;"")</f>
        <v/>
      </c>
    </row>
    <row r="253">
      <c r="A253" s="19">
        <f>IF(250&lt;=$F$1,250,"")</f>
        <v/>
      </c>
      <c r="B253" s="19">
        <f>IF($A253="","",INDEX('부의금 입력'!$B$2:$B$1001,MATCH($A253,'부의금 입력'!$H$2:$H$1001,0))&amp;"")</f>
        <v/>
      </c>
      <c r="C253" s="21">
        <f>IF($A253="","",INDEX('부의금 입력'!$C$2:$C$1001,MATCH($A253,'부의금 입력'!$H$2:$H$1001,0)))</f>
        <v/>
      </c>
      <c r="D253" s="19">
        <f>IF($A253="","",INDEX('부의금 입력'!$D$2:$D$1001,MATCH($A253,'부의금 입력'!$H$2:$H$1001,0))&amp;"")</f>
        <v/>
      </c>
      <c r="E253" s="19">
        <f>IF($A253="","",INDEX('부의금 입력'!$E$2:$E$1001,MATCH($A253,'부의금 입력'!$H$2:$H$1001,0))&amp;"")</f>
        <v/>
      </c>
      <c r="H253" s="19">
        <f>IF(250&gt;$I$1,"",INDEX('근조 화환'!$B$2:$B$501,MATCH(250,'근조 화환'!$G$2:$G$501,0))&amp;"")</f>
        <v/>
      </c>
      <c r="I253" s="19">
        <f>IF(250&gt;$I$1,"",INDEX('근조 화환'!$C$2:$C$501,MATCH(250,'근조 화환'!$G$2:$G$501,0))&amp;"")</f>
        <v/>
      </c>
      <c r="J253" s="19">
        <f>IF(250&gt;$I$1,"",INDEX('근조 화환'!$D$2:$D$501,MATCH(250,'근조 화환'!$G$2:$G$501,0))&amp;"")</f>
        <v/>
      </c>
      <c r="K253" s="19">
        <f>IF(250&gt;$I$1,"",INDEX('근조 화환'!$E$2:$E$501,MATCH(250,'근조 화환'!$G$2:$G$501,0))&amp;"")</f>
        <v/>
      </c>
    </row>
    <row r="254">
      <c r="A254" s="19">
        <f>IF(251&lt;=$F$1,251,"")</f>
        <v/>
      </c>
      <c r="B254" s="19">
        <f>IF($A254="","",INDEX('부의금 입력'!$B$2:$B$1001,MATCH($A254,'부의금 입력'!$H$2:$H$1001,0))&amp;"")</f>
        <v/>
      </c>
      <c r="C254" s="21">
        <f>IF($A254="","",INDEX('부의금 입력'!$C$2:$C$1001,MATCH($A254,'부의금 입력'!$H$2:$H$1001,0)))</f>
        <v/>
      </c>
      <c r="D254" s="19">
        <f>IF($A254="","",INDEX('부의금 입력'!$D$2:$D$1001,MATCH($A254,'부의금 입력'!$H$2:$H$1001,0))&amp;"")</f>
        <v/>
      </c>
      <c r="E254" s="19">
        <f>IF($A254="","",INDEX('부의금 입력'!$E$2:$E$1001,MATCH($A254,'부의금 입력'!$H$2:$H$1001,0))&amp;"")</f>
        <v/>
      </c>
      <c r="H254" s="19">
        <f>IF(251&gt;$I$1,"",INDEX('근조 화환'!$B$2:$B$501,MATCH(251,'근조 화환'!$G$2:$G$501,0))&amp;"")</f>
        <v/>
      </c>
      <c r="I254" s="19">
        <f>IF(251&gt;$I$1,"",INDEX('근조 화환'!$C$2:$C$501,MATCH(251,'근조 화환'!$G$2:$G$501,0))&amp;"")</f>
        <v/>
      </c>
      <c r="J254" s="19">
        <f>IF(251&gt;$I$1,"",INDEX('근조 화환'!$D$2:$D$501,MATCH(251,'근조 화환'!$G$2:$G$501,0))&amp;"")</f>
        <v/>
      </c>
      <c r="K254" s="19">
        <f>IF(251&gt;$I$1,"",INDEX('근조 화환'!$E$2:$E$501,MATCH(251,'근조 화환'!$G$2:$G$501,0))&amp;"")</f>
        <v/>
      </c>
    </row>
    <row r="255">
      <c r="A255" s="19">
        <f>IF(252&lt;=$F$1,252,"")</f>
        <v/>
      </c>
      <c r="B255" s="19">
        <f>IF($A255="","",INDEX('부의금 입력'!$B$2:$B$1001,MATCH($A255,'부의금 입력'!$H$2:$H$1001,0))&amp;"")</f>
        <v/>
      </c>
      <c r="C255" s="21">
        <f>IF($A255="","",INDEX('부의금 입력'!$C$2:$C$1001,MATCH($A255,'부의금 입력'!$H$2:$H$1001,0)))</f>
        <v/>
      </c>
      <c r="D255" s="19">
        <f>IF($A255="","",INDEX('부의금 입력'!$D$2:$D$1001,MATCH($A255,'부의금 입력'!$H$2:$H$1001,0))&amp;"")</f>
        <v/>
      </c>
      <c r="E255" s="19">
        <f>IF($A255="","",INDEX('부의금 입력'!$E$2:$E$1001,MATCH($A255,'부의금 입력'!$H$2:$H$1001,0))&amp;"")</f>
        <v/>
      </c>
      <c r="H255" s="19">
        <f>IF(252&gt;$I$1,"",INDEX('근조 화환'!$B$2:$B$501,MATCH(252,'근조 화환'!$G$2:$G$501,0))&amp;"")</f>
        <v/>
      </c>
      <c r="I255" s="19">
        <f>IF(252&gt;$I$1,"",INDEX('근조 화환'!$C$2:$C$501,MATCH(252,'근조 화환'!$G$2:$G$501,0))&amp;"")</f>
        <v/>
      </c>
      <c r="J255" s="19">
        <f>IF(252&gt;$I$1,"",INDEX('근조 화환'!$D$2:$D$501,MATCH(252,'근조 화환'!$G$2:$G$501,0))&amp;"")</f>
        <v/>
      </c>
      <c r="K255" s="19">
        <f>IF(252&gt;$I$1,"",INDEX('근조 화환'!$E$2:$E$501,MATCH(252,'근조 화환'!$G$2:$G$501,0))&amp;"")</f>
        <v/>
      </c>
    </row>
    <row r="256">
      <c r="A256" s="19">
        <f>IF(253&lt;=$F$1,253,"")</f>
        <v/>
      </c>
      <c r="B256" s="19">
        <f>IF($A256="","",INDEX('부의금 입력'!$B$2:$B$1001,MATCH($A256,'부의금 입력'!$H$2:$H$1001,0))&amp;"")</f>
        <v/>
      </c>
      <c r="C256" s="21">
        <f>IF($A256="","",INDEX('부의금 입력'!$C$2:$C$1001,MATCH($A256,'부의금 입력'!$H$2:$H$1001,0)))</f>
        <v/>
      </c>
      <c r="D256" s="19">
        <f>IF($A256="","",INDEX('부의금 입력'!$D$2:$D$1001,MATCH($A256,'부의금 입력'!$H$2:$H$1001,0))&amp;"")</f>
        <v/>
      </c>
      <c r="E256" s="19">
        <f>IF($A256="","",INDEX('부의금 입력'!$E$2:$E$1001,MATCH($A256,'부의금 입력'!$H$2:$H$1001,0))&amp;"")</f>
        <v/>
      </c>
      <c r="H256" s="19">
        <f>IF(253&gt;$I$1,"",INDEX('근조 화환'!$B$2:$B$501,MATCH(253,'근조 화환'!$G$2:$G$501,0))&amp;"")</f>
        <v/>
      </c>
      <c r="I256" s="19">
        <f>IF(253&gt;$I$1,"",INDEX('근조 화환'!$C$2:$C$501,MATCH(253,'근조 화환'!$G$2:$G$501,0))&amp;"")</f>
        <v/>
      </c>
      <c r="J256" s="19">
        <f>IF(253&gt;$I$1,"",INDEX('근조 화환'!$D$2:$D$501,MATCH(253,'근조 화환'!$G$2:$G$501,0))&amp;"")</f>
        <v/>
      </c>
      <c r="K256" s="19">
        <f>IF(253&gt;$I$1,"",INDEX('근조 화환'!$E$2:$E$501,MATCH(253,'근조 화환'!$G$2:$G$501,0))&amp;"")</f>
        <v/>
      </c>
    </row>
    <row r="257">
      <c r="A257" s="19">
        <f>IF(254&lt;=$F$1,254,"")</f>
        <v/>
      </c>
      <c r="B257" s="19">
        <f>IF($A257="","",INDEX('부의금 입력'!$B$2:$B$1001,MATCH($A257,'부의금 입력'!$H$2:$H$1001,0))&amp;"")</f>
        <v/>
      </c>
      <c r="C257" s="21">
        <f>IF($A257="","",INDEX('부의금 입력'!$C$2:$C$1001,MATCH($A257,'부의금 입력'!$H$2:$H$1001,0)))</f>
        <v/>
      </c>
      <c r="D257" s="19">
        <f>IF($A257="","",INDEX('부의금 입력'!$D$2:$D$1001,MATCH($A257,'부의금 입력'!$H$2:$H$1001,0))&amp;"")</f>
        <v/>
      </c>
      <c r="E257" s="19">
        <f>IF($A257="","",INDEX('부의금 입력'!$E$2:$E$1001,MATCH($A257,'부의금 입력'!$H$2:$H$1001,0))&amp;"")</f>
        <v/>
      </c>
      <c r="H257" s="19">
        <f>IF(254&gt;$I$1,"",INDEX('근조 화환'!$B$2:$B$501,MATCH(254,'근조 화환'!$G$2:$G$501,0))&amp;"")</f>
        <v/>
      </c>
      <c r="I257" s="19">
        <f>IF(254&gt;$I$1,"",INDEX('근조 화환'!$C$2:$C$501,MATCH(254,'근조 화환'!$G$2:$G$501,0))&amp;"")</f>
        <v/>
      </c>
      <c r="J257" s="19">
        <f>IF(254&gt;$I$1,"",INDEX('근조 화환'!$D$2:$D$501,MATCH(254,'근조 화환'!$G$2:$G$501,0))&amp;"")</f>
        <v/>
      </c>
      <c r="K257" s="19">
        <f>IF(254&gt;$I$1,"",INDEX('근조 화환'!$E$2:$E$501,MATCH(254,'근조 화환'!$G$2:$G$501,0))&amp;"")</f>
        <v/>
      </c>
    </row>
    <row r="258">
      <c r="A258" s="19">
        <f>IF(255&lt;=$F$1,255,"")</f>
        <v/>
      </c>
      <c r="B258" s="19">
        <f>IF($A258="","",INDEX('부의금 입력'!$B$2:$B$1001,MATCH($A258,'부의금 입력'!$H$2:$H$1001,0))&amp;"")</f>
        <v/>
      </c>
      <c r="C258" s="21">
        <f>IF($A258="","",INDEX('부의금 입력'!$C$2:$C$1001,MATCH($A258,'부의금 입력'!$H$2:$H$1001,0)))</f>
        <v/>
      </c>
      <c r="D258" s="19">
        <f>IF($A258="","",INDEX('부의금 입력'!$D$2:$D$1001,MATCH($A258,'부의금 입력'!$H$2:$H$1001,0))&amp;"")</f>
        <v/>
      </c>
      <c r="E258" s="19">
        <f>IF($A258="","",INDEX('부의금 입력'!$E$2:$E$1001,MATCH($A258,'부의금 입력'!$H$2:$H$1001,0))&amp;"")</f>
        <v/>
      </c>
      <c r="H258" s="19">
        <f>IF(255&gt;$I$1,"",INDEX('근조 화환'!$B$2:$B$501,MATCH(255,'근조 화환'!$G$2:$G$501,0))&amp;"")</f>
        <v/>
      </c>
      <c r="I258" s="19">
        <f>IF(255&gt;$I$1,"",INDEX('근조 화환'!$C$2:$C$501,MATCH(255,'근조 화환'!$G$2:$G$501,0))&amp;"")</f>
        <v/>
      </c>
      <c r="J258" s="19">
        <f>IF(255&gt;$I$1,"",INDEX('근조 화환'!$D$2:$D$501,MATCH(255,'근조 화환'!$G$2:$G$501,0))&amp;"")</f>
        <v/>
      </c>
      <c r="K258" s="19">
        <f>IF(255&gt;$I$1,"",INDEX('근조 화환'!$E$2:$E$501,MATCH(255,'근조 화환'!$G$2:$G$501,0))&amp;"")</f>
        <v/>
      </c>
    </row>
    <row r="259">
      <c r="A259" s="19">
        <f>IF(256&lt;=$F$1,256,"")</f>
        <v/>
      </c>
      <c r="B259" s="19">
        <f>IF($A259="","",INDEX('부의금 입력'!$B$2:$B$1001,MATCH($A259,'부의금 입력'!$H$2:$H$1001,0))&amp;"")</f>
        <v/>
      </c>
      <c r="C259" s="21">
        <f>IF($A259="","",INDEX('부의금 입력'!$C$2:$C$1001,MATCH($A259,'부의금 입력'!$H$2:$H$1001,0)))</f>
        <v/>
      </c>
      <c r="D259" s="19">
        <f>IF($A259="","",INDEX('부의금 입력'!$D$2:$D$1001,MATCH($A259,'부의금 입력'!$H$2:$H$1001,0))&amp;"")</f>
        <v/>
      </c>
      <c r="E259" s="19">
        <f>IF($A259="","",INDEX('부의금 입력'!$E$2:$E$1001,MATCH($A259,'부의금 입력'!$H$2:$H$1001,0))&amp;"")</f>
        <v/>
      </c>
      <c r="H259" s="19">
        <f>IF(256&gt;$I$1,"",INDEX('근조 화환'!$B$2:$B$501,MATCH(256,'근조 화환'!$G$2:$G$501,0))&amp;"")</f>
        <v/>
      </c>
      <c r="I259" s="19">
        <f>IF(256&gt;$I$1,"",INDEX('근조 화환'!$C$2:$C$501,MATCH(256,'근조 화환'!$G$2:$G$501,0))&amp;"")</f>
        <v/>
      </c>
      <c r="J259" s="19">
        <f>IF(256&gt;$I$1,"",INDEX('근조 화환'!$D$2:$D$501,MATCH(256,'근조 화환'!$G$2:$G$501,0))&amp;"")</f>
        <v/>
      </c>
      <c r="K259" s="19">
        <f>IF(256&gt;$I$1,"",INDEX('근조 화환'!$E$2:$E$501,MATCH(256,'근조 화환'!$G$2:$G$501,0))&amp;"")</f>
        <v/>
      </c>
    </row>
    <row r="260">
      <c r="A260" s="19">
        <f>IF(257&lt;=$F$1,257,"")</f>
        <v/>
      </c>
      <c r="B260" s="19">
        <f>IF($A260="","",INDEX('부의금 입력'!$B$2:$B$1001,MATCH($A260,'부의금 입력'!$H$2:$H$1001,0))&amp;"")</f>
        <v/>
      </c>
      <c r="C260" s="21">
        <f>IF($A260="","",INDEX('부의금 입력'!$C$2:$C$1001,MATCH($A260,'부의금 입력'!$H$2:$H$1001,0)))</f>
        <v/>
      </c>
      <c r="D260" s="19">
        <f>IF($A260="","",INDEX('부의금 입력'!$D$2:$D$1001,MATCH($A260,'부의금 입력'!$H$2:$H$1001,0))&amp;"")</f>
        <v/>
      </c>
      <c r="E260" s="19">
        <f>IF($A260="","",INDEX('부의금 입력'!$E$2:$E$1001,MATCH($A260,'부의금 입력'!$H$2:$H$1001,0))&amp;"")</f>
        <v/>
      </c>
      <c r="H260" s="19">
        <f>IF(257&gt;$I$1,"",INDEX('근조 화환'!$B$2:$B$501,MATCH(257,'근조 화환'!$G$2:$G$501,0))&amp;"")</f>
        <v/>
      </c>
      <c r="I260" s="19">
        <f>IF(257&gt;$I$1,"",INDEX('근조 화환'!$C$2:$C$501,MATCH(257,'근조 화환'!$G$2:$G$501,0))&amp;"")</f>
        <v/>
      </c>
      <c r="J260" s="19">
        <f>IF(257&gt;$I$1,"",INDEX('근조 화환'!$D$2:$D$501,MATCH(257,'근조 화환'!$G$2:$G$501,0))&amp;"")</f>
        <v/>
      </c>
      <c r="K260" s="19">
        <f>IF(257&gt;$I$1,"",INDEX('근조 화환'!$E$2:$E$501,MATCH(257,'근조 화환'!$G$2:$G$501,0))&amp;"")</f>
        <v/>
      </c>
    </row>
    <row r="261">
      <c r="A261" s="19">
        <f>IF(258&lt;=$F$1,258,"")</f>
        <v/>
      </c>
      <c r="B261" s="19">
        <f>IF($A261="","",INDEX('부의금 입력'!$B$2:$B$1001,MATCH($A261,'부의금 입력'!$H$2:$H$1001,0))&amp;"")</f>
        <v/>
      </c>
      <c r="C261" s="21">
        <f>IF($A261="","",INDEX('부의금 입력'!$C$2:$C$1001,MATCH($A261,'부의금 입력'!$H$2:$H$1001,0)))</f>
        <v/>
      </c>
      <c r="D261" s="19">
        <f>IF($A261="","",INDEX('부의금 입력'!$D$2:$D$1001,MATCH($A261,'부의금 입력'!$H$2:$H$1001,0))&amp;"")</f>
        <v/>
      </c>
      <c r="E261" s="19">
        <f>IF($A261="","",INDEX('부의금 입력'!$E$2:$E$1001,MATCH($A261,'부의금 입력'!$H$2:$H$1001,0))&amp;"")</f>
        <v/>
      </c>
      <c r="H261" s="19">
        <f>IF(258&gt;$I$1,"",INDEX('근조 화환'!$B$2:$B$501,MATCH(258,'근조 화환'!$G$2:$G$501,0))&amp;"")</f>
        <v/>
      </c>
      <c r="I261" s="19">
        <f>IF(258&gt;$I$1,"",INDEX('근조 화환'!$C$2:$C$501,MATCH(258,'근조 화환'!$G$2:$G$501,0))&amp;"")</f>
        <v/>
      </c>
      <c r="J261" s="19">
        <f>IF(258&gt;$I$1,"",INDEX('근조 화환'!$D$2:$D$501,MATCH(258,'근조 화환'!$G$2:$G$501,0))&amp;"")</f>
        <v/>
      </c>
      <c r="K261" s="19">
        <f>IF(258&gt;$I$1,"",INDEX('근조 화환'!$E$2:$E$501,MATCH(258,'근조 화환'!$G$2:$G$501,0))&amp;"")</f>
        <v/>
      </c>
    </row>
    <row r="262">
      <c r="A262" s="19">
        <f>IF(259&lt;=$F$1,259,"")</f>
        <v/>
      </c>
      <c r="B262" s="19">
        <f>IF($A262="","",INDEX('부의금 입력'!$B$2:$B$1001,MATCH($A262,'부의금 입력'!$H$2:$H$1001,0))&amp;"")</f>
        <v/>
      </c>
      <c r="C262" s="21">
        <f>IF($A262="","",INDEX('부의금 입력'!$C$2:$C$1001,MATCH($A262,'부의금 입력'!$H$2:$H$1001,0)))</f>
        <v/>
      </c>
      <c r="D262" s="19">
        <f>IF($A262="","",INDEX('부의금 입력'!$D$2:$D$1001,MATCH($A262,'부의금 입력'!$H$2:$H$1001,0))&amp;"")</f>
        <v/>
      </c>
      <c r="E262" s="19">
        <f>IF($A262="","",INDEX('부의금 입력'!$E$2:$E$1001,MATCH($A262,'부의금 입력'!$H$2:$H$1001,0))&amp;"")</f>
        <v/>
      </c>
      <c r="H262" s="19">
        <f>IF(259&gt;$I$1,"",INDEX('근조 화환'!$B$2:$B$501,MATCH(259,'근조 화환'!$G$2:$G$501,0))&amp;"")</f>
        <v/>
      </c>
      <c r="I262" s="19">
        <f>IF(259&gt;$I$1,"",INDEX('근조 화환'!$C$2:$C$501,MATCH(259,'근조 화환'!$G$2:$G$501,0))&amp;"")</f>
        <v/>
      </c>
      <c r="J262" s="19">
        <f>IF(259&gt;$I$1,"",INDEX('근조 화환'!$D$2:$D$501,MATCH(259,'근조 화환'!$G$2:$G$501,0))&amp;"")</f>
        <v/>
      </c>
      <c r="K262" s="19">
        <f>IF(259&gt;$I$1,"",INDEX('근조 화환'!$E$2:$E$501,MATCH(259,'근조 화환'!$G$2:$G$501,0))&amp;"")</f>
        <v/>
      </c>
    </row>
    <row r="263">
      <c r="A263" s="19">
        <f>IF(260&lt;=$F$1,260,"")</f>
        <v/>
      </c>
      <c r="B263" s="19">
        <f>IF($A263="","",INDEX('부의금 입력'!$B$2:$B$1001,MATCH($A263,'부의금 입력'!$H$2:$H$1001,0))&amp;"")</f>
        <v/>
      </c>
      <c r="C263" s="21">
        <f>IF($A263="","",INDEX('부의금 입력'!$C$2:$C$1001,MATCH($A263,'부의금 입력'!$H$2:$H$1001,0)))</f>
        <v/>
      </c>
      <c r="D263" s="19">
        <f>IF($A263="","",INDEX('부의금 입력'!$D$2:$D$1001,MATCH($A263,'부의금 입력'!$H$2:$H$1001,0))&amp;"")</f>
        <v/>
      </c>
      <c r="E263" s="19">
        <f>IF($A263="","",INDEX('부의금 입력'!$E$2:$E$1001,MATCH($A263,'부의금 입력'!$H$2:$H$1001,0))&amp;"")</f>
        <v/>
      </c>
      <c r="H263" s="19">
        <f>IF(260&gt;$I$1,"",INDEX('근조 화환'!$B$2:$B$501,MATCH(260,'근조 화환'!$G$2:$G$501,0))&amp;"")</f>
        <v/>
      </c>
      <c r="I263" s="19">
        <f>IF(260&gt;$I$1,"",INDEX('근조 화환'!$C$2:$C$501,MATCH(260,'근조 화환'!$G$2:$G$501,0))&amp;"")</f>
        <v/>
      </c>
      <c r="J263" s="19">
        <f>IF(260&gt;$I$1,"",INDEX('근조 화환'!$D$2:$D$501,MATCH(260,'근조 화환'!$G$2:$G$501,0))&amp;"")</f>
        <v/>
      </c>
      <c r="K263" s="19">
        <f>IF(260&gt;$I$1,"",INDEX('근조 화환'!$E$2:$E$501,MATCH(260,'근조 화환'!$G$2:$G$501,0))&amp;"")</f>
        <v/>
      </c>
    </row>
    <row r="264">
      <c r="A264" s="19">
        <f>IF(261&lt;=$F$1,261,"")</f>
        <v/>
      </c>
      <c r="B264" s="19">
        <f>IF($A264="","",INDEX('부의금 입력'!$B$2:$B$1001,MATCH($A264,'부의금 입력'!$H$2:$H$1001,0))&amp;"")</f>
        <v/>
      </c>
      <c r="C264" s="21">
        <f>IF($A264="","",INDEX('부의금 입력'!$C$2:$C$1001,MATCH($A264,'부의금 입력'!$H$2:$H$1001,0)))</f>
        <v/>
      </c>
      <c r="D264" s="19">
        <f>IF($A264="","",INDEX('부의금 입력'!$D$2:$D$1001,MATCH($A264,'부의금 입력'!$H$2:$H$1001,0))&amp;"")</f>
        <v/>
      </c>
      <c r="E264" s="19">
        <f>IF($A264="","",INDEX('부의금 입력'!$E$2:$E$1001,MATCH($A264,'부의금 입력'!$H$2:$H$1001,0))&amp;"")</f>
        <v/>
      </c>
      <c r="H264" s="19">
        <f>IF(261&gt;$I$1,"",INDEX('근조 화환'!$B$2:$B$501,MATCH(261,'근조 화환'!$G$2:$G$501,0))&amp;"")</f>
        <v/>
      </c>
      <c r="I264" s="19">
        <f>IF(261&gt;$I$1,"",INDEX('근조 화환'!$C$2:$C$501,MATCH(261,'근조 화환'!$G$2:$G$501,0))&amp;"")</f>
        <v/>
      </c>
      <c r="J264" s="19">
        <f>IF(261&gt;$I$1,"",INDEX('근조 화환'!$D$2:$D$501,MATCH(261,'근조 화환'!$G$2:$G$501,0))&amp;"")</f>
        <v/>
      </c>
      <c r="K264" s="19">
        <f>IF(261&gt;$I$1,"",INDEX('근조 화환'!$E$2:$E$501,MATCH(261,'근조 화환'!$G$2:$G$501,0))&amp;"")</f>
        <v/>
      </c>
    </row>
    <row r="265">
      <c r="A265" s="19">
        <f>IF(262&lt;=$F$1,262,"")</f>
        <v/>
      </c>
      <c r="B265" s="19">
        <f>IF($A265="","",INDEX('부의금 입력'!$B$2:$B$1001,MATCH($A265,'부의금 입력'!$H$2:$H$1001,0))&amp;"")</f>
        <v/>
      </c>
      <c r="C265" s="21">
        <f>IF($A265="","",INDEX('부의금 입력'!$C$2:$C$1001,MATCH($A265,'부의금 입력'!$H$2:$H$1001,0)))</f>
        <v/>
      </c>
      <c r="D265" s="19">
        <f>IF($A265="","",INDEX('부의금 입력'!$D$2:$D$1001,MATCH($A265,'부의금 입력'!$H$2:$H$1001,0))&amp;"")</f>
        <v/>
      </c>
      <c r="E265" s="19">
        <f>IF($A265="","",INDEX('부의금 입력'!$E$2:$E$1001,MATCH($A265,'부의금 입력'!$H$2:$H$1001,0))&amp;"")</f>
        <v/>
      </c>
      <c r="H265" s="19">
        <f>IF(262&gt;$I$1,"",INDEX('근조 화환'!$B$2:$B$501,MATCH(262,'근조 화환'!$G$2:$G$501,0))&amp;"")</f>
        <v/>
      </c>
      <c r="I265" s="19">
        <f>IF(262&gt;$I$1,"",INDEX('근조 화환'!$C$2:$C$501,MATCH(262,'근조 화환'!$G$2:$G$501,0))&amp;"")</f>
        <v/>
      </c>
      <c r="J265" s="19">
        <f>IF(262&gt;$I$1,"",INDEX('근조 화환'!$D$2:$D$501,MATCH(262,'근조 화환'!$G$2:$G$501,0))&amp;"")</f>
        <v/>
      </c>
      <c r="K265" s="19">
        <f>IF(262&gt;$I$1,"",INDEX('근조 화환'!$E$2:$E$501,MATCH(262,'근조 화환'!$G$2:$G$501,0))&amp;"")</f>
        <v/>
      </c>
    </row>
    <row r="266">
      <c r="A266" s="19">
        <f>IF(263&lt;=$F$1,263,"")</f>
        <v/>
      </c>
      <c r="B266" s="19">
        <f>IF($A266="","",INDEX('부의금 입력'!$B$2:$B$1001,MATCH($A266,'부의금 입력'!$H$2:$H$1001,0))&amp;"")</f>
        <v/>
      </c>
      <c r="C266" s="21">
        <f>IF($A266="","",INDEX('부의금 입력'!$C$2:$C$1001,MATCH($A266,'부의금 입력'!$H$2:$H$1001,0)))</f>
        <v/>
      </c>
      <c r="D266" s="19">
        <f>IF($A266="","",INDEX('부의금 입력'!$D$2:$D$1001,MATCH($A266,'부의금 입력'!$H$2:$H$1001,0))&amp;"")</f>
        <v/>
      </c>
      <c r="E266" s="19">
        <f>IF($A266="","",INDEX('부의금 입력'!$E$2:$E$1001,MATCH($A266,'부의금 입력'!$H$2:$H$1001,0))&amp;"")</f>
        <v/>
      </c>
      <c r="H266" s="19">
        <f>IF(263&gt;$I$1,"",INDEX('근조 화환'!$B$2:$B$501,MATCH(263,'근조 화환'!$G$2:$G$501,0))&amp;"")</f>
        <v/>
      </c>
      <c r="I266" s="19">
        <f>IF(263&gt;$I$1,"",INDEX('근조 화환'!$C$2:$C$501,MATCH(263,'근조 화환'!$G$2:$G$501,0))&amp;"")</f>
        <v/>
      </c>
      <c r="J266" s="19">
        <f>IF(263&gt;$I$1,"",INDEX('근조 화환'!$D$2:$D$501,MATCH(263,'근조 화환'!$G$2:$G$501,0))&amp;"")</f>
        <v/>
      </c>
      <c r="K266" s="19">
        <f>IF(263&gt;$I$1,"",INDEX('근조 화환'!$E$2:$E$501,MATCH(263,'근조 화환'!$G$2:$G$501,0))&amp;"")</f>
        <v/>
      </c>
    </row>
    <row r="267">
      <c r="A267" s="19">
        <f>IF(264&lt;=$F$1,264,"")</f>
        <v/>
      </c>
      <c r="B267" s="19">
        <f>IF($A267="","",INDEX('부의금 입력'!$B$2:$B$1001,MATCH($A267,'부의금 입력'!$H$2:$H$1001,0))&amp;"")</f>
        <v/>
      </c>
      <c r="C267" s="21">
        <f>IF($A267="","",INDEX('부의금 입력'!$C$2:$C$1001,MATCH($A267,'부의금 입력'!$H$2:$H$1001,0)))</f>
        <v/>
      </c>
      <c r="D267" s="19">
        <f>IF($A267="","",INDEX('부의금 입력'!$D$2:$D$1001,MATCH($A267,'부의금 입력'!$H$2:$H$1001,0))&amp;"")</f>
        <v/>
      </c>
      <c r="E267" s="19">
        <f>IF($A267="","",INDEX('부의금 입력'!$E$2:$E$1001,MATCH($A267,'부의금 입력'!$H$2:$H$1001,0))&amp;"")</f>
        <v/>
      </c>
      <c r="H267" s="19">
        <f>IF(264&gt;$I$1,"",INDEX('근조 화환'!$B$2:$B$501,MATCH(264,'근조 화환'!$G$2:$G$501,0))&amp;"")</f>
        <v/>
      </c>
      <c r="I267" s="19">
        <f>IF(264&gt;$I$1,"",INDEX('근조 화환'!$C$2:$C$501,MATCH(264,'근조 화환'!$G$2:$G$501,0))&amp;"")</f>
        <v/>
      </c>
      <c r="J267" s="19">
        <f>IF(264&gt;$I$1,"",INDEX('근조 화환'!$D$2:$D$501,MATCH(264,'근조 화환'!$G$2:$G$501,0))&amp;"")</f>
        <v/>
      </c>
      <c r="K267" s="19">
        <f>IF(264&gt;$I$1,"",INDEX('근조 화환'!$E$2:$E$501,MATCH(264,'근조 화환'!$G$2:$G$501,0))&amp;"")</f>
        <v/>
      </c>
    </row>
    <row r="268">
      <c r="A268" s="19">
        <f>IF(265&lt;=$F$1,265,"")</f>
        <v/>
      </c>
      <c r="B268" s="19">
        <f>IF($A268="","",INDEX('부의금 입력'!$B$2:$B$1001,MATCH($A268,'부의금 입력'!$H$2:$H$1001,0))&amp;"")</f>
        <v/>
      </c>
      <c r="C268" s="21">
        <f>IF($A268="","",INDEX('부의금 입력'!$C$2:$C$1001,MATCH($A268,'부의금 입력'!$H$2:$H$1001,0)))</f>
        <v/>
      </c>
      <c r="D268" s="19">
        <f>IF($A268="","",INDEX('부의금 입력'!$D$2:$D$1001,MATCH($A268,'부의금 입력'!$H$2:$H$1001,0))&amp;"")</f>
        <v/>
      </c>
      <c r="E268" s="19">
        <f>IF($A268="","",INDEX('부의금 입력'!$E$2:$E$1001,MATCH($A268,'부의금 입력'!$H$2:$H$1001,0))&amp;"")</f>
        <v/>
      </c>
      <c r="H268" s="19">
        <f>IF(265&gt;$I$1,"",INDEX('근조 화환'!$B$2:$B$501,MATCH(265,'근조 화환'!$G$2:$G$501,0))&amp;"")</f>
        <v/>
      </c>
      <c r="I268" s="19">
        <f>IF(265&gt;$I$1,"",INDEX('근조 화환'!$C$2:$C$501,MATCH(265,'근조 화환'!$G$2:$G$501,0))&amp;"")</f>
        <v/>
      </c>
      <c r="J268" s="19">
        <f>IF(265&gt;$I$1,"",INDEX('근조 화환'!$D$2:$D$501,MATCH(265,'근조 화환'!$G$2:$G$501,0))&amp;"")</f>
        <v/>
      </c>
      <c r="K268" s="19">
        <f>IF(265&gt;$I$1,"",INDEX('근조 화환'!$E$2:$E$501,MATCH(265,'근조 화환'!$G$2:$G$501,0))&amp;"")</f>
        <v/>
      </c>
    </row>
    <row r="269">
      <c r="A269" s="19">
        <f>IF(266&lt;=$F$1,266,"")</f>
        <v/>
      </c>
      <c r="B269" s="19">
        <f>IF($A269="","",INDEX('부의금 입력'!$B$2:$B$1001,MATCH($A269,'부의금 입력'!$H$2:$H$1001,0))&amp;"")</f>
        <v/>
      </c>
      <c r="C269" s="21">
        <f>IF($A269="","",INDEX('부의금 입력'!$C$2:$C$1001,MATCH($A269,'부의금 입력'!$H$2:$H$1001,0)))</f>
        <v/>
      </c>
      <c r="D269" s="19">
        <f>IF($A269="","",INDEX('부의금 입력'!$D$2:$D$1001,MATCH($A269,'부의금 입력'!$H$2:$H$1001,0))&amp;"")</f>
        <v/>
      </c>
      <c r="E269" s="19">
        <f>IF($A269="","",INDEX('부의금 입력'!$E$2:$E$1001,MATCH($A269,'부의금 입력'!$H$2:$H$1001,0))&amp;"")</f>
        <v/>
      </c>
      <c r="H269" s="19">
        <f>IF(266&gt;$I$1,"",INDEX('근조 화환'!$B$2:$B$501,MATCH(266,'근조 화환'!$G$2:$G$501,0))&amp;"")</f>
        <v/>
      </c>
      <c r="I269" s="19">
        <f>IF(266&gt;$I$1,"",INDEX('근조 화환'!$C$2:$C$501,MATCH(266,'근조 화환'!$G$2:$G$501,0))&amp;"")</f>
        <v/>
      </c>
      <c r="J269" s="19">
        <f>IF(266&gt;$I$1,"",INDEX('근조 화환'!$D$2:$D$501,MATCH(266,'근조 화환'!$G$2:$G$501,0))&amp;"")</f>
        <v/>
      </c>
      <c r="K269" s="19">
        <f>IF(266&gt;$I$1,"",INDEX('근조 화환'!$E$2:$E$501,MATCH(266,'근조 화환'!$G$2:$G$501,0))&amp;"")</f>
        <v/>
      </c>
    </row>
    <row r="270">
      <c r="A270" s="19">
        <f>IF(267&lt;=$F$1,267,"")</f>
        <v/>
      </c>
      <c r="B270" s="19">
        <f>IF($A270="","",INDEX('부의금 입력'!$B$2:$B$1001,MATCH($A270,'부의금 입력'!$H$2:$H$1001,0))&amp;"")</f>
        <v/>
      </c>
      <c r="C270" s="21">
        <f>IF($A270="","",INDEX('부의금 입력'!$C$2:$C$1001,MATCH($A270,'부의금 입력'!$H$2:$H$1001,0)))</f>
        <v/>
      </c>
      <c r="D270" s="19">
        <f>IF($A270="","",INDEX('부의금 입력'!$D$2:$D$1001,MATCH($A270,'부의금 입력'!$H$2:$H$1001,0))&amp;"")</f>
        <v/>
      </c>
      <c r="E270" s="19">
        <f>IF($A270="","",INDEX('부의금 입력'!$E$2:$E$1001,MATCH($A270,'부의금 입력'!$H$2:$H$1001,0))&amp;"")</f>
        <v/>
      </c>
      <c r="H270" s="19">
        <f>IF(267&gt;$I$1,"",INDEX('근조 화환'!$B$2:$B$501,MATCH(267,'근조 화환'!$G$2:$G$501,0))&amp;"")</f>
        <v/>
      </c>
      <c r="I270" s="19">
        <f>IF(267&gt;$I$1,"",INDEX('근조 화환'!$C$2:$C$501,MATCH(267,'근조 화환'!$G$2:$G$501,0))&amp;"")</f>
        <v/>
      </c>
      <c r="J270" s="19">
        <f>IF(267&gt;$I$1,"",INDEX('근조 화환'!$D$2:$D$501,MATCH(267,'근조 화환'!$G$2:$G$501,0))&amp;"")</f>
        <v/>
      </c>
      <c r="K270" s="19">
        <f>IF(267&gt;$I$1,"",INDEX('근조 화환'!$E$2:$E$501,MATCH(267,'근조 화환'!$G$2:$G$501,0))&amp;"")</f>
        <v/>
      </c>
    </row>
    <row r="271">
      <c r="A271" s="19">
        <f>IF(268&lt;=$F$1,268,"")</f>
        <v/>
      </c>
      <c r="B271" s="19">
        <f>IF($A271="","",INDEX('부의금 입력'!$B$2:$B$1001,MATCH($A271,'부의금 입력'!$H$2:$H$1001,0))&amp;"")</f>
        <v/>
      </c>
      <c r="C271" s="21">
        <f>IF($A271="","",INDEX('부의금 입력'!$C$2:$C$1001,MATCH($A271,'부의금 입력'!$H$2:$H$1001,0)))</f>
        <v/>
      </c>
      <c r="D271" s="19">
        <f>IF($A271="","",INDEX('부의금 입력'!$D$2:$D$1001,MATCH($A271,'부의금 입력'!$H$2:$H$1001,0))&amp;"")</f>
        <v/>
      </c>
      <c r="E271" s="19">
        <f>IF($A271="","",INDEX('부의금 입력'!$E$2:$E$1001,MATCH($A271,'부의금 입력'!$H$2:$H$1001,0))&amp;"")</f>
        <v/>
      </c>
      <c r="H271" s="19">
        <f>IF(268&gt;$I$1,"",INDEX('근조 화환'!$B$2:$B$501,MATCH(268,'근조 화환'!$G$2:$G$501,0))&amp;"")</f>
        <v/>
      </c>
      <c r="I271" s="19">
        <f>IF(268&gt;$I$1,"",INDEX('근조 화환'!$C$2:$C$501,MATCH(268,'근조 화환'!$G$2:$G$501,0))&amp;"")</f>
        <v/>
      </c>
      <c r="J271" s="19">
        <f>IF(268&gt;$I$1,"",INDEX('근조 화환'!$D$2:$D$501,MATCH(268,'근조 화환'!$G$2:$G$501,0))&amp;"")</f>
        <v/>
      </c>
      <c r="K271" s="19">
        <f>IF(268&gt;$I$1,"",INDEX('근조 화환'!$E$2:$E$501,MATCH(268,'근조 화환'!$G$2:$G$501,0))&amp;"")</f>
        <v/>
      </c>
    </row>
    <row r="272">
      <c r="A272" s="19">
        <f>IF(269&lt;=$F$1,269,"")</f>
        <v/>
      </c>
      <c r="B272" s="19">
        <f>IF($A272="","",INDEX('부의금 입력'!$B$2:$B$1001,MATCH($A272,'부의금 입력'!$H$2:$H$1001,0))&amp;"")</f>
        <v/>
      </c>
      <c r="C272" s="21">
        <f>IF($A272="","",INDEX('부의금 입력'!$C$2:$C$1001,MATCH($A272,'부의금 입력'!$H$2:$H$1001,0)))</f>
        <v/>
      </c>
      <c r="D272" s="19">
        <f>IF($A272="","",INDEX('부의금 입력'!$D$2:$D$1001,MATCH($A272,'부의금 입력'!$H$2:$H$1001,0))&amp;"")</f>
        <v/>
      </c>
      <c r="E272" s="19">
        <f>IF($A272="","",INDEX('부의금 입력'!$E$2:$E$1001,MATCH($A272,'부의금 입력'!$H$2:$H$1001,0))&amp;"")</f>
        <v/>
      </c>
      <c r="H272" s="19">
        <f>IF(269&gt;$I$1,"",INDEX('근조 화환'!$B$2:$B$501,MATCH(269,'근조 화환'!$G$2:$G$501,0))&amp;"")</f>
        <v/>
      </c>
      <c r="I272" s="19">
        <f>IF(269&gt;$I$1,"",INDEX('근조 화환'!$C$2:$C$501,MATCH(269,'근조 화환'!$G$2:$G$501,0))&amp;"")</f>
        <v/>
      </c>
      <c r="J272" s="19">
        <f>IF(269&gt;$I$1,"",INDEX('근조 화환'!$D$2:$D$501,MATCH(269,'근조 화환'!$G$2:$G$501,0))&amp;"")</f>
        <v/>
      </c>
      <c r="K272" s="19">
        <f>IF(269&gt;$I$1,"",INDEX('근조 화환'!$E$2:$E$501,MATCH(269,'근조 화환'!$G$2:$G$501,0))&amp;"")</f>
        <v/>
      </c>
    </row>
    <row r="273">
      <c r="A273" s="19">
        <f>IF(270&lt;=$F$1,270,"")</f>
        <v/>
      </c>
      <c r="B273" s="19">
        <f>IF($A273="","",INDEX('부의금 입력'!$B$2:$B$1001,MATCH($A273,'부의금 입력'!$H$2:$H$1001,0))&amp;"")</f>
        <v/>
      </c>
      <c r="C273" s="21">
        <f>IF($A273="","",INDEX('부의금 입력'!$C$2:$C$1001,MATCH($A273,'부의금 입력'!$H$2:$H$1001,0)))</f>
        <v/>
      </c>
      <c r="D273" s="19">
        <f>IF($A273="","",INDEX('부의금 입력'!$D$2:$D$1001,MATCH($A273,'부의금 입력'!$H$2:$H$1001,0))&amp;"")</f>
        <v/>
      </c>
      <c r="E273" s="19">
        <f>IF($A273="","",INDEX('부의금 입력'!$E$2:$E$1001,MATCH($A273,'부의금 입력'!$H$2:$H$1001,0))&amp;"")</f>
        <v/>
      </c>
      <c r="H273" s="19">
        <f>IF(270&gt;$I$1,"",INDEX('근조 화환'!$B$2:$B$501,MATCH(270,'근조 화환'!$G$2:$G$501,0))&amp;"")</f>
        <v/>
      </c>
      <c r="I273" s="19">
        <f>IF(270&gt;$I$1,"",INDEX('근조 화환'!$C$2:$C$501,MATCH(270,'근조 화환'!$G$2:$G$501,0))&amp;"")</f>
        <v/>
      </c>
      <c r="J273" s="19">
        <f>IF(270&gt;$I$1,"",INDEX('근조 화환'!$D$2:$D$501,MATCH(270,'근조 화환'!$G$2:$G$501,0))&amp;"")</f>
        <v/>
      </c>
      <c r="K273" s="19">
        <f>IF(270&gt;$I$1,"",INDEX('근조 화환'!$E$2:$E$501,MATCH(270,'근조 화환'!$G$2:$G$501,0))&amp;"")</f>
        <v/>
      </c>
    </row>
    <row r="274">
      <c r="A274" s="19">
        <f>IF(271&lt;=$F$1,271,"")</f>
        <v/>
      </c>
      <c r="B274" s="19">
        <f>IF($A274="","",INDEX('부의금 입력'!$B$2:$B$1001,MATCH($A274,'부의금 입력'!$H$2:$H$1001,0))&amp;"")</f>
        <v/>
      </c>
      <c r="C274" s="21">
        <f>IF($A274="","",INDEX('부의금 입력'!$C$2:$C$1001,MATCH($A274,'부의금 입력'!$H$2:$H$1001,0)))</f>
        <v/>
      </c>
      <c r="D274" s="19">
        <f>IF($A274="","",INDEX('부의금 입력'!$D$2:$D$1001,MATCH($A274,'부의금 입력'!$H$2:$H$1001,0))&amp;"")</f>
        <v/>
      </c>
      <c r="E274" s="19">
        <f>IF($A274="","",INDEX('부의금 입력'!$E$2:$E$1001,MATCH($A274,'부의금 입력'!$H$2:$H$1001,0))&amp;"")</f>
        <v/>
      </c>
      <c r="H274" s="19">
        <f>IF(271&gt;$I$1,"",INDEX('근조 화환'!$B$2:$B$501,MATCH(271,'근조 화환'!$G$2:$G$501,0))&amp;"")</f>
        <v/>
      </c>
      <c r="I274" s="19">
        <f>IF(271&gt;$I$1,"",INDEX('근조 화환'!$C$2:$C$501,MATCH(271,'근조 화환'!$G$2:$G$501,0))&amp;"")</f>
        <v/>
      </c>
      <c r="J274" s="19">
        <f>IF(271&gt;$I$1,"",INDEX('근조 화환'!$D$2:$D$501,MATCH(271,'근조 화환'!$G$2:$G$501,0))&amp;"")</f>
        <v/>
      </c>
      <c r="K274" s="19">
        <f>IF(271&gt;$I$1,"",INDEX('근조 화환'!$E$2:$E$501,MATCH(271,'근조 화환'!$G$2:$G$501,0))&amp;"")</f>
        <v/>
      </c>
    </row>
    <row r="275">
      <c r="A275" s="19">
        <f>IF(272&lt;=$F$1,272,"")</f>
        <v/>
      </c>
      <c r="B275" s="19">
        <f>IF($A275="","",INDEX('부의금 입력'!$B$2:$B$1001,MATCH($A275,'부의금 입력'!$H$2:$H$1001,0))&amp;"")</f>
        <v/>
      </c>
      <c r="C275" s="21">
        <f>IF($A275="","",INDEX('부의금 입력'!$C$2:$C$1001,MATCH($A275,'부의금 입력'!$H$2:$H$1001,0)))</f>
        <v/>
      </c>
      <c r="D275" s="19">
        <f>IF($A275="","",INDEX('부의금 입력'!$D$2:$D$1001,MATCH($A275,'부의금 입력'!$H$2:$H$1001,0))&amp;"")</f>
        <v/>
      </c>
      <c r="E275" s="19">
        <f>IF($A275="","",INDEX('부의금 입력'!$E$2:$E$1001,MATCH($A275,'부의금 입력'!$H$2:$H$1001,0))&amp;"")</f>
        <v/>
      </c>
      <c r="H275" s="19">
        <f>IF(272&gt;$I$1,"",INDEX('근조 화환'!$B$2:$B$501,MATCH(272,'근조 화환'!$G$2:$G$501,0))&amp;"")</f>
        <v/>
      </c>
      <c r="I275" s="19">
        <f>IF(272&gt;$I$1,"",INDEX('근조 화환'!$C$2:$C$501,MATCH(272,'근조 화환'!$G$2:$G$501,0))&amp;"")</f>
        <v/>
      </c>
      <c r="J275" s="19">
        <f>IF(272&gt;$I$1,"",INDEX('근조 화환'!$D$2:$D$501,MATCH(272,'근조 화환'!$G$2:$G$501,0))&amp;"")</f>
        <v/>
      </c>
      <c r="K275" s="19">
        <f>IF(272&gt;$I$1,"",INDEX('근조 화환'!$E$2:$E$501,MATCH(272,'근조 화환'!$G$2:$G$501,0))&amp;"")</f>
        <v/>
      </c>
    </row>
    <row r="276">
      <c r="A276" s="19">
        <f>IF(273&lt;=$F$1,273,"")</f>
        <v/>
      </c>
      <c r="B276" s="19">
        <f>IF($A276="","",INDEX('부의금 입력'!$B$2:$B$1001,MATCH($A276,'부의금 입력'!$H$2:$H$1001,0))&amp;"")</f>
        <v/>
      </c>
      <c r="C276" s="21">
        <f>IF($A276="","",INDEX('부의금 입력'!$C$2:$C$1001,MATCH($A276,'부의금 입력'!$H$2:$H$1001,0)))</f>
        <v/>
      </c>
      <c r="D276" s="19">
        <f>IF($A276="","",INDEX('부의금 입력'!$D$2:$D$1001,MATCH($A276,'부의금 입력'!$H$2:$H$1001,0))&amp;"")</f>
        <v/>
      </c>
      <c r="E276" s="19">
        <f>IF($A276="","",INDEX('부의금 입력'!$E$2:$E$1001,MATCH($A276,'부의금 입력'!$H$2:$H$1001,0))&amp;"")</f>
        <v/>
      </c>
      <c r="H276" s="19">
        <f>IF(273&gt;$I$1,"",INDEX('근조 화환'!$B$2:$B$501,MATCH(273,'근조 화환'!$G$2:$G$501,0))&amp;"")</f>
        <v/>
      </c>
      <c r="I276" s="19">
        <f>IF(273&gt;$I$1,"",INDEX('근조 화환'!$C$2:$C$501,MATCH(273,'근조 화환'!$G$2:$G$501,0))&amp;"")</f>
        <v/>
      </c>
      <c r="J276" s="19">
        <f>IF(273&gt;$I$1,"",INDEX('근조 화환'!$D$2:$D$501,MATCH(273,'근조 화환'!$G$2:$G$501,0))&amp;"")</f>
        <v/>
      </c>
      <c r="K276" s="19">
        <f>IF(273&gt;$I$1,"",INDEX('근조 화환'!$E$2:$E$501,MATCH(273,'근조 화환'!$G$2:$G$501,0))&amp;"")</f>
        <v/>
      </c>
    </row>
    <row r="277">
      <c r="A277" s="19">
        <f>IF(274&lt;=$F$1,274,"")</f>
        <v/>
      </c>
      <c r="B277" s="19">
        <f>IF($A277="","",INDEX('부의금 입력'!$B$2:$B$1001,MATCH($A277,'부의금 입력'!$H$2:$H$1001,0))&amp;"")</f>
        <v/>
      </c>
      <c r="C277" s="21">
        <f>IF($A277="","",INDEX('부의금 입력'!$C$2:$C$1001,MATCH($A277,'부의금 입력'!$H$2:$H$1001,0)))</f>
        <v/>
      </c>
      <c r="D277" s="19">
        <f>IF($A277="","",INDEX('부의금 입력'!$D$2:$D$1001,MATCH($A277,'부의금 입력'!$H$2:$H$1001,0))&amp;"")</f>
        <v/>
      </c>
      <c r="E277" s="19">
        <f>IF($A277="","",INDEX('부의금 입력'!$E$2:$E$1001,MATCH($A277,'부의금 입력'!$H$2:$H$1001,0))&amp;"")</f>
        <v/>
      </c>
      <c r="H277" s="19">
        <f>IF(274&gt;$I$1,"",INDEX('근조 화환'!$B$2:$B$501,MATCH(274,'근조 화환'!$G$2:$G$501,0))&amp;"")</f>
        <v/>
      </c>
      <c r="I277" s="19">
        <f>IF(274&gt;$I$1,"",INDEX('근조 화환'!$C$2:$C$501,MATCH(274,'근조 화환'!$G$2:$G$501,0))&amp;"")</f>
        <v/>
      </c>
      <c r="J277" s="19">
        <f>IF(274&gt;$I$1,"",INDEX('근조 화환'!$D$2:$D$501,MATCH(274,'근조 화환'!$G$2:$G$501,0))&amp;"")</f>
        <v/>
      </c>
      <c r="K277" s="19">
        <f>IF(274&gt;$I$1,"",INDEX('근조 화환'!$E$2:$E$501,MATCH(274,'근조 화환'!$G$2:$G$501,0))&amp;"")</f>
        <v/>
      </c>
    </row>
    <row r="278">
      <c r="A278" s="19">
        <f>IF(275&lt;=$F$1,275,"")</f>
        <v/>
      </c>
      <c r="B278" s="19">
        <f>IF($A278="","",INDEX('부의금 입력'!$B$2:$B$1001,MATCH($A278,'부의금 입력'!$H$2:$H$1001,0))&amp;"")</f>
        <v/>
      </c>
      <c r="C278" s="21">
        <f>IF($A278="","",INDEX('부의금 입력'!$C$2:$C$1001,MATCH($A278,'부의금 입력'!$H$2:$H$1001,0)))</f>
        <v/>
      </c>
      <c r="D278" s="19">
        <f>IF($A278="","",INDEX('부의금 입력'!$D$2:$D$1001,MATCH($A278,'부의금 입력'!$H$2:$H$1001,0))&amp;"")</f>
        <v/>
      </c>
      <c r="E278" s="19">
        <f>IF($A278="","",INDEX('부의금 입력'!$E$2:$E$1001,MATCH($A278,'부의금 입력'!$H$2:$H$1001,0))&amp;"")</f>
        <v/>
      </c>
      <c r="H278" s="19">
        <f>IF(275&gt;$I$1,"",INDEX('근조 화환'!$B$2:$B$501,MATCH(275,'근조 화환'!$G$2:$G$501,0))&amp;"")</f>
        <v/>
      </c>
      <c r="I278" s="19">
        <f>IF(275&gt;$I$1,"",INDEX('근조 화환'!$C$2:$C$501,MATCH(275,'근조 화환'!$G$2:$G$501,0))&amp;"")</f>
        <v/>
      </c>
      <c r="J278" s="19">
        <f>IF(275&gt;$I$1,"",INDEX('근조 화환'!$D$2:$D$501,MATCH(275,'근조 화환'!$G$2:$G$501,0))&amp;"")</f>
        <v/>
      </c>
      <c r="K278" s="19">
        <f>IF(275&gt;$I$1,"",INDEX('근조 화환'!$E$2:$E$501,MATCH(275,'근조 화환'!$G$2:$G$501,0))&amp;"")</f>
        <v/>
      </c>
    </row>
    <row r="279">
      <c r="A279" s="19">
        <f>IF(276&lt;=$F$1,276,"")</f>
        <v/>
      </c>
      <c r="B279" s="19">
        <f>IF($A279="","",INDEX('부의금 입력'!$B$2:$B$1001,MATCH($A279,'부의금 입력'!$H$2:$H$1001,0))&amp;"")</f>
        <v/>
      </c>
      <c r="C279" s="21">
        <f>IF($A279="","",INDEX('부의금 입력'!$C$2:$C$1001,MATCH($A279,'부의금 입력'!$H$2:$H$1001,0)))</f>
        <v/>
      </c>
      <c r="D279" s="19">
        <f>IF($A279="","",INDEX('부의금 입력'!$D$2:$D$1001,MATCH($A279,'부의금 입력'!$H$2:$H$1001,0))&amp;"")</f>
        <v/>
      </c>
      <c r="E279" s="19">
        <f>IF($A279="","",INDEX('부의금 입력'!$E$2:$E$1001,MATCH($A279,'부의금 입력'!$H$2:$H$1001,0))&amp;"")</f>
        <v/>
      </c>
      <c r="H279" s="19">
        <f>IF(276&gt;$I$1,"",INDEX('근조 화환'!$B$2:$B$501,MATCH(276,'근조 화환'!$G$2:$G$501,0))&amp;"")</f>
        <v/>
      </c>
      <c r="I279" s="19">
        <f>IF(276&gt;$I$1,"",INDEX('근조 화환'!$C$2:$C$501,MATCH(276,'근조 화환'!$G$2:$G$501,0))&amp;"")</f>
        <v/>
      </c>
      <c r="J279" s="19">
        <f>IF(276&gt;$I$1,"",INDEX('근조 화환'!$D$2:$D$501,MATCH(276,'근조 화환'!$G$2:$G$501,0))&amp;"")</f>
        <v/>
      </c>
      <c r="K279" s="19">
        <f>IF(276&gt;$I$1,"",INDEX('근조 화환'!$E$2:$E$501,MATCH(276,'근조 화환'!$G$2:$G$501,0))&amp;"")</f>
        <v/>
      </c>
    </row>
    <row r="280">
      <c r="A280" s="19">
        <f>IF(277&lt;=$F$1,277,"")</f>
        <v/>
      </c>
      <c r="B280" s="19">
        <f>IF($A280="","",INDEX('부의금 입력'!$B$2:$B$1001,MATCH($A280,'부의금 입력'!$H$2:$H$1001,0))&amp;"")</f>
        <v/>
      </c>
      <c r="C280" s="21">
        <f>IF($A280="","",INDEX('부의금 입력'!$C$2:$C$1001,MATCH($A280,'부의금 입력'!$H$2:$H$1001,0)))</f>
        <v/>
      </c>
      <c r="D280" s="19">
        <f>IF($A280="","",INDEX('부의금 입력'!$D$2:$D$1001,MATCH($A280,'부의금 입력'!$H$2:$H$1001,0))&amp;"")</f>
        <v/>
      </c>
      <c r="E280" s="19">
        <f>IF($A280="","",INDEX('부의금 입력'!$E$2:$E$1001,MATCH($A280,'부의금 입력'!$H$2:$H$1001,0))&amp;"")</f>
        <v/>
      </c>
      <c r="H280" s="19">
        <f>IF(277&gt;$I$1,"",INDEX('근조 화환'!$B$2:$B$501,MATCH(277,'근조 화환'!$G$2:$G$501,0))&amp;"")</f>
        <v/>
      </c>
      <c r="I280" s="19">
        <f>IF(277&gt;$I$1,"",INDEX('근조 화환'!$C$2:$C$501,MATCH(277,'근조 화환'!$G$2:$G$501,0))&amp;"")</f>
        <v/>
      </c>
      <c r="J280" s="19">
        <f>IF(277&gt;$I$1,"",INDEX('근조 화환'!$D$2:$D$501,MATCH(277,'근조 화환'!$G$2:$G$501,0))&amp;"")</f>
        <v/>
      </c>
      <c r="K280" s="19">
        <f>IF(277&gt;$I$1,"",INDEX('근조 화환'!$E$2:$E$501,MATCH(277,'근조 화환'!$G$2:$G$501,0))&amp;"")</f>
        <v/>
      </c>
    </row>
    <row r="281">
      <c r="A281" s="19">
        <f>IF(278&lt;=$F$1,278,"")</f>
        <v/>
      </c>
      <c r="B281" s="19">
        <f>IF($A281="","",INDEX('부의금 입력'!$B$2:$B$1001,MATCH($A281,'부의금 입력'!$H$2:$H$1001,0))&amp;"")</f>
        <v/>
      </c>
      <c r="C281" s="21">
        <f>IF($A281="","",INDEX('부의금 입력'!$C$2:$C$1001,MATCH($A281,'부의금 입력'!$H$2:$H$1001,0)))</f>
        <v/>
      </c>
      <c r="D281" s="19">
        <f>IF($A281="","",INDEX('부의금 입력'!$D$2:$D$1001,MATCH($A281,'부의금 입력'!$H$2:$H$1001,0))&amp;"")</f>
        <v/>
      </c>
      <c r="E281" s="19">
        <f>IF($A281="","",INDEX('부의금 입력'!$E$2:$E$1001,MATCH($A281,'부의금 입력'!$H$2:$H$1001,0))&amp;"")</f>
        <v/>
      </c>
      <c r="H281" s="19">
        <f>IF(278&gt;$I$1,"",INDEX('근조 화환'!$B$2:$B$501,MATCH(278,'근조 화환'!$G$2:$G$501,0))&amp;"")</f>
        <v/>
      </c>
      <c r="I281" s="19">
        <f>IF(278&gt;$I$1,"",INDEX('근조 화환'!$C$2:$C$501,MATCH(278,'근조 화환'!$G$2:$G$501,0))&amp;"")</f>
        <v/>
      </c>
      <c r="J281" s="19">
        <f>IF(278&gt;$I$1,"",INDEX('근조 화환'!$D$2:$D$501,MATCH(278,'근조 화환'!$G$2:$G$501,0))&amp;"")</f>
        <v/>
      </c>
      <c r="K281" s="19">
        <f>IF(278&gt;$I$1,"",INDEX('근조 화환'!$E$2:$E$501,MATCH(278,'근조 화환'!$G$2:$G$501,0))&amp;"")</f>
        <v/>
      </c>
    </row>
    <row r="282">
      <c r="A282" s="19">
        <f>IF(279&lt;=$F$1,279,"")</f>
        <v/>
      </c>
      <c r="B282" s="19">
        <f>IF($A282="","",INDEX('부의금 입력'!$B$2:$B$1001,MATCH($A282,'부의금 입력'!$H$2:$H$1001,0))&amp;"")</f>
        <v/>
      </c>
      <c r="C282" s="21">
        <f>IF($A282="","",INDEX('부의금 입력'!$C$2:$C$1001,MATCH($A282,'부의금 입력'!$H$2:$H$1001,0)))</f>
        <v/>
      </c>
      <c r="D282" s="19">
        <f>IF($A282="","",INDEX('부의금 입력'!$D$2:$D$1001,MATCH($A282,'부의금 입력'!$H$2:$H$1001,0))&amp;"")</f>
        <v/>
      </c>
      <c r="E282" s="19">
        <f>IF($A282="","",INDEX('부의금 입력'!$E$2:$E$1001,MATCH($A282,'부의금 입력'!$H$2:$H$1001,0))&amp;"")</f>
        <v/>
      </c>
      <c r="H282" s="19">
        <f>IF(279&gt;$I$1,"",INDEX('근조 화환'!$B$2:$B$501,MATCH(279,'근조 화환'!$G$2:$G$501,0))&amp;"")</f>
        <v/>
      </c>
      <c r="I282" s="19">
        <f>IF(279&gt;$I$1,"",INDEX('근조 화환'!$C$2:$C$501,MATCH(279,'근조 화환'!$G$2:$G$501,0))&amp;"")</f>
        <v/>
      </c>
      <c r="J282" s="19">
        <f>IF(279&gt;$I$1,"",INDEX('근조 화환'!$D$2:$D$501,MATCH(279,'근조 화환'!$G$2:$G$501,0))&amp;"")</f>
        <v/>
      </c>
      <c r="K282" s="19">
        <f>IF(279&gt;$I$1,"",INDEX('근조 화환'!$E$2:$E$501,MATCH(279,'근조 화환'!$G$2:$G$501,0))&amp;"")</f>
        <v/>
      </c>
    </row>
    <row r="283">
      <c r="A283" s="19">
        <f>IF(280&lt;=$F$1,280,"")</f>
        <v/>
      </c>
      <c r="B283" s="19">
        <f>IF($A283="","",INDEX('부의금 입력'!$B$2:$B$1001,MATCH($A283,'부의금 입력'!$H$2:$H$1001,0))&amp;"")</f>
        <v/>
      </c>
      <c r="C283" s="21">
        <f>IF($A283="","",INDEX('부의금 입력'!$C$2:$C$1001,MATCH($A283,'부의금 입력'!$H$2:$H$1001,0)))</f>
        <v/>
      </c>
      <c r="D283" s="19">
        <f>IF($A283="","",INDEX('부의금 입력'!$D$2:$D$1001,MATCH($A283,'부의금 입력'!$H$2:$H$1001,0))&amp;"")</f>
        <v/>
      </c>
      <c r="E283" s="19">
        <f>IF($A283="","",INDEX('부의금 입력'!$E$2:$E$1001,MATCH($A283,'부의금 입력'!$H$2:$H$1001,0))&amp;"")</f>
        <v/>
      </c>
      <c r="H283" s="19">
        <f>IF(280&gt;$I$1,"",INDEX('근조 화환'!$B$2:$B$501,MATCH(280,'근조 화환'!$G$2:$G$501,0))&amp;"")</f>
        <v/>
      </c>
      <c r="I283" s="19">
        <f>IF(280&gt;$I$1,"",INDEX('근조 화환'!$C$2:$C$501,MATCH(280,'근조 화환'!$G$2:$G$501,0))&amp;"")</f>
        <v/>
      </c>
      <c r="J283" s="19">
        <f>IF(280&gt;$I$1,"",INDEX('근조 화환'!$D$2:$D$501,MATCH(280,'근조 화환'!$G$2:$G$501,0))&amp;"")</f>
        <v/>
      </c>
      <c r="K283" s="19">
        <f>IF(280&gt;$I$1,"",INDEX('근조 화환'!$E$2:$E$501,MATCH(280,'근조 화환'!$G$2:$G$501,0))&amp;"")</f>
        <v/>
      </c>
    </row>
    <row r="284">
      <c r="A284" s="19">
        <f>IF(281&lt;=$F$1,281,"")</f>
        <v/>
      </c>
      <c r="B284" s="19">
        <f>IF($A284="","",INDEX('부의금 입력'!$B$2:$B$1001,MATCH($A284,'부의금 입력'!$H$2:$H$1001,0))&amp;"")</f>
        <v/>
      </c>
      <c r="C284" s="21">
        <f>IF($A284="","",INDEX('부의금 입력'!$C$2:$C$1001,MATCH($A284,'부의금 입력'!$H$2:$H$1001,0)))</f>
        <v/>
      </c>
      <c r="D284" s="19">
        <f>IF($A284="","",INDEX('부의금 입력'!$D$2:$D$1001,MATCH($A284,'부의금 입력'!$H$2:$H$1001,0))&amp;"")</f>
        <v/>
      </c>
      <c r="E284" s="19">
        <f>IF($A284="","",INDEX('부의금 입력'!$E$2:$E$1001,MATCH($A284,'부의금 입력'!$H$2:$H$1001,0))&amp;"")</f>
        <v/>
      </c>
      <c r="H284" s="19">
        <f>IF(281&gt;$I$1,"",INDEX('근조 화환'!$B$2:$B$501,MATCH(281,'근조 화환'!$G$2:$G$501,0))&amp;"")</f>
        <v/>
      </c>
      <c r="I284" s="19">
        <f>IF(281&gt;$I$1,"",INDEX('근조 화환'!$C$2:$C$501,MATCH(281,'근조 화환'!$G$2:$G$501,0))&amp;"")</f>
        <v/>
      </c>
      <c r="J284" s="19">
        <f>IF(281&gt;$I$1,"",INDEX('근조 화환'!$D$2:$D$501,MATCH(281,'근조 화환'!$G$2:$G$501,0))&amp;"")</f>
        <v/>
      </c>
      <c r="K284" s="19">
        <f>IF(281&gt;$I$1,"",INDEX('근조 화환'!$E$2:$E$501,MATCH(281,'근조 화환'!$G$2:$G$501,0))&amp;"")</f>
        <v/>
      </c>
    </row>
    <row r="285">
      <c r="A285" s="19">
        <f>IF(282&lt;=$F$1,282,"")</f>
        <v/>
      </c>
      <c r="B285" s="19">
        <f>IF($A285="","",INDEX('부의금 입력'!$B$2:$B$1001,MATCH($A285,'부의금 입력'!$H$2:$H$1001,0))&amp;"")</f>
        <v/>
      </c>
      <c r="C285" s="21">
        <f>IF($A285="","",INDEX('부의금 입력'!$C$2:$C$1001,MATCH($A285,'부의금 입력'!$H$2:$H$1001,0)))</f>
        <v/>
      </c>
      <c r="D285" s="19">
        <f>IF($A285="","",INDEX('부의금 입력'!$D$2:$D$1001,MATCH($A285,'부의금 입력'!$H$2:$H$1001,0))&amp;"")</f>
        <v/>
      </c>
      <c r="E285" s="19">
        <f>IF($A285="","",INDEX('부의금 입력'!$E$2:$E$1001,MATCH($A285,'부의금 입력'!$H$2:$H$1001,0))&amp;"")</f>
        <v/>
      </c>
      <c r="H285" s="19">
        <f>IF(282&gt;$I$1,"",INDEX('근조 화환'!$B$2:$B$501,MATCH(282,'근조 화환'!$G$2:$G$501,0))&amp;"")</f>
        <v/>
      </c>
      <c r="I285" s="19">
        <f>IF(282&gt;$I$1,"",INDEX('근조 화환'!$C$2:$C$501,MATCH(282,'근조 화환'!$G$2:$G$501,0))&amp;"")</f>
        <v/>
      </c>
      <c r="J285" s="19">
        <f>IF(282&gt;$I$1,"",INDEX('근조 화환'!$D$2:$D$501,MATCH(282,'근조 화환'!$G$2:$G$501,0))&amp;"")</f>
        <v/>
      </c>
      <c r="K285" s="19">
        <f>IF(282&gt;$I$1,"",INDEX('근조 화환'!$E$2:$E$501,MATCH(282,'근조 화환'!$G$2:$G$501,0))&amp;"")</f>
        <v/>
      </c>
    </row>
    <row r="286">
      <c r="A286" s="19">
        <f>IF(283&lt;=$F$1,283,"")</f>
        <v/>
      </c>
      <c r="B286" s="19">
        <f>IF($A286="","",INDEX('부의금 입력'!$B$2:$B$1001,MATCH($A286,'부의금 입력'!$H$2:$H$1001,0))&amp;"")</f>
        <v/>
      </c>
      <c r="C286" s="21">
        <f>IF($A286="","",INDEX('부의금 입력'!$C$2:$C$1001,MATCH($A286,'부의금 입력'!$H$2:$H$1001,0)))</f>
        <v/>
      </c>
      <c r="D286" s="19">
        <f>IF($A286="","",INDEX('부의금 입력'!$D$2:$D$1001,MATCH($A286,'부의금 입력'!$H$2:$H$1001,0))&amp;"")</f>
        <v/>
      </c>
      <c r="E286" s="19">
        <f>IF($A286="","",INDEX('부의금 입력'!$E$2:$E$1001,MATCH($A286,'부의금 입력'!$H$2:$H$1001,0))&amp;"")</f>
        <v/>
      </c>
      <c r="H286" s="19">
        <f>IF(283&gt;$I$1,"",INDEX('근조 화환'!$B$2:$B$501,MATCH(283,'근조 화환'!$G$2:$G$501,0))&amp;"")</f>
        <v/>
      </c>
      <c r="I286" s="19">
        <f>IF(283&gt;$I$1,"",INDEX('근조 화환'!$C$2:$C$501,MATCH(283,'근조 화환'!$G$2:$G$501,0))&amp;"")</f>
        <v/>
      </c>
      <c r="J286" s="19">
        <f>IF(283&gt;$I$1,"",INDEX('근조 화환'!$D$2:$D$501,MATCH(283,'근조 화환'!$G$2:$G$501,0))&amp;"")</f>
        <v/>
      </c>
      <c r="K286" s="19">
        <f>IF(283&gt;$I$1,"",INDEX('근조 화환'!$E$2:$E$501,MATCH(283,'근조 화환'!$G$2:$G$501,0))&amp;"")</f>
        <v/>
      </c>
    </row>
    <row r="287">
      <c r="A287" s="19">
        <f>IF(284&lt;=$F$1,284,"")</f>
        <v/>
      </c>
      <c r="B287" s="19">
        <f>IF($A287="","",INDEX('부의금 입력'!$B$2:$B$1001,MATCH($A287,'부의금 입력'!$H$2:$H$1001,0))&amp;"")</f>
        <v/>
      </c>
      <c r="C287" s="21">
        <f>IF($A287="","",INDEX('부의금 입력'!$C$2:$C$1001,MATCH($A287,'부의금 입력'!$H$2:$H$1001,0)))</f>
        <v/>
      </c>
      <c r="D287" s="19">
        <f>IF($A287="","",INDEX('부의금 입력'!$D$2:$D$1001,MATCH($A287,'부의금 입력'!$H$2:$H$1001,0))&amp;"")</f>
        <v/>
      </c>
      <c r="E287" s="19">
        <f>IF($A287="","",INDEX('부의금 입력'!$E$2:$E$1001,MATCH($A287,'부의금 입력'!$H$2:$H$1001,0))&amp;"")</f>
        <v/>
      </c>
      <c r="H287" s="19">
        <f>IF(284&gt;$I$1,"",INDEX('근조 화환'!$B$2:$B$501,MATCH(284,'근조 화환'!$G$2:$G$501,0))&amp;"")</f>
        <v/>
      </c>
      <c r="I287" s="19">
        <f>IF(284&gt;$I$1,"",INDEX('근조 화환'!$C$2:$C$501,MATCH(284,'근조 화환'!$G$2:$G$501,0))&amp;"")</f>
        <v/>
      </c>
      <c r="J287" s="19">
        <f>IF(284&gt;$I$1,"",INDEX('근조 화환'!$D$2:$D$501,MATCH(284,'근조 화환'!$G$2:$G$501,0))&amp;"")</f>
        <v/>
      </c>
      <c r="K287" s="19">
        <f>IF(284&gt;$I$1,"",INDEX('근조 화환'!$E$2:$E$501,MATCH(284,'근조 화환'!$G$2:$G$501,0))&amp;"")</f>
        <v/>
      </c>
    </row>
    <row r="288">
      <c r="A288" s="19">
        <f>IF(285&lt;=$F$1,285,"")</f>
        <v/>
      </c>
      <c r="B288" s="19">
        <f>IF($A288="","",INDEX('부의금 입력'!$B$2:$B$1001,MATCH($A288,'부의금 입력'!$H$2:$H$1001,0))&amp;"")</f>
        <v/>
      </c>
      <c r="C288" s="21">
        <f>IF($A288="","",INDEX('부의금 입력'!$C$2:$C$1001,MATCH($A288,'부의금 입력'!$H$2:$H$1001,0)))</f>
        <v/>
      </c>
      <c r="D288" s="19">
        <f>IF($A288="","",INDEX('부의금 입력'!$D$2:$D$1001,MATCH($A288,'부의금 입력'!$H$2:$H$1001,0))&amp;"")</f>
        <v/>
      </c>
      <c r="E288" s="19">
        <f>IF($A288="","",INDEX('부의금 입력'!$E$2:$E$1001,MATCH($A288,'부의금 입력'!$H$2:$H$1001,0))&amp;"")</f>
        <v/>
      </c>
      <c r="H288" s="19">
        <f>IF(285&gt;$I$1,"",INDEX('근조 화환'!$B$2:$B$501,MATCH(285,'근조 화환'!$G$2:$G$501,0))&amp;"")</f>
        <v/>
      </c>
      <c r="I288" s="19">
        <f>IF(285&gt;$I$1,"",INDEX('근조 화환'!$C$2:$C$501,MATCH(285,'근조 화환'!$G$2:$G$501,0))&amp;"")</f>
        <v/>
      </c>
      <c r="J288" s="19">
        <f>IF(285&gt;$I$1,"",INDEX('근조 화환'!$D$2:$D$501,MATCH(285,'근조 화환'!$G$2:$G$501,0))&amp;"")</f>
        <v/>
      </c>
      <c r="K288" s="19">
        <f>IF(285&gt;$I$1,"",INDEX('근조 화환'!$E$2:$E$501,MATCH(285,'근조 화환'!$G$2:$G$501,0))&amp;"")</f>
        <v/>
      </c>
    </row>
    <row r="289">
      <c r="A289" s="19">
        <f>IF(286&lt;=$F$1,286,"")</f>
        <v/>
      </c>
      <c r="B289" s="19">
        <f>IF($A289="","",INDEX('부의금 입력'!$B$2:$B$1001,MATCH($A289,'부의금 입력'!$H$2:$H$1001,0))&amp;"")</f>
        <v/>
      </c>
      <c r="C289" s="21">
        <f>IF($A289="","",INDEX('부의금 입력'!$C$2:$C$1001,MATCH($A289,'부의금 입력'!$H$2:$H$1001,0)))</f>
        <v/>
      </c>
      <c r="D289" s="19">
        <f>IF($A289="","",INDEX('부의금 입력'!$D$2:$D$1001,MATCH($A289,'부의금 입력'!$H$2:$H$1001,0))&amp;"")</f>
        <v/>
      </c>
      <c r="E289" s="19">
        <f>IF($A289="","",INDEX('부의금 입력'!$E$2:$E$1001,MATCH($A289,'부의금 입력'!$H$2:$H$1001,0))&amp;"")</f>
        <v/>
      </c>
      <c r="H289" s="19">
        <f>IF(286&gt;$I$1,"",INDEX('근조 화환'!$B$2:$B$501,MATCH(286,'근조 화환'!$G$2:$G$501,0))&amp;"")</f>
        <v/>
      </c>
      <c r="I289" s="19">
        <f>IF(286&gt;$I$1,"",INDEX('근조 화환'!$C$2:$C$501,MATCH(286,'근조 화환'!$G$2:$G$501,0))&amp;"")</f>
        <v/>
      </c>
      <c r="J289" s="19">
        <f>IF(286&gt;$I$1,"",INDEX('근조 화환'!$D$2:$D$501,MATCH(286,'근조 화환'!$G$2:$G$501,0))&amp;"")</f>
        <v/>
      </c>
      <c r="K289" s="19">
        <f>IF(286&gt;$I$1,"",INDEX('근조 화환'!$E$2:$E$501,MATCH(286,'근조 화환'!$G$2:$G$501,0))&amp;"")</f>
        <v/>
      </c>
    </row>
    <row r="290">
      <c r="A290" s="19">
        <f>IF(287&lt;=$F$1,287,"")</f>
        <v/>
      </c>
      <c r="B290" s="19">
        <f>IF($A290="","",INDEX('부의금 입력'!$B$2:$B$1001,MATCH($A290,'부의금 입력'!$H$2:$H$1001,0))&amp;"")</f>
        <v/>
      </c>
      <c r="C290" s="21">
        <f>IF($A290="","",INDEX('부의금 입력'!$C$2:$C$1001,MATCH($A290,'부의금 입력'!$H$2:$H$1001,0)))</f>
        <v/>
      </c>
      <c r="D290" s="19">
        <f>IF($A290="","",INDEX('부의금 입력'!$D$2:$D$1001,MATCH($A290,'부의금 입력'!$H$2:$H$1001,0))&amp;"")</f>
        <v/>
      </c>
      <c r="E290" s="19">
        <f>IF($A290="","",INDEX('부의금 입력'!$E$2:$E$1001,MATCH($A290,'부의금 입력'!$H$2:$H$1001,0))&amp;"")</f>
        <v/>
      </c>
      <c r="H290" s="19">
        <f>IF(287&gt;$I$1,"",INDEX('근조 화환'!$B$2:$B$501,MATCH(287,'근조 화환'!$G$2:$G$501,0))&amp;"")</f>
        <v/>
      </c>
      <c r="I290" s="19">
        <f>IF(287&gt;$I$1,"",INDEX('근조 화환'!$C$2:$C$501,MATCH(287,'근조 화환'!$G$2:$G$501,0))&amp;"")</f>
        <v/>
      </c>
      <c r="J290" s="19">
        <f>IF(287&gt;$I$1,"",INDEX('근조 화환'!$D$2:$D$501,MATCH(287,'근조 화환'!$G$2:$G$501,0))&amp;"")</f>
        <v/>
      </c>
      <c r="K290" s="19">
        <f>IF(287&gt;$I$1,"",INDEX('근조 화환'!$E$2:$E$501,MATCH(287,'근조 화환'!$G$2:$G$501,0))&amp;"")</f>
        <v/>
      </c>
    </row>
    <row r="291">
      <c r="A291" s="19">
        <f>IF(288&lt;=$F$1,288,"")</f>
        <v/>
      </c>
      <c r="B291" s="19">
        <f>IF($A291="","",INDEX('부의금 입력'!$B$2:$B$1001,MATCH($A291,'부의금 입력'!$H$2:$H$1001,0))&amp;"")</f>
        <v/>
      </c>
      <c r="C291" s="21">
        <f>IF($A291="","",INDEX('부의금 입력'!$C$2:$C$1001,MATCH($A291,'부의금 입력'!$H$2:$H$1001,0)))</f>
        <v/>
      </c>
      <c r="D291" s="19">
        <f>IF($A291="","",INDEX('부의금 입력'!$D$2:$D$1001,MATCH($A291,'부의금 입력'!$H$2:$H$1001,0))&amp;"")</f>
        <v/>
      </c>
      <c r="E291" s="19">
        <f>IF($A291="","",INDEX('부의금 입력'!$E$2:$E$1001,MATCH($A291,'부의금 입력'!$H$2:$H$1001,0))&amp;"")</f>
        <v/>
      </c>
      <c r="H291" s="19">
        <f>IF(288&gt;$I$1,"",INDEX('근조 화환'!$B$2:$B$501,MATCH(288,'근조 화환'!$G$2:$G$501,0))&amp;"")</f>
        <v/>
      </c>
      <c r="I291" s="19">
        <f>IF(288&gt;$I$1,"",INDEX('근조 화환'!$C$2:$C$501,MATCH(288,'근조 화환'!$G$2:$G$501,0))&amp;"")</f>
        <v/>
      </c>
      <c r="J291" s="19">
        <f>IF(288&gt;$I$1,"",INDEX('근조 화환'!$D$2:$D$501,MATCH(288,'근조 화환'!$G$2:$G$501,0))&amp;"")</f>
        <v/>
      </c>
      <c r="K291" s="19">
        <f>IF(288&gt;$I$1,"",INDEX('근조 화환'!$E$2:$E$501,MATCH(288,'근조 화환'!$G$2:$G$501,0))&amp;"")</f>
        <v/>
      </c>
    </row>
    <row r="292">
      <c r="A292" s="19">
        <f>IF(289&lt;=$F$1,289,"")</f>
        <v/>
      </c>
      <c r="B292" s="19">
        <f>IF($A292="","",INDEX('부의금 입력'!$B$2:$B$1001,MATCH($A292,'부의금 입력'!$H$2:$H$1001,0))&amp;"")</f>
        <v/>
      </c>
      <c r="C292" s="21">
        <f>IF($A292="","",INDEX('부의금 입력'!$C$2:$C$1001,MATCH($A292,'부의금 입력'!$H$2:$H$1001,0)))</f>
        <v/>
      </c>
      <c r="D292" s="19">
        <f>IF($A292="","",INDEX('부의금 입력'!$D$2:$D$1001,MATCH($A292,'부의금 입력'!$H$2:$H$1001,0))&amp;"")</f>
        <v/>
      </c>
      <c r="E292" s="19">
        <f>IF($A292="","",INDEX('부의금 입력'!$E$2:$E$1001,MATCH($A292,'부의금 입력'!$H$2:$H$1001,0))&amp;"")</f>
        <v/>
      </c>
      <c r="H292" s="19">
        <f>IF(289&gt;$I$1,"",INDEX('근조 화환'!$B$2:$B$501,MATCH(289,'근조 화환'!$G$2:$G$501,0))&amp;"")</f>
        <v/>
      </c>
      <c r="I292" s="19">
        <f>IF(289&gt;$I$1,"",INDEX('근조 화환'!$C$2:$C$501,MATCH(289,'근조 화환'!$G$2:$G$501,0))&amp;"")</f>
        <v/>
      </c>
      <c r="J292" s="19">
        <f>IF(289&gt;$I$1,"",INDEX('근조 화환'!$D$2:$D$501,MATCH(289,'근조 화환'!$G$2:$G$501,0))&amp;"")</f>
        <v/>
      </c>
      <c r="K292" s="19">
        <f>IF(289&gt;$I$1,"",INDEX('근조 화환'!$E$2:$E$501,MATCH(289,'근조 화환'!$G$2:$G$501,0))&amp;"")</f>
        <v/>
      </c>
    </row>
    <row r="293">
      <c r="A293" s="19">
        <f>IF(290&lt;=$F$1,290,"")</f>
        <v/>
      </c>
      <c r="B293" s="19">
        <f>IF($A293="","",INDEX('부의금 입력'!$B$2:$B$1001,MATCH($A293,'부의금 입력'!$H$2:$H$1001,0))&amp;"")</f>
        <v/>
      </c>
      <c r="C293" s="21">
        <f>IF($A293="","",INDEX('부의금 입력'!$C$2:$C$1001,MATCH($A293,'부의금 입력'!$H$2:$H$1001,0)))</f>
        <v/>
      </c>
      <c r="D293" s="19">
        <f>IF($A293="","",INDEX('부의금 입력'!$D$2:$D$1001,MATCH($A293,'부의금 입력'!$H$2:$H$1001,0))&amp;"")</f>
        <v/>
      </c>
      <c r="E293" s="19">
        <f>IF($A293="","",INDEX('부의금 입력'!$E$2:$E$1001,MATCH($A293,'부의금 입력'!$H$2:$H$1001,0))&amp;"")</f>
        <v/>
      </c>
      <c r="H293" s="19">
        <f>IF(290&gt;$I$1,"",INDEX('근조 화환'!$B$2:$B$501,MATCH(290,'근조 화환'!$G$2:$G$501,0))&amp;"")</f>
        <v/>
      </c>
      <c r="I293" s="19">
        <f>IF(290&gt;$I$1,"",INDEX('근조 화환'!$C$2:$C$501,MATCH(290,'근조 화환'!$G$2:$G$501,0))&amp;"")</f>
        <v/>
      </c>
      <c r="J293" s="19">
        <f>IF(290&gt;$I$1,"",INDEX('근조 화환'!$D$2:$D$501,MATCH(290,'근조 화환'!$G$2:$G$501,0))&amp;"")</f>
        <v/>
      </c>
      <c r="K293" s="19">
        <f>IF(290&gt;$I$1,"",INDEX('근조 화환'!$E$2:$E$501,MATCH(290,'근조 화환'!$G$2:$G$501,0))&amp;"")</f>
        <v/>
      </c>
    </row>
    <row r="294">
      <c r="A294" s="19">
        <f>IF(291&lt;=$F$1,291,"")</f>
        <v/>
      </c>
      <c r="B294" s="19">
        <f>IF($A294="","",INDEX('부의금 입력'!$B$2:$B$1001,MATCH($A294,'부의금 입력'!$H$2:$H$1001,0))&amp;"")</f>
        <v/>
      </c>
      <c r="C294" s="21">
        <f>IF($A294="","",INDEX('부의금 입력'!$C$2:$C$1001,MATCH($A294,'부의금 입력'!$H$2:$H$1001,0)))</f>
        <v/>
      </c>
      <c r="D294" s="19">
        <f>IF($A294="","",INDEX('부의금 입력'!$D$2:$D$1001,MATCH($A294,'부의금 입력'!$H$2:$H$1001,0))&amp;"")</f>
        <v/>
      </c>
      <c r="E294" s="19">
        <f>IF($A294="","",INDEX('부의금 입력'!$E$2:$E$1001,MATCH($A294,'부의금 입력'!$H$2:$H$1001,0))&amp;"")</f>
        <v/>
      </c>
      <c r="H294" s="19">
        <f>IF(291&gt;$I$1,"",INDEX('근조 화환'!$B$2:$B$501,MATCH(291,'근조 화환'!$G$2:$G$501,0))&amp;"")</f>
        <v/>
      </c>
      <c r="I294" s="19">
        <f>IF(291&gt;$I$1,"",INDEX('근조 화환'!$C$2:$C$501,MATCH(291,'근조 화환'!$G$2:$G$501,0))&amp;"")</f>
        <v/>
      </c>
      <c r="J294" s="19">
        <f>IF(291&gt;$I$1,"",INDEX('근조 화환'!$D$2:$D$501,MATCH(291,'근조 화환'!$G$2:$G$501,0))&amp;"")</f>
        <v/>
      </c>
      <c r="K294" s="19">
        <f>IF(291&gt;$I$1,"",INDEX('근조 화환'!$E$2:$E$501,MATCH(291,'근조 화환'!$G$2:$G$501,0))&amp;"")</f>
        <v/>
      </c>
    </row>
    <row r="295">
      <c r="A295" s="19">
        <f>IF(292&lt;=$F$1,292,"")</f>
        <v/>
      </c>
      <c r="B295" s="19">
        <f>IF($A295="","",INDEX('부의금 입력'!$B$2:$B$1001,MATCH($A295,'부의금 입력'!$H$2:$H$1001,0))&amp;"")</f>
        <v/>
      </c>
      <c r="C295" s="21">
        <f>IF($A295="","",INDEX('부의금 입력'!$C$2:$C$1001,MATCH($A295,'부의금 입력'!$H$2:$H$1001,0)))</f>
        <v/>
      </c>
      <c r="D295" s="19">
        <f>IF($A295="","",INDEX('부의금 입력'!$D$2:$D$1001,MATCH($A295,'부의금 입력'!$H$2:$H$1001,0))&amp;"")</f>
        <v/>
      </c>
      <c r="E295" s="19">
        <f>IF($A295="","",INDEX('부의금 입력'!$E$2:$E$1001,MATCH($A295,'부의금 입력'!$H$2:$H$1001,0))&amp;"")</f>
        <v/>
      </c>
      <c r="H295" s="19">
        <f>IF(292&gt;$I$1,"",INDEX('근조 화환'!$B$2:$B$501,MATCH(292,'근조 화환'!$G$2:$G$501,0))&amp;"")</f>
        <v/>
      </c>
      <c r="I295" s="19">
        <f>IF(292&gt;$I$1,"",INDEX('근조 화환'!$C$2:$C$501,MATCH(292,'근조 화환'!$G$2:$G$501,0))&amp;"")</f>
        <v/>
      </c>
      <c r="J295" s="19">
        <f>IF(292&gt;$I$1,"",INDEX('근조 화환'!$D$2:$D$501,MATCH(292,'근조 화환'!$G$2:$G$501,0))&amp;"")</f>
        <v/>
      </c>
      <c r="K295" s="19">
        <f>IF(292&gt;$I$1,"",INDEX('근조 화환'!$E$2:$E$501,MATCH(292,'근조 화환'!$G$2:$G$501,0))&amp;"")</f>
        <v/>
      </c>
    </row>
    <row r="296">
      <c r="A296" s="19">
        <f>IF(293&lt;=$F$1,293,"")</f>
        <v/>
      </c>
      <c r="B296" s="19">
        <f>IF($A296="","",INDEX('부의금 입력'!$B$2:$B$1001,MATCH($A296,'부의금 입력'!$H$2:$H$1001,0))&amp;"")</f>
        <v/>
      </c>
      <c r="C296" s="21">
        <f>IF($A296="","",INDEX('부의금 입력'!$C$2:$C$1001,MATCH($A296,'부의금 입력'!$H$2:$H$1001,0)))</f>
        <v/>
      </c>
      <c r="D296" s="19">
        <f>IF($A296="","",INDEX('부의금 입력'!$D$2:$D$1001,MATCH($A296,'부의금 입력'!$H$2:$H$1001,0))&amp;"")</f>
        <v/>
      </c>
      <c r="E296" s="19">
        <f>IF($A296="","",INDEX('부의금 입력'!$E$2:$E$1001,MATCH($A296,'부의금 입력'!$H$2:$H$1001,0))&amp;"")</f>
        <v/>
      </c>
      <c r="H296" s="19">
        <f>IF(293&gt;$I$1,"",INDEX('근조 화환'!$B$2:$B$501,MATCH(293,'근조 화환'!$G$2:$G$501,0))&amp;"")</f>
        <v/>
      </c>
      <c r="I296" s="19">
        <f>IF(293&gt;$I$1,"",INDEX('근조 화환'!$C$2:$C$501,MATCH(293,'근조 화환'!$G$2:$G$501,0))&amp;"")</f>
        <v/>
      </c>
      <c r="J296" s="19">
        <f>IF(293&gt;$I$1,"",INDEX('근조 화환'!$D$2:$D$501,MATCH(293,'근조 화환'!$G$2:$G$501,0))&amp;"")</f>
        <v/>
      </c>
      <c r="K296" s="19">
        <f>IF(293&gt;$I$1,"",INDEX('근조 화환'!$E$2:$E$501,MATCH(293,'근조 화환'!$G$2:$G$501,0))&amp;"")</f>
        <v/>
      </c>
    </row>
    <row r="297">
      <c r="A297" s="19">
        <f>IF(294&lt;=$F$1,294,"")</f>
        <v/>
      </c>
      <c r="B297" s="19">
        <f>IF($A297="","",INDEX('부의금 입력'!$B$2:$B$1001,MATCH($A297,'부의금 입력'!$H$2:$H$1001,0))&amp;"")</f>
        <v/>
      </c>
      <c r="C297" s="21">
        <f>IF($A297="","",INDEX('부의금 입력'!$C$2:$C$1001,MATCH($A297,'부의금 입력'!$H$2:$H$1001,0)))</f>
        <v/>
      </c>
      <c r="D297" s="19">
        <f>IF($A297="","",INDEX('부의금 입력'!$D$2:$D$1001,MATCH($A297,'부의금 입력'!$H$2:$H$1001,0))&amp;"")</f>
        <v/>
      </c>
      <c r="E297" s="19">
        <f>IF($A297="","",INDEX('부의금 입력'!$E$2:$E$1001,MATCH($A297,'부의금 입력'!$H$2:$H$1001,0))&amp;"")</f>
        <v/>
      </c>
      <c r="H297" s="19">
        <f>IF(294&gt;$I$1,"",INDEX('근조 화환'!$B$2:$B$501,MATCH(294,'근조 화환'!$G$2:$G$501,0))&amp;"")</f>
        <v/>
      </c>
      <c r="I297" s="19">
        <f>IF(294&gt;$I$1,"",INDEX('근조 화환'!$C$2:$C$501,MATCH(294,'근조 화환'!$G$2:$G$501,0))&amp;"")</f>
        <v/>
      </c>
      <c r="J297" s="19">
        <f>IF(294&gt;$I$1,"",INDEX('근조 화환'!$D$2:$D$501,MATCH(294,'근조 화환'!$G$2:$G$501,0))&amp;"")</f>
        <v/>
      </c>
      <c r="K297" s="19">
        <f>IF(294&gt;$I$1,"",INDEX('근조 화환'!$E$2:$E$501,MATCH(294,'근조 화환'!$G$2:$G$501,0))&amp;"")</f>
        <v/>
      </c>
    </row>
    <row r="298">
      <c r="A298" s="19">
        <f>IF(295&lt;=$F$1,295,"")</f>
        <v/>
      </c>
      <c r="B298" s="19">
        <f>IF($A298="","",INDEX('부의금 입력'!$B$2:$B$1001,MATCH($A298,'부의금 입력'!$H$2:$H$1001,0))&amp;"")</f>
        <v/>
      </c>
      <c r="C298" s="21">
        <f>IF($A298="","",INDEX('부의금 입력'!$C$2:$C$1001,MATCH($A298,'부의금 입력'!$H$2:$H$1001,0)))</f>
        <v/>
      </c>
      <c r="D298" s="19">
        <f>IF($A298="","",INDEX('부의금 입력'!$D$2:$D$1001,MATCH($A298,'부의금 입력'!$H$2:$H$1001,0))&amp;"")</f>
        <v/>
      </c>
      <c r="E298" s="19">
        <f>IF($A298="","",INDEX('부의금 입력'!$E$2:$E$1001,MATCH($A298,'부의금 입력'!$H$2:$H$1001,0))&amp;"")</f>
        <v/>
      </c>
      <c r="H298" s="19">
        <f>IF(295&gt;$I$1,"",INDEX('근조 화환'!$B$2:$B$501,MATCH(295,'근조 화환'!$G$2:$G$501,0))&amp;"")</f>
        <v/>
      </c>
      <c r="I298" s="19">
        <f>IF(295&gt;$I$1,"",INDEX('근조 화환'!$C$2:$C$501,MATCH(295,'근조 화환'!$G$2:$G$501,0))&amp;"")</f>
        <v/>
      </c>
      <c r="J298" s="19">
        <f>IF(295&gt;$I$1,"",INDEX('근조 화환'!$D$2:$D$501,MATCH(295,'근조 화환'!$G$2:$G$501,0))&amp;"")</f>
        <v/>
      </c>
      <c r="K298" s="19">
        <f>IF(295&gt;$I$1,"",INDEX('근조 화환'!$E$2:$E$501,MATCH(295,'근조 화환'!$G$2:$G$501,0))&amp;"")</f>
        <v/>
      </c>
    </row>
    <row r="299">
      <c r="A299" s="19">
        <f>IF(296&lt;=$F$1,296,"")</f>
        <v/>
      </c>
      <c r="B299" s="19">
        <f>IF($A299="","",INDEX('부의금 입력'!$B$2:$B$1001,MATCH($A299,'부의금 입력'!$H$2:$H$1001,0))&amp;"")</f>
        <v/>
      </c>
      <c r="C299" s="21">
        <f>IF($A299="","",INDEX('부의금 입력'!$C$2:$C$1001,MATCH($A299,'부의금 입력'!$H$2:$H$1001,0)))</f>
        <v/>
      </c>
      <c r="D299" s="19">
        <f>IF($A299="","",INDEX('부의금 입력'!$D$2:$D$1001,MATCH($A299,'부의금 입력'!$H$2:$H$1001,0))&amp;"")</f>
        <v/>
      </c>
      <c r="E299" s="19">
        <f>IF($A299="","",INDEX('부의금 입력'!$E$2:$E$1001,MATCH($A299,'부의금 입력'!$H$2:$H$1001,0))&amp;"")</f>
        <v/>
      </c>
      <c r="H299" s="19">
        <f>IF(296&gt;$I$1,"",INDEX('근조 화환'!$B$2:$B$501,MATCH(296,'근조 화환'!$G$2:$G$501,0))&amp;"")</f>
        <v/>
      </c>
      <c r="I299" s="19">
        <f>IF(296&gt;$I$1,"",INDEX('근조 화환'!$C$2:$C$501,MATCH(296,'근조 화환'!$G$2:$G$501,0))&amp;"")</f>
        <v/>
      </c>
      <c r="J299" s="19">
        <f>IF(296&gt;$I$1,"",INDEX('근조 화환'!$D$2:$D$501,MATCH(296,'근조 화환'!$G$2:$G$501,0))&amp;"")</f>
        <v/>
      </c>
      <c r="K299" s="19">
        <f>IF(296&gt;$I$1,"",INDEX('근조 화환'!$E$2:$E$501,MATCH(296,'근조 화환'!$G$2:$G$501,0))&amp;"")</f>
        <v/>
      </c>
    </row>
    <row r="300">
      <c r="A300" s="19">
        <f>IF(297&lt;=$F$1,297,"")</f>
        <v/>
      </c>
      <c r="B300" s="19">
        <f>IF($A300="","",INDEX('부의금 입력'!$B$2:$B$1001,MATCH($A300,'부의금 입력'!$H$2:$H$1001,0))&amp;"")</f>
        <v/>
      </c>
      <c r="C300" s="21">
        <f>IF($A300="","",INDEX('부의금 입력'!$C$2:$C$1001,MATCH($A300,'부의금 입력'!$H$2:$H$1001,0)))</f>
        <v/>
      </c>
      <c r="D300" s="19">
        <f>IF($A300="","",INDEX('부의금 입력'!$D$2:$D$1001,MATCH($A300,'부의금 입력'!$H$2:$H$1001,0))&amp;"")</f>
        <v/>
      </c>
      <c r="E300" s="19">
        <f>IF($A300="","",INDEX('부의금 입력'!$E$2:$E$1001,MATCH($A300,'부의금 입력'!$H$2:$H$1001,0))&amp;"")</f>
        <v/>
      </c>
      <c r="H300" s="19">
        <f>IF(297&gt;$I$1,"",INDEX('근조 화환'!$B$2:$B$501,MATCH(297,'근조 화환'!$G$2:$G$501,0))&amp;"")</f>
        <v/>
      </c>
      <c r="I300" s="19">
        <f>IF(297&gt;$I$1,"",INDEX('근조 화환'!$C$2:$C$501,MATCH(297,'근조 화환'!$G$2:$G$501,0))&amp;"")</f>
        <v/>
      </c>
      <c r="J300" s="19">
        <f>IF(297&gt;$I$1,"",INDEX('근조 화환'!$D$2:$D$501,MATCH(297,'근조 화환'!$G$2:$G$501,0))&amp;"")</f>
        <v/>
      </c>
      <c r="K300" s="19">
        <f>IF(297&gt;$I$1,"",INDEX('근조 화환'!$E$2:$E$501,MATCH(297,'근조 화환'!$G$2:$G$501,0))&amp;"")</f>
        <v/>
      </c>
    </row>
    <row r="301">
      <c r="A301" s="19">
        <f>IF(298&lt;=$F$1,298,"")</f>
        <v/>
      </c>
      <c r="B301" s="19">
        <f>IF($A301="","",INDEX('부의금 입력'!$B$2:$B$1001,MATCH($A301,'부의금 입력'!$H$2:$H$1001,0))&amp;"")</f>
        <v/>
      </c>
      <c r="C301" s="21">
        <f>IF($A301="","",INDEX('부의금 입력'!$C$2:$C$1001,MATCH($A301,'부의금 입력'!$H$2:$H$1001,0)))</f>
        <v/>
      </c>
      <c r="D301" s="19">
        <f>IF($A301="","",INDEX('부의금 입력'!$D$2:$D$1001,MATCH($A301,'부의금 입력'!$H$2:$H$1001,0))&amp;"")</f>
        <v/>
      </c>
      <c r="E301" s="19">
        <f>IF($A301="","",INDEX('부의금 입력'!$E$2:$E$1001,MATCH($A301,'부의금 입력'!$H$2:$H$1001,0))&amp;"")</f>
        <v/>
      </c>
      <c r="H301" s="19">
        <f>IF(298&gt;$I$1,"",INDEX('근조 화환'!$B$2:$B$501,MATCH(298,'근조 화환'!$G$2:$G$501,0))&amp;"")</f>
        <v/>
      </c>
      <c r="I301" s="19">
        <f>IF(298&gt;$I$1,"",INDEX('근조 화환'!$C$2:$C$501,MATCH(298,'근조 화환'!$G$2:$G$501,0))&amp;"")</f>
        <v/>
      </c>
      <c r="J301" s="19">
        <f>IF(298&gt;$I$1,"",INDEX('근조 화환'!$D$2:$D$501,MATCH(298,'근조 화환'!$G$2:$G$501,0))&amp;"")</f>
        <v/>
      </c>
      <c r="K301" s="19">
        <f>IF(298&gt;$I$1,"",INDEX('근조 화환'!$E$2:$E$501,MATCH(298,'근조 화환'!$G$2:$G$501,0))&amp;"")</f>
        <v/>
      </c>
    </row>
    <row r="302">
      <c r="A302" s="19">
        <f>IF(299&lt;=$F$1,299,"")</f>
        <v/>
      </c>
      <c r="B302" s="19">
        <f>IF($A302="","",INDEX('부의금 입력'!$B$2:$B$1001,MATCH($A302,'부의금 입력'!$H$2:$H$1001,0))&amp;"")</f>
        <v/>
      </c>
      <c r="C302" s="21">
        <f>IF($A302="","",INDEX('부의금 입력'!$C$2:$C$1001,MATCH($A302,'부의금 입력'!$H$2:$H$1001,0)))</f>
        <v/>
      </c>
      <c r="D302" s="19">
        <f>IF($A302="","",INDEX('부의금 입력'!$D$2:$D$1001,MATCH($A302,'부의금 입력'!$H$2:$H$1001,0))&amp;"")</f>
        <v/>
      </c>
      <c r="E302" s="19">
        <f>IF($A302="","",INDEX('부의금 입력'!$E$2:$E$1001,MATCH($A302,'부의금 입력'!$H$2:$H$1001,0))&amp;"")</f>
        <v/>
      </c>
      <c r="H302" s="19">
        <f>IF(299&gt;$I$1,"",INDEX('근조 화환'!$B$2:$B$501,MATCH(299,'근조 화환'!$G$2:$G$501,0))&amp;"")</f>
        <v/>
      </c>
      <c r="I302" s="19">
        <f>IF(299&gt;$I$1,"",INDEX('근조 화환'!$C$2:$C$501,MATCH(299,'근조 화환'!$G$2:$G$501,0))&amp;"")</f>
        <v/>
      </c>
      <c r="J302" s="19">
        <f>IF(299&gt;$I$1,"",INDEX('근조 화환'!$D$2:$D$501,MATCH(299,'근조 화환'!$G$2:$G$501,0))&amp;"")</f>
        <v/>
      </c>
      <c r="K302" s="19">
        <f>IF(299&gt;$I$1,"",INDEX('근조 화환'!$E$2:$E$501,MATCH(299,'근조 화환'!$G$2:$G$501,0))&amp;"")</f>
        <v/>
      </c>
    </row>
    <row r="303">
      <c r="A303" s="19">
        <f>IF(300&lt;=$F$1,300,"")</f>
        <v/>
      </c>
      <c r="B303" s="19">
        <f>IF($A303="","",INDEX('부의금 입력'!$B$2:$B$1001,MATCH($A303,'부의금 입력'!$H$2:$H$1001,0))&amp;"")</f>
        <v/>
      </c>
      <c r="C303" s="21">
        <f>IF($A303="","",INDEX('부의금 입력'!$C$2:$C$1001,MATCH($A303,'부의금 입력'!$H$2:$H$1001,0)))</f>
        <v/>
      </c>
      <c r="D303" s="19">
        <f>IF($A303="","",INDEX('부의금 입력'!$D$2:$D$1001,MATCH($A303,'부의금 입력'!$H$2:$H$1001,0))&amp;"")</f>
        <v/>
      </c>
      <c r="E303" s="19">
        <f>IF($A303="","",INDEX('부의금 입력'!$E$2:$E$1001,MATCH($A303,'부의금 입력'!$H$2:$H$1001,0))&amp;"")</f>
        <v/>
      </c>
      <c r="H303" s="19">
        <f>IF(300&gt;$I$1,"",INDEX('근조 화환'!$B$2:$B$501,MATCH(300,'근조 화환'!$G$2:$G$501,0))&amp;"")</f>
        <v/>
      </c>
      <c r="I303" s="19">
        <f>IF(300&gt;$I$1,"",INDEX('근조 화환'!$C$2:$C$501,MATCH(300,'근조 화환'!$G$2:$G$501,0))&amp;"")</f>
        <v/>
      </c>
      <c r="J303" s="19">
        <f>IF(300&gt;$I$1,"",INDEX('근조 화환'!$D$2:$D$501,MATCH(300,'근조 화환'!$G$2:$G$501,0))&amp;"")</f>
        <v/>
      </c>
      <c r="K303" s="19">
        <f>IF(300&gt;$I$1,"",INDEX('근조 화환'!$E$2:$E$501,MATCH(300,'근조 화환'!$G$2:$G$501,0))&amp;"")</f>
        <v/>
      </c>
    </row>
    <row r="304">
      <c r="A304" s="19">
        <f>IF(301&lt;=$F$1,301,"")</f>
        <v/>
      </c>
      <c r="B304" s="19">
        <f>IF($A304="","",INDEX('부의금 입력'!$B$2:$B$1001,MATCH($A304,'부의금 입력'!$H$2:$H$1001,0))&amp;"")</f>
        <v/>
      </c>
      <c r="C304" s="21">
        <f>IF($A304="","",INDEX('부의금 입력'!$C$2:$C$1001,MATCH($A304,'부의금 입력'!$H$2:$H$1001,0)))</f>
        <v/>
      </c>
      <c r="D304" s="19">
        <f>IF($A304="","",INDEX('부의금 입력'!$D$2:$D$1001,MATCH($A304,'부의금 입력'!$H$2:$H$1001,0))&amp;"")</f>
        <v/>
      </c>
      <c r="E304" s="19">
        <f>IF($A304="","",INDEX('부의금 입력'!$E$2:$E$1001,MATCH($A304,'부의금 입력'!$H$2:$H$1001,0))&amp;"")</f>
        <v/>
      </c>
      <c r="H304" s="19">
        <f>IF(301&gt;$I$1,"",INDEX('근조 화환'!$B$2:$B$501,MATCH(301,'근조 화환'!$G$2:$G$501,0))&amp;"")</f>
        <v/>
      </c>
      <c r="I304" s="19">
        <f>IF(301&gt;$I$1,"",INDEX('근조 화환'!$C$2:$C$501,MATCH(301,'근조 화환'!$G$2:$G$501,0))&amp;"")</f>
        <v/>
      </c>
      <c r="J304" s="19">
        <f>IF(301&gt;$I$1,"",INDEX('근조 화환'!$D$2:$D$501,MATCH(301,'근조 화환'!$G$2:$G$501,0))&amp;"")</f>
        <v/>
      </c>
      <c r="K304" s="19">
        <f>IF(301&gt;$I$1,"",INDEX('근조 화환'!$E$2:$E$501,MATCH(301,'근조 화환'!$G$2:$G$501,0))&amp;"")</f>
        <v/>
      </c>
    </row>
    <row r="305">
      <c r="A305" s="19">
        <f>IF(302&lt;=$F$1,302,"")</f>
        <v/>
      </c>
      <c r="B305" s="19">
        <f>IF($A305="","",INDEX('부의금 입력'!$B$2:$B$1001,MATCH($A305,'부의금 입력'!$H$2:$H$1001,0))&amp;"")</f>
        <v/>
      </c>
      <c r="C305" s="21">
        <f>IF($A305="","",INDEX('부의금 입력'!$C$2:$C$1001,MATCH($A305,'부의금 입력'!$H$2:$H$1001,0)))</f>
        <v/>
      </c>
      <c r="D305" s="19">
        <f>IF($A305="","",INDEX('부의금 입력'!$D$2:$D$1001,MATCH($A305,'부의금 입력'!$H$2:$H$1001,0))&amp;"")</f>
        <v/>
      </c>
      <c r="E305" s="19">
        <f>IF($A305="","",INDEX('부의금 입력'!$E$2:$E$1001,MATCH($A305,'부의금 입력'!$H$2:$H$1001,0))&amp;"")</f>
        <v/>
      </c>
      <c r="H305" s="19">
        <f>IF(302&gt;$I$1,"",INDEX('근조 화환'!$B$2:$B$501,MATCH(302,'근조 화환'!$G$2:$G$501,0))&amp;"")</f>
        <v/>
      </c>
      <c r="I305" s="19">
        <f>IF(302&gt;$I$1,"",INDEX('근조 화환'!$C$2:$C$501,MATCH(302,'근조 화환'!$G$2:$G$501,0))&amp;"")</f>
        <v/>
      </c>
      <c r="J305" s="19">
        <f>IF(302&gt;$I$1,"",INDEX('근조 화환'!$D$2:$D$501,MATCH(302,'근조 화환'!$G$2:$G$501,0))&amp;"")</f>
        <v/>
      </c>
      <c r="K305" s="19">
        <f>IF(302&gt;$I$1,"",INDEX('근조 화환'!$E$2:$E$501,MATCH(302,'근조 화환'!$G$2:$G$501,0))&amp;"")</f>
        <v/>
      </c>
    </row>
    <row r="306">
      <c r="A306" s="19">
        <f>IF(303&lt;=$F$1,303,"")</f>
        <v/>
      </c>
      <c r="B306" s="19">
        <f>IF($A306="","",INDEX('부의금 입력'!$B$2:$B$1001,MATCH($A306,'부의금 입력'!$H$2:$H$1001,0))&amp;"")</f>
        <v/>
      </c>
      <c r="C306" s="21">
        <f>IF($A306="","",INDEX('부의금 입력'!$C$2:$C$1001,MATCH($A306,'부의금 입력'!$H$2:$H$1001,0)))</f>
        <v/>
      </c>
      <c r="D306" s="19">
        <f>IF($A306="","",INDEX('부의금 입력'!$D$2:$D$1001,MATCH($A306,'부의금 입력'!$H$2:$H$1001,0))&amp;"")</f>
        <v/>
      </c>
      <c r="E306" s="19">
        <f>IF($A306="","",INDEX('부의금 입력'!$E$2:$E$1001,MATCH($A306,'부의금 입력'!$H$2:$H$1001,0))&amp;"")</f>
        <v/>
      </c>
      <c r="H306" s="19">
        <f>IF(303&gt;$I$1,"",INDEX('근조 화환'!$B$2:$B$501,MATCH(303,'근조 화환'!$G$2:$G$501,0))&amp;"")</f>
        <v/>
      </c>
      <c r="I306" s="19">
        <f>IF(303&gt;$I$1,"",INDEX('근조 화환'!$C$2:$C$501,MATCH(303,'근조 화환'!$G$2:$G$501,0))&amp;"")</f>
        <v/>
      </c>
      <c r="J306" s="19">
        <f>IF(303&gt;$I$1,"",INDEX('근조 화환'!$D$2:$D$501,MATCH(303,'근조 화환'!$G$2:$G$501,0))&amp;"")</f>
        <v/>
      </c>
      <c r="K306" s="19">
        <f>IF(303&gt;$I$1,"",INDEX('근조 화환'!$E$2:$E$501,MATCH(303,'근조 화환'!$G$2:$G$501,0))&amp;"")</f>
        <v/>
      </c>
    </row>
    <row r="307">
      <c r="A307" s="19">
        <f>IF(304&lt;=$F$1,304,"")</f>
        <v/>
      </c>
      <c r="B307" s="19">
        <f>IF($A307="","",INDEX('부의금 입력'!$B$2:$B$1001,MATCH($A307,'부의금 입력'!$H$2:$H$1001,0))&amp;"")</f>
        <v/>
      </c>
      <c r="C307" s="21">
        <f>IF($A307="","",INDEX('부의금 입력'!$C$2:$C$1001,MATCH($A307,'부의금 입력'!$H$2:$H$1001,0)))</f>
        <v/>
      </c>
      <c r="D307" s="19">
        <f>IF($A307="","",INDEX('부의금 입력'!$D$2:$D$1001,MATCH($A307,'부의금 입력'!$H$2:$H$1001,0))&amp;"")</f>
        <v/>
      </c>
      <c r="E307" s="19">
        <f>IF($A307="","",INDEX('부의금 입력'!$E$2:$E$1001,MATCH($A307,'부의금 입력'!$H$2:$H$1001,0))&amp;"")</f>
        <v/>
      </c>
      <c r="H307" s="19">
        <f>IF(304&gt;$I$1,"",INDEX('근조 화환'!$B$2:$B$501,MATCH(304,'근조 화환'!$G$2:$G$501,0))&amp;"")</f>
        <v/>
      </c>
      <c r="I307" s="19">
        <f>IF(304&gt;$I$1,"",INDEX('근조 화환'!$C$2:$C$501,MATCH(304,'근조 화환'!$G$2:$G$501,0))&amp;"")</f>
        <v/>
      </c>
      <c r="J307" s="19">
        <f>IF(304&gt;$I$1,"",INDEX('근조 화환'!$D$2:$D$501,MATCH(304,'근조 화환'!$G$2:$G$501,0))&amp;"")</f>
        <v/>
      </c>
      <c r="K307" s="19">
        <f>IF(304&gt;$I$1,"",INDEX('근조 화환'!$E$2:$E$501,MATCH(304,'근조 화환'!$G$2:$G$501,0))&amp;"")</f>
        <v/>
      </c>
    </row>
    <row r="308">
      <c r="A308" s="19">
        <f>IF(305&lt;=$F$1,305,"")</f>
        <v/>
      </c>
      <c r="B308" s="19">
        <f>IF($A308="","",INDEX('부의금 입력'!$B$2:$B$1001,MATCH($A308,'부의금 입력'!$H$2:$H$1001,0))&amp;"")</f>
        <v/>
      </c>
      <c r="C308" s="21">
        <f>IF($A308="","",INDEX('부의금 입력'!$C$2:$C$1001,MATCH($A308,'부의금 입력'!$H$2:$H$1001,0)))</f>
        <v/>
      </c>
      <c r="D308" s="19">
        <f>IF($A308="","",INDEX('부의금 입력'!$D$2:$D$1001,MATCH($A308,'부의금 입력'!$H$2:$H$1001,0))&amp;"")</f>
        <v/>
      </c>
      <c r="E308" s="19">
        <f>IF($A308="","",INDEX('부의금 입력'!$E$2:$E$1001,MATCH($A308,'부의금 입력'!$H$2:$H$1001,0))&amp;"")</f>
        <v/>
      </c>
      <c r="H308" s="19">
        <f>IF(305&gt;$I$1,"",INDEX('근조 화환'!$B$2:$B$501,MATCH(305,'근조 화환'!$G$2:$G$501,0))&amp;"")</f>
        <v/>
      </c>
      <c r="I308" s="19">
        <f>IF(305&gt;$I$1,"",INDEX('근조 화환'!$C$2:$C$501,MATCH(305,'근조 화환'!$G$2:$G$501,0))&amp;"")</f>
        <v/>
      </c>
      <c r="J308" s="19">
        <f>IF(305&gt;$I$1,"",INDEX('근조 화환'!$D$2:$D$501,MATCH(305,'근조 화환'!$G$2:$G$501,0))&amp;"")</f>
        <v/>
      </c>
      <c r="K308" s="19">
        <f>IF(305&gt;$I$1,"",INDEX('근조 화환'!$E$2:$E$501,MATCH(305,'근조 화환'!$G$2:$G$501,0))&amp;"")</f>
        <v/>
      </c>
    </row>
    <row r="309">
      <c r="A309" s="19">
        <f>IF(306&lt;=$F$1,306,"")</f>
        <v/>
      </c>
      <c r="B309" s="19">
        <f>IF($A309="","",INDEX('부의금 입력'!$B$2:$B$1001,MATCH($A309,'부의금 입력'!$H$2:$H$1001,0))&amp;"")</f>
        <v/>
      </c>
      <c r="C309" s="21">
        <f>IF($A309="","",INDEX('부의금 입력'!$C$2:$C$1001,MATCH($A309,'부의금 입력'!$H$2:$H$1001,0)))</f>
        <v/>
      </c>
      <c r="D309" s="19">
        <f>IF($A309="","",INDEX('부의금 입력'!$D$2:$D$1001,MATCH($A309,'부의금 입력'!$H$2:$H$1001,0))&amp;"")</f>
        <v/>
      </c>
      <c r="E309" s="19">
        <f>IF($A309="","",INDEX('부의금 입력'!$E$2:$E$1001,MATCH($A309,'부의금 입력'!$H$2:$H$1001,0))&amp;"")</f>
        <v/>
      </c>
      <c r="H309" s="19">
        <f>IF(306&gt;$I$1,"",INDEX('근조 화환'!$B$2:$B$501,MATCH(306,'근조 화환'!$G$2:$G$501,0))&amp;"")</f>
        <v/>
      </c>
      <c r="I309" s="19">
        <f>IF(306&gt;$I$1,"",INDEX('근조 화환'!$C$2:$C$501,MATCH(306,'근조 화환'!$G$2:$G$501,0))&amp;"")</f>
        <v/>
      </c>
      <c r="J309" s="19">
        <f>IF(306&gt;$I$1,"",INDEX('근조 화환'!$D$2:$D$501,MATCH(306,'근조 화환'!$G$2:$G$501,0))&amp;"")</f>
        <v/>
      </c>
      <c r="K309" s="19">
        <f>IF(306&gt;$I$1,"",INDEX('근조 화환'!$E$2:$E$501,MATCH(306,'근조 화환'!$G$2:$G$501,0))&amp;"")</f>
        <v/>
      </c>
    </row>
    <row r="310">
      <c r="A310" s="19">
        <f>IF(307&lt;=$F$1,307,"")</f>
        <v/>
      </c>
      <c r="B310" s="19">
        <f>IF($A310="","",INDEX('부의금 입력'!$B$2:$B$1001,MATCH($A310,'부의금 입력'!$H$2:$H$1001,0))&amp;"")</f>
        <v/>
      </c>
      <c r="C310" s="21">
        <f>IF($A310="","",INDEX('부의금 입력'!$C$2:$C$1001,MATCH($A310,'부의금 입력'!$H$2:$H$1001,0)))</f>
        <v/>
      </c>
      <c r="D310" s="19">
        <f>IF($A310="","",INDEX('부의금 입력'!$D$2:$D$1001,MATCH($A310,'부의금 입력'!$H$2:$H$1001,0))&amp;"")</f>
        <v/>
      </c>
      <c r="E310" s="19">
        <f>IF($A310="","",INDEX('부의금 입력'!$E$2:$E$1001,MATCH($A310,'부의금 입력'!$H$2:$H$1001,0))&amp;"")</f>
        <v/>
      </c>
      <c r="H310" s="19">
        <f>IF(307&gt;$I$1,"",INDEX('근조 화환'!$B$2:$B$501,MATCH(307,'근조 화환'!$G$2:$G$501,0))&amp;"")</f>
        <v/>
      </c>
      <c r="I310" s="19">
        <f>IF(307&gt;$I$1,"",INDEX('근조 화환'!$C$2:$C$501,MATCH(307,'근조 화환'!$G$2:$G$501,0))&amp;"")</f>
        <v/>
      </c>
      <c r="J310" s="19">
        <f>IF(307&gt;$I$1,"",INDEX('근조 화환'!$D$2:$D$501,MATCH(307,'근조 화환'!$G$2:$G$501,0))&amp;"")</f>
        <v/>
      </c>
      <c r="K310" s="19">
        <f>IF(307&gt;$I$1,"",INDEX('근조 화환'!$E$2:$E$501,MATCH(307,'근조 화환'!$G$2:$G$501,0))&amp;"")</f>
        <v/>
      </c>
    </row>
    <row r="311">
      <c r="A311" s="19">
        <f>IF(308&lt;=$F$1,308,"")</f>
        <v/>
      </c>
      <c r="B311" s="19">
        <f>IF($A311="","",INDEX('부의금 입력'!$B$2:$B$1001,MATCH($A311,'부의금 입력'!$H$2:$H$1001,0))&amp;"")</f>
        <v/>
      </c>
      <c r="C311" s="21">
        <f>IF($A311="","",INDEX('부의금 입력'!$C$2:$C$1001,MATCH($A311,'부의금 입력'!$H$2:$H$1001,0)))</f>
        <v/>
      </c>
      <c r="D311" s="19">
        <f>IF($A311="","",INDEX('부의금 입력'!$D$2:$D$1001,MATCH($A311,'부의금 입력'!$H$2:$H$1001,0))&amp;"")</f>
        <v/>
      </c>
      <c r="E311" s="19">
        <f>IF($A311="","",INDEX('부의금 입력'!$E$2:$E$1001,MATCH($A311,'부의금 입력'!$H$2:$H$1001,0))&amp;"")</f>
        <v/>
      </c>
      <c r="H311" s="19">
        <f>IF(308&gt;$I$1,"",INDEX('근조 화환'!$B$2:$B$501,MATCH(308,'근조 화환'!$G$2:$G$501,0))&amp;"")</f>
        <v/>
      </c>
      <c r="I311" s="19">
        <f>IF(308&gt;$I$1,"",INDEX('근조 화환'!$C$2:$C$501,MATCH(308,'근조 화환'!$G$2:$G$501,0))&amp;"")</f>
        <v/>
      </c>
      <c r="J311" s="19">
        <f>IF(308&gt;$I$1,"",INDEX('근조 화환'!$D$2:$D$501,MATCH(308,'근조 화환'!$G$2:$G$501,0))&amp;"")</f>
        <v/>
      </c>
      <c r="K311" s="19">
        <f>IF(308&gt;$I$1,"",INDEX('근조 화환'!$E$2:$E$501,MATCH(308,'근조 화환'!$G$2:$G$501,0))&amp;"")</f>
        <v/>
      </c>
    </row>
    <row r="312">
      <c r="A312" s="19">
        <f>IF(309&lt;=$F$1,309,"")</f>
        <v/>
      </c>
      <c r="B312" s="19">
        <f>IF($A312="","",INDEX('부의금 입력'!$B$2:$B$1001,MATCH($A312,'부의금 입력'!$H$2:$H$1001,0))&amp;"")</f>
        <v/>
      </c>
      <c r="C312" s="21">
        <f>IF($A312="","",INDEX('부의금 입력'!$C$2:$C$1001,MATCH($A312,'부의금 입력'!$H$2:$H$1001,0)))</f>
        <v/>
      </c>
      <c r="D312" s="19">
        <f>IF($A312="","",INDEX('부의금 입력'!$D$2:$D$1001,MATCH($A312,'부의금 입력'!$H$2:$H$1001,0))&amp;"")</f>
        <v/>
      </c>
      <c r="E312" s="19">
        <f>IF($A312="","",INDEX('부의금 입력'!$E$2:$E$1001,MATCH($A312,'부의금 입력'!$H$2:$H$1001,0))&amp;"")</f>
        <v/>
      </c>
      <c r="H312" s="19">
        <f>IF(309&gt;$I$1,"",INDEX('근조 화환'!$B$2:$B$501,MATCH(309,'근조 화환'!$G$2:$G$501,0))&amp;"")</f>
        <v/>
      </c>
      <c r="I312" s="19">
        <f>IF(309&gt;$I$1,"",INDEX('근조 화환'!$C$2:$C$501,MATCH(309,'근조 화환'!$G$2:$G$501,0))&amp;"")</f>
        <v/>
      </c>
      <c r="J312" s="19">
        <f>IF(309&gt;$I$1,"",INDEX('근조 화환'!$D$2:$D$501,MATCH(309,'근조 화환'!$G$2:$G$501,0))&amp;"")</f>
        <v/>
      </c>
      <c r="K312" s="19">
        <f>IF(309&gt;$I$1,"",INDEX('근조 화환'!$E$2:$E$501,MATCH(309,'근조 화환'!$G$2:$G$501,0))&amp;"")</f>
        <v/>
      </c>
    </row>
    <row r="313">
      <c r="A313" s="19">
        <f>IF(310&lt;=$F$1,310,"")</f>
        <v/>
      </c>
      <c r="B313" s="19">
        <f>IF($A313="","",INDEX('부의금 입력'!$B$2:$B$1001,MATCH($A313,'부의금 입력'!$H$2:$H$1001,0))&amp;"")</f>
        <v/>
      </c>
      <c r="C313" s="21">
        <f>IF($A313="","",INDEX('부의금 입력'!$C$2:$C$1001,MATCH($A313,'부의금 입력'!$H$2:$H$1001,0)))</f>
        <v/>
      </c>
      <c r="D313" s="19">
        <f>IF($A313="","",INDEX('부의금 입력'!$D$2:$D$1001,MATCH($A313,'부의금 입력'!$H$2:$H$1001,0))&amp;"")</f>
        <v/>
      </c>
      <c r="E313" s="19">
        <f>IF($A313="","",INDEX('부의금 입력'!$E$2:$E$1001,MATCH($A313,'부의금 입력'!$H$2:$H$1001,0))&amp;"")</f>
        <v/>
      </c>
      <c r="H313" s="19">
        <f>IF(310&gt;$I$1,"",INDEX('근조 화환'!$B$2:$B$501,MATCH(310,'근조 화환'!$G$2:$G$501,0))&amp;"")</f>
        <v/>
      </c>
      <c r="I313" s="19">
        <f>IF(310&gt;$I$1,"",INDEX('근조 화환'!$C$2:$C$501,MATCH(310,'근조 화환'!$G$2:$G$501,0))&amp;"")</f>
        <v/>
      </c>
      <c r="J313" s="19">
        <f>IF(310&gt;$I$1,"",INDEX('근조 화환'!$D$2:$D$501,MATCH(310,'근조 화환'!$G$2:$G$501,0))&amp;"")</f>
        <v/>
      </c>
      <c r="K313" s="19">
        <f>IF(310&gt;$I$1,"",INDEX('근조 화환'!$E$2:$E$501,MATCH(310,'근조 화환'!$G$2:$G$501,0))&amp;"")</f>
        <v/>
      </c>
    </row>
    <row r="314">
      <c r="A314" s="19">
        <f>IF(311&lt;=$F$1,311,"")</f>
        <v/>
      </c>
      <c r="B314" s="19">
        <f>IF($A314="","",INDEX('부의금 입력'!$B$2:$B$1001,MATCH($A314,'부의금 입력'!$H$2:$H$1001,0))&amp;"")</f>
        <v/>
      </c>
      <c r="C314" s="21">
        <f>IF($A314="","",INDEX('부의금 입력'!$C$2:$C$1001,MATCH($A314,'부의금 입력'!$H$2:$H$1001,0)))</f>
        <v/>
      </c>
      <c r="D314" s="19">
        <f>IF($A314="","",INDEX('부의금 입력'!$D$2:$D$1001,MATCH($A314,'부의금 입력'!$H$2:$H$1001,0))&amp;"")</f>
        <v/>
      </c>
      <c r="E314" s="19">
        <f>IF($A314="","",INDEX('부의금 입력'!$E$2:$E$1001,MATCH($A314,'부의금 입력'!$H$2:$H$1001,0))&amp;"")</f>
        <v/>
      </c>
      <c r="H314" s="19">
        <f>IF(311&gt;$I$1,"",INDEX('근조 화환'!$B$2:$B$501,MATCH(311,'근조 화환'!$G$2:$G$501,0))&amp;"")</f>
        <v/>
      </c>
      <c r="I314" s="19">
        <f>IF(311&gt;$I$1,"",INDEX('근조 화환'!$C$2:$C$501,MATCH(311,'근조 화환'!$G$2:$G$501,0))&amp;"")</f>
        <v/>
      </c>
      <c r="J314" s="19">
        <f>IF(311&gt;$I$1,"",INDEX('근조 화환'!$D$2:$D$501,MATCH(311,'근조 화환'!$G$2:$G$501,0))&amp;"")</f>
        <v/>
      </c>
      <c r="K314" s="19">
        <f>IF(311&gt;$I$1,"",INDEX('근조 화환'!$E$2:$E$501,MATCH(311,'근조 화환'!$G$2:$G$501,0))&amp;"")</f>
        <v/>
      </c>
    </row>
    <row r="315">
      <c r="A315" s="19">
        <f>IF(312&lt;=$F$1,312,"")</f>
        <v/>
      </c>
      <c r="B315" s="19">
        <f>IF($A315="","",INDEX('부의금 입력'!$B$2:$B$1001,MATCH($A315,'부의금 입력'!$H$2:$H$1001,0))&amp;"")</f>
        <v/>
      </c>
      <c r="C315" s="21">
        <f>IF($A315="","",INDEX('부의금 입력'!$C$2:$C$1001,MATCH($A315,'부의금 입력'!$H$2:$H$1001,0)))</f>
        <v/>
      </c>
      <c r="D315" s="19">
        <f>IF($A315="","",INDEX('부의금 입력'!$D$2:$D$1001,MATCH($A315,'부의금 입력'!$H$2:$H$1001,0))&amp;"")</f>
        <v/>
      </c>
      <c r="E315" s="19">
        <f>IF($A315="","",INDEX('부의금 입력'!$E$2:$E$1001,MATCH($A315,'부의금 입력'!$H$2:$H$1001,0))&amp;"")</f>
        <v/>
      </c>
      <c r="H315" s="19">
        <f>IF(312&gt;$I$1,"",INDEX('근조 화환'!$B$2:$B$501,MATCH(312,'근조 화환'!$G$2:$G$501,0))&amp;"")</f>
        <v/>
      </c>
      <c r="I315" s="19">
        <f>IF(312&gt;$I$1,"",INDEX('근조 화환'!$C$2:$C$501,MATCH(312,'근조 화환'!$G$2:$G$501,0))&amp;"")</f>
        <v/>
      </c>
      <c r="J315" s="19">
        <f>IF(312&gt;$I$1,"",INDEX('근조 화환'!$D$2:$D$501,MATCH(312,'근조 화환'!$G$2:$G$501,0))&amp;"")</f>
        <v/>
      </c>
      <c r="K315" s="19">
        <f>IF(312&gt;$I$1,"",INDEX('근조 화환'!$E$2:$E$501,MATCH(312,'근조 화환'!$G$2:$G$501,0))&amp;"")</f>
        <v/>
      </c>
    </row>
    <row r="316">
      <c r="A316" s="19">
        <f>IF(313&lt;=$F$1,313,"")</f>
        <v/>
      </c>
      <c r="B316" s="19">
        <f>IF($A316="","",INDEX('부의금 입력'!$B$2:$B$1001,MATCH($A316,'부의금 입력'!$H$2:$H$1001,0))&amp;"")</f>
        <v/>
      </c>
      <c r="C316" s="21">
        <f>IF($A316="","",INDEX('부의금 입력'!$C$2:$C$1001,MATCH($A316,'부의금 입력'!$H$2:$H$1001,0)))</f>
        <v/>
      </c>
      <c r="D316" s="19">
        <f>IF($A316="","",INDEX('부의금 입력'!$D$2:$D$1001,MATCH($A316,'부의금 입력'!$H$2:$H$1001,0))&amp;"")</f>
        <v/>
      </c>
      <c r="E316" s="19">
        <f>IF($A316="","",INDEX('부의금 입력'!$E$2:$E$1001,MATCH($A316,'부의금 입력'!$H$2:$H$1001,0))&amp;"")</f>
        <v/>
      </c>
      <c r="H316" s="19">
        <f>IF(313&gt;$I$1,"",INDEX('근조 화환'!$B$2:$B$501,MATCH(313,'근조 화환'!$G$2:$G$501,0))&amp;"")</f>
        <v/>
      </c>
      <c r="I316" s="19">
        <f>IF(313&gt;$I$1,"",INDEX('근조 화환'!$C$2:$C$501,MATCH(313,'근조 화환'!$G$2:$G$501,0))&amp;"")</f>
        <v/>
      </c>
      <c r="J316" s="19">
        <f>IF(313&gt;$I$1,"",INDEX('근조 화환'!$D$2:$D$501,MATCH(313,'근조 화환'!$G$2:$G$501,0))&amp;"")</f>
        <v/>
      </c>
      <c r="K316" s="19">
        <f>IF(313&gt;$I$1,"",INDEX('근조 화환'!$E$2:$E$501,MATCH(313,'근조 화환'!$G$2:$G$501,0))&amp;"")</f>
        <v/>
      </c>
    </row>
    <row r="317">
      <c r="A317" s="19">
        <f>IF(314&lt;=$F$1,314,"")</f>
        <v/>
      </c>
      <c r="B317" s="19">
        <f>IF($A317="","",INDEX('부의금 입력'!$B$2:$B$1001,MATCH($A317,'부의금 입력'!$H$2:$H$1001,0))&amp;"")</f>
        <v/>
      </c>
      <c r="C317" s="21">
        <f>IF($A317="","",INDEX('부의금 입력'!$C$2:$C$1001,MATCH($A317,'부의금 입력'!$H$2:$H$1001,0)))</f>
        <v/>
      </c>
      <c r="D317" s="19">
        <f>IF($A317="","",INDEX('부의금 입력'!$D$2:$D$1001,MATCH($A317,'부의금 입력'!$H$2:$H$1001,0))&amp;"")</f>
        <v/>
      </c>
      <c r="E317" s="19">
        <f>IF($A317="","",INDEX('부의금 입력'!$E$2:$E$1001,MATCH($A317,'부의금 입력'!$H$2:$H$1001,0))&amp;"")</f>
        <v/>
      </c>
      <c r="H317" s="19">
        <f>IF(314&gt;$I$1,"",INDEX('근조 화환'!$B$2:$B$501,MATCH(314,'근조 화환'!$G$2:$G$501,0))&amp;"")</f>
        <v/>
      </c>
      <c r="I317" s="19">
        <f>IF(314&gt;$I$1,"",INDEX('근조 화환'!$C$2:$C$501,MATCH(314,'근조 화환'!$G$2:$G$501,0))&amp;"")</f>
        <v/>
      </c>
      <c r="J317" s="19">
        <f>IF(314&gt;$I$1,"",INDEX('근조 화환'!$D$2:$D$501,MATCH(314,'근조 화환'!$G$2:$G$501,0))&amp;"")</f>
        <v/>
      </c>
      <c r="K317" s="19">
        <f>IF(314&gt;$I$1,"",INDEX('근조 화환'!$E$2:$E$501,MATCH(314,'근조 화환'!$G$2:$G$501,0))&amp;"")</f>
        <v/>
      </c>
    </row>
    <row r="318">
      <c r="A318" s="19">
        <f>IF(315&lt;=$F$1,315,"")</f>
        <v/>
      </c>
      <c r="B318" s="19">
        <f>IF($A318="","",INDEX('부의금 입력'!$B$2:$B$1001,MATCH($A318,'부의금 입력'!$H$2:$H$1001,0))&amp;"")</f>
        <v/>
      </c>
      <c r="C318" s="21">
        <f>IF($A318="","",INDEX('부의금 입력'!$C$2:$C$1001,MATCH($A318,'부의금 입력'!$H$2:$H$1001,0)))</f>
        <v/>
      </c>
      <c r="D318" s="19">
        <f>IF($A318="","",INDEX('부의금 입력'!$D$2:$D$1001,MATCH($A318,'부의금 입력'!$H$2:$H$1001,0))&amp;"")</f>
        <v/>
      </c>
      <c r="E318" s="19">
        <f>IF($A318="","",INDEX('부의금 입력'!$E$2:$E$1001,MATCH($A318,'부의금 입력'!$H$2:$H$1001,0))&amp;"")</f>
        <v/>
      </c>
      <c r="H318" s="19">
        <f>IF(315&gt;$I$1,"",INDEX('근조 화환'!$B$2:$B$501,MATCH(315,'근조 화환'!$G$2:$G$501,0))&amp;"")</f>
        <v/>
      </c>
      <c r="I318" s="19">
        <f>IF(315&gt;$I$1,"",INDEX('근조 화환'!$C$2:$C$501,MATCH(315,'근조 화환'!$G$2:$G$501,0))&amp;"")</f>
        <v/>
      </c>
      <c r="J318" s="19">
        <f>IF(315&gt;$I$1,"",INDEX('근조 화환'!$D$2:$D$501,MATCH(315,'근조 화환'!$G$2:$G$501,0))&amp;"")</f>
        <v/>
      </c>
      <c r="K318" s="19">
        <f>IF(315&gt;$I$1,"",INDEX('근조 화환'!$E$2:$E$501,MATCH(315,'근조 화환'!$G$2:$G$501,0))&amp;"")</f>
        <v/>
      </c>
    </row>
    <row r="319">
      <c r="A319" s="19">
        <f>IF(316&lt;=$F$1,316,"")</f>
        <v/>
      </c>
      <c r="B319" s="19">
        <f>IF($A319="","",INDEX('부의금 입력'!$B$2:$B$1001,MATCH($A319,'부의금 입력'!$H$2:$H$1001,0))&amp;"")</f>
        <v/>
      </c>
      <c r="C319" s="21">
        <f>IF($A319="","",INDEX('부의금 입력'!$C$2:$C$1001,MATCH($A319,'부의금 입력'!$H$2:$H$1001,0)))</f>
        <v/>
      </c>
      <c r="D319" s="19">
        <f>IF($A319="","",INDEX('부의금 입력'!$D$2:$D$1001,MATCH($A319,'부의금 입력'!$H$2:$H$1001,0))&amp;"")</f>
        <v/>
      </c>
      <c r="E319" s="19">
        <f>IF($A319="","",INDEX('부의금 입력'!$E$2:$E$1001,MATCH($A319,'부의금 입력'!$H$2:$H$1001,0))&amp;"")</f>
        <v/>
      </c>
      <c r="H319" s="19">
        <f>IF(316&gt;$I$1,"",INDEX('근조 화환'!$B$2:$B$501,MATCH(316,'근조 화환'!$G$2:$G$501,0))&amp;"")</f>
        <v/>
      </c>
      <c r="I319" s="19">
        <f>IF(316&gt;$I$1,"",INDEX('근조 화환'!$C$2:$C$501,MATCH(316,'근조 화환'!$G$2:$G$501,0))&amp;"")</f>
        <v/>
      </c>
      <c r="J319" s="19">
        <f>IF(316&gt;$I$1,"",INDEX('근조 화환'!$D$2:$D$501,MATCH(316,'근조 화환'!$G$2:$G$501,0))&amp;"")</f>
        <v/>
      </c>
      <c r="K319" s="19">
        <f>IF(316&gt;$I$1,"",INDEX('근조 화환'!$E$2:$E$501,MATCH(316,'근조 화환'!$G$2:$G$501,0))&amp;"")</f>
        <v/>
      </c>
    </row>
    <row r="320">
      <c r="A320" s="19">
        <f>IF(317&lt;=$F$1,317,"")</f>
        <v/>
      </c>
      <c r="B320" s="19">
        <f>IF($A320="","",INDEX('부의금 입력'!$B$2:$B$1001,MATCH($A320,'부의금 입력'!$H$2:$H$1001,0))&amp;"")</f>
        <v/>
      </c>
      <c r="C320" s="21">
        <f>IF($A320="","",INDEX('부의금 입력'!$C$2:$C$1001,MATCH($A320,'부의금 입력'!$H$2:$H$1001,0)))</f>
        <v/>
      </c>
      <c r="D320" s="19">
        <f>IF($A320="","",INDEX('부의금 입력'!$D$2:$D$1001,MATCH($A320,'부의금 입력'!$H$2:$H$1001,0))&amp;"")</f>
        <v/>
      </c>
      <c r="E320" s="19">
        <f>IF($A320="","",INDEX('부의금 입력'!$E$2:$E$1001,MATCH($A320,'부의금 입력'!$H$2:$H$1001,0))&amp;"")</f>
        <v/>
      </c>
      <c r="H320" s="19">
        <f>IF(317&gt;$I$1,"",INDEX('근조 화환'!$B$2:$B$501,MATCH(317,'근조 화환'!$G$2:$G$501,0))&amp;"")</f>
        <v/>
      </c>
      <c r="I320" s="19">
        <f>IF(317&gt;$I$1,"",INDEX('근조 화환'!$C$2:$C$501,MATCH(317,'근조 화환'!$G$2:$G$501,0))&amp;"")</f>
        <v/>
      </c>
      <c r="J320" s="19">
        <f>IF(317&gt;$I$1,"",INDEX('근조 화환'!$D$2:$D$501,MATCH(317,'근조 화환'!$G$2:$G$501,0))&amp;"")</f>
        <v/>
      </c>
      <c r="K320" s="19">
        <f>IF(317&gt;$I$1,"",INDEX('근조 화환'!$E$2:$E$501,MATCH(317,'근조 화환'!$G$2:$G$501,0))&amp;"")</f>
        <v/>
      </c>
    </row>
    <row r="321">
      <c r="A321" s="19">
        <f>IF(318&lt;=$F$1,318,"")</f>
        <v/>
      </c>
      <c r="B321" s="19">
        <f>IF($A321="","",INDEX('부의금 입력'!$B$2:$B$1001,MATCH($A321,'부의금 입력'!$H$2:$H$1001,0))&amp;"")</f>
        <v/>
      </c>
      <c r="C321" s="21">
        <f>IF($A321="","",INDEX('부의금 입력'!$C$2:$C$1001,MATCH($A321,'부의금 입력'!$H$2:$H$1001,0)))</f>
        <v/>
      </c>
      <c r="D321" s="19">
        <f>IF($A321="","",INDEX('부의금 입력'!$D$2:$D$1001,MATCH($A321,'부의금 입력'!$H$2:$H$1001,0))&amp;"")</f>
        <v/>
      </c>
      <c r="E321" s="19">
        <f>IF($A321="","",INDEX('부의금 입력'!$E$2:$E$1001,MATCH($A321,'부의금 입력'!$H$2:$H$1001,0))&amp;"")</f>
        <v/>
      </c>
      <c r="H321" s="19">
        <f>IF(318&gt;$I$1,"",INDEX('근조 화환'!$B$2:$B$501,MATCH(318,'근조 화환'!$G$2:$G$501,0))&amp;"")</f>
        <v/>
      </c>
      <c r="I321" s="19">
        <f>IF(318&gt;$I$1,"",INDEX('근조 화환'!$C$2:$C$501,MATCH(318,'근조 화환'!$G$2:$G$501,0))&amp;"")</f>
        <v/>
      </c>
      <c r="J321" s="19">
        <f>IF(318&gt;$I$1,"",INDEX('근조 화환'!$D$2:$D$501,MATCH(318,'근조 화환'!$G$2:$G$501,0))&amp;"")</f>
        <v/>
      </c>
      <c r="K321" s="19">
        <f>IF(318&gt;$I$1,"",INDEX('근조 화환'!$E$2:$E$501,MATCH(318,'근조 화환'!$G$2:$G$501,0))&amp;"")</f>
        <v/>
      </c>
    </row>
    <row r="322">
      <c r="A322" s="19">
        <f>IF(319&lt;=$F$1,319,"")</f>
        <v/>
      </c>
      <c r="B322" s="19">
        <f>IF($A322="","",INDEX('부의금 입력'!$B$2:$B$1001,MATCH($A322,'부의금 입력'!$H$2:$H$1001,0))&amp;"")</f>
        <v/>
      </c>
      <c r="C322" s="21">
        <f>IF($A322="","",INDEX('부의금 입력'!$C$2:$C$1001,MATCH($A322,'부의금 입력'!$H$2:$H$1001,0)))</f>
        <v/>
      </c>
      <c r="D322" s="19">
        <f>IF($A322="","",INDEX('부의금 입력'!$D$2:$D$1001,MATCH($A322,'부의금 입력'!$H$2:$H$1001,0))&amp;"")</f>
        <v/>
      </c>
      <c r="E322" s="19">
        <f>IF($A322="","",INDEX('부의금 입력'!$E$2:$E$1001,MATCH($A322,'부의금 입력'!$H$2:$H$1001,0))&amp;"")</f>
        <v/>
      </c>
      <c r="H322" s="19">
        <f>IF(319&gt;$I$1,"",INDEX('근조 화환'!$B$2:$B$501,MATCH(319,'근조 화환'!$G$2:$G$501,0))&amp;"")</f>
        <v/>
      </c>
      <c r="I322" s="19">
        <f>IF(319&gt;$I$1,"",INDEX('근조 화환'!$C$2:$C$501,MATCH(319,'근조 화환'!$G$2:$G$501,0))&amp;"")</f>
        <v/>
      </c>
      <c r="J322" s="19">
        <f>IF(319&gt;$I$1,"",INDEX('근조 화환'!$D$2:$D$501,MATCH(319,'근조 화환'!$G$2:$G$501,0))&amp;"")</f>
        <v/>
      </c>
      <c r="K322" s="19">
        <f>IF(319&gt;$I$1,"",INDEX('근조 화환'!$E$2:$E$501,MATCH(319,'근조 화환'!$G$2:$G$501,0))&amp;"")</f>
        <v/>
      </c>
    </row>
    <row r="323">
      <c r="A323" s="19">
        <f>IF(320&lt;=$F$1,320,"")</f>
        <v/>
      </c>
      <c r="B323" s="19">
        <f>IF($A323="","",INDEX('부의금 입력'!$B$2:$B$1001,MATCH($A323,'부의금 입력'!$H$2:$H$1001,0))&amp;"")</f>
        <v/>
      </c>
      <c r="C323" s="21">
        <f>IF($A323="","",INDEX('부의금 입력'!$C$2:$C$1001,MATCH($A323,'부의금 입력'!$H$2:$H$1001,0)))</f>
        <v/>
      </c>
      <c r="D323" s="19">
        <f>IF($A323="","",INDEX('부의금 입력'!$D$2:$D$1001,MATCH($A323,'부의금 입력'!$H$2:$H$1001,0))&amp;"")</f>
        <v/>
      </c>
      <c r="E323" s="19">
        <f>IF($A323="","",INDEX('부의금 입력'!$E$2:$E$1001,MATCH($A323,'부의금 입력'!$H$2:$H$1001,0))&amp;"")</f>
        <v/>
      </c>
      <c r="H323" s="19">
        <f>IF(320&gt;$I$1,"",INDEX('근조 화환'!$B$2:$B$501,MATCH(320,'근조 화환'!$G$2:$G$501,0))&amp;"")</f>
        <v/>
      </c>
      <c r="I323" s="19">
        <f>IF(320&gt;$I$1,"",INDEX('근조 화환'!$C$2:$C$501,MATCH(320,'근조 화환'!$G$2:$G$501,0))&amp;"")</f>
        <v/>
      </c>
      <c r="J323" s="19">
        <f>IF(320&gt;$I$1,"",INDEX('근조 화환'!$D$2:$D$501,MATCH(320,'근조 화환'!$G$2:$G$501,0))&amp;"")</f>
        <v/>
      </c>
      <c r="K323" s="19">
        <f>IF(320&gt;$I$1,"",INDEX('근조 화환'!$E$2:$E$501,MATCH(320,'근조 화환'!$G$2:$G$501,0))&amp;"")</f>
        <v/>
      </c>
    </row>
    <row r="324">
      <c r="A324" s="19">
        <f>IF(321&lt;=$F$1,321,"")</f>
        <v/>
      </c>
      <c r="B324" s="19">
        <f>IF($A324="","",INDEX('부의금 입력'!$B$2:$B$1001,MATCH($A324,'부의금 입력'!$H$2:$H$1001,0))&amp;"")</f>
        <v/>
      </c>
      <c r="C324" s="21">
        <f>IF($A324="","",INDEX('부의금 입력'!$C$2:$C$1001,MATCH($A324,'부의금 입력'!$H$2:$H$1001,0)))</f>
        <v/>
      </c>
      <c r="D324" s="19">
        <f>IF($A324="","",INDEX('부의금 입력'!$D$2:$D$1001,MATCH($A324,'부의금 입력'!$H$2:$H$1001,0))&amp;"")</f>
        <v/>
      </c>
      <c r="E324" s="19">
        <f>IF($A324="","",INDEX('부의금 입력'!$E$2:$E$1001,MATCH($A324,'부의금 입력'!$H$2:$H$1001,0))&amp;"")</f>
        <v/>
      </c>
      <c r="H324" s="19">
        <f>IF(321&gt;$I$1,"",INDEX('근조 화환'!$B$2:$B$501,MATCH(321,'근조 화환'!$G$2:$G$501,0))&amp;"")</f>
        <v/>
      </c>
      <c r="I324" s="19">
        <f>IF(321&gt;$I$1,"",INDEX('근조 화환'!$C$2:$C$501,MATCH(321,'근조 화환'!$G$2:$G$501,0))&amp;"")</f>
        <v/>
      </c>
      <c r="J324" s="19">
        <f>IF(321&gt;$I$1,"",INDEX('근조 화환'!$D$2:$D$501,MATCH(321,'근조 화환'!$G$2:$G$501,0))&amp;"")</f>
        <v/>
      </c>
      <c r="K324" s="19">
        <f>IF(321&gt;$I$1,"",INDEX('근조 화환'!$E$2:$E$501,MATCH(321,'근조 화환'!$G$2:$G$501,0))&amp;"")</f>
        <v/>
      </c>
    </row>
    <row r="325">
      <c r="A325" s="19">
        <f>IF(322&lt;=$F$1,322,"")</f>
        <v/>
      </c>
      <c r="B325" s="19">
        <f>IF($A325="","",INDEX('부의금 입력'!$B$2:$B$1001,MATCH($A325,'부의금 입력'!$H$2:$H$1001,0))&amp;"")</f>
        <v/>
      </c>
      <c r="C325" s="21">
        <f>IF($A325="","",INDEX('부의금 입력'!$C$2:$C$1001,MATCH($A325,'부의금 입력'!$H$2:$H$1001,0)))</f>
        <v/>
      </c>
      <c r="D325" s="19">
        <f>IF($A325="","",INDEX('부의금 입력'!$D$2:$D$1001,MATCH($A325,'부의금 입력'!$H$2:$H$1001,0))&amp;"")</f>
        <v/>
      </c>
      <c r="E325" s="19">
        <f>IF($A325="","",INDEX('부의금 입력'!$E$2:$E$1001,MATCH($A325,'부의금 입력'!$H$2:$H$1001,0))&amp;"")</f>
        <v/>
      </c>
      <c r="H325" s="19">
        <f>IF(322&gt;$I$1,"",INDEX('근조 화환'!$B$2:$B$501,MATCH(322,'근조 화환'!$G$2:$G$501,0))&amp;"")</f>
        <v/>
      </c>
      <c r="I325" s="19">
        <f>IF(322&gt;$I$1,"",INDEX('근조 화환'!$C$2:$C$501,MATCH(322,'근조 화환'!$G$2:$G$501,0))&amp;"")</f>
        <v/>
      </c>
      <c r="J325" s="19">
        <f>IF(322&gt;$I$1,"",INDEX('근조 화환'!$D$2:$D$501,MATCH(322,'근조 화환'!$G$2:$G$501,0))&amp;"")</f>
        <v/>
      </c>
      <c r="K325" s="19">
        <f>IF(322&gt;$I$1,"",INDEX('근조 화환'!$E$2:$E$501,MATCH(322,'근조 화환'!$G$2:$G$501,0))&amp;"")</f>
        <v/>
      </c>
    </row>
    <row r="326">
      <c r="A326" s="19">
        <f>IF(323&lt;=$F$1,323,"")</f>
        <v/>
      </c>
      <c r="B326" s="19">
        <f>IF($A326="","",INDEX('부의금 입력'!$B$2:$B$1001,MATCH($A326,'부의금 입력'!$H$2:$H$1001,0))&amp;"")</f>
        <v/>
      </c>
      <c r="C326" s="21">
        <f>IF($A326="","",INDEX('부의금 입력'!$C$2:$C$1001,MATCH($A326,'부의금 입력'!$H$2:$H$1001,0)))</f>
        <v/>
      </c>
      <c r="D326" s="19">
        <f>IF($A326="","",INDEX('부의금 입력'!$D$2:$D$1001,MATCH($A326,'부의금 입력'!$H$2:$H$1001,0))&amp;"")</f>
        <v/>
      </c>
      <c r="E326" s="19">
        <f>IF($A326="","",INDEX('부의금 입력'!$E$2:$E$1001,MATCH($A326,'부의금 입력'!$H$2:$H$1001,0))&amp;"")</f>
        <v/>
      </c>
      <c r="H326" s="19">
        <f>IF(323&gt;$I$1,"",INDEX('근조 화환'!$B$2:$B$501,MATCH(323,'근조 화환'!$G$2:$G$501,0))&amp;"")</f>
        <v/>
      </c>
      <c r="I326" s="19">
        <f>IF(323&gt;$I$1,"",INDEX('근조 화환'!$C$2:$C$501,MATCH(323,'근조 화환'!$G$2:$G$501,0))&amp;"")</f>
        <v/>
      </c>
      <c r="J326" s="19">
        <f>IF(323&gt;$I$1,"",INDEX('근조 화환'!$D$2:$D$501,MATCH(323,'근조 화환'!$G$2:$G$501,0))&amp;"")</f>
        <v/>
      </c>
      <c r="K326" s="19">
        <f>IF(323&gt;$I$1,"",INDEX('근조 화환'!$E$2:$E$501,MATCH(323,'근조 화환'!$G$2:$G$501,0))&amp;"")</f>
        <v/>
      </c>
    </row>
    <row r="327">
      <c r="A327" s="19">
        <f>IF(324&lt;=$F$1,324,"")</f>
        <v/>
      </c>
      <c r="B327" s="19">
        <f>IF($A327="","",INDEX('부의금 입력'!$B$2:$B$1001,MATCH($A327,'부의금 입력'!$H$2:$H$1001,0))&amp;"")</f>
        <v/>
      </c>
      <c r="C327" s="21">
        <f>IF($A327="","",INDEX('부의금 입력'!$C$2:$C$1001,MATCH($A327,'부의금 입력'!$H$2:$H$1001,0)))</f>
        <v/>
      </c>
      <c r="D327" s="19">
        <f>IF($A327="","",INDEX('부의금 입력'!$D$2:$D$1001,MATCH($A327,'부의금 입력'!$H$2:$H$1001,0))&amp;"")</f>
        <v/>
      </c>
      <c r="E327" s="19">
        <f>IF($A327="","",INDEX('부의금 입력'!$E$2:$E$1001,MATCH($A327,'부의금 입력'!$H$2:$H$1001,0))&amp;"")</f>
        <v/>
      </c>
      <c r="H327" s="19">
        <f>IF(324&gt;$I$1,"",INDEX('근조 화환'!$B$2:$B$501,MATCH(324,'근조 화환'!$G$2:$G$501,0))&amp;"")</f>
        <v/>
      </c>
      <c r="I327" s="19">
        <f>IF(324&gt;$I$1,"",INDEX('근조 화환'!$C$2:$C$501,MATCH(324,'근조 화환'!$G$2:$G$501,0))&amp;"")</f>
        <v/>
      </c>
      <c r="J327" s="19">
        <f>IF(324&gt;$I$1,"",INDEX('근조 화환'!$D$2:$D$501,MATCH(324,'근조 화환'!$G$2:$G$501,0))&amp;"")</f>
        <v/>
      </c>
      <c r="K327" s="19">
        <f>IF(324&gt;$I$1,"",INDEX('근조 화환'!$E$2:$E$501,MATCH(324,'근조 화환'!$G$2:$G$501,0))&amp;"")</f>
        <v/>
      </c>
    </row>
    <row r="328">
      <c r="A328" s="19">
        <f>IF(325&lt;=$F$1,325,"")</f>
        <v/>
      </c>
      <c r="B328" s="19">
        <f>IF($A328="","",INDEX('부의금 입력'!$B$2:$B$1001,MATCH($A328,'부의금 입력'!$H$2:$H$1001,0))&amp;"")</f>
        <v/>
      </c>
      <c r="C328" s="21">
        <f>IF($A328="","",INDEX('부의금 입력'!$C$2:$C$1001,MATCH($A328,'부의금 입력'!$H$2:$H$1001,0)))</f>
        <v/>
      </c>
      <c r="D328" s="19">
        <f>IF($A328="","",INDEX('부의금 입력'!$D$2:$D$1001,MATCH($A328,'부의금 입력'!$H$2:$H$1001,0))&amp;"")</f>
        <v/>
      </c>
      <c r="E328" s="19">
        <f>IF($A328="","",INDEX('부의금 입력'!$E$2:$E$1001,MATCH($A328,'부의금 입력'!$H$2:$H$1001,0))&amp;"")</f>
        <v/>
      </c>
      <c r="H328" s="19">
        <f>IF(325&gt;$I$1,"",INDEX('근조 화환'!$B$2:$B$501,MATCH(325,'근조 화환'!$G$2:$G$501,0))&amp;"")</f>
        <v/>
      </c>
      <c r="I328" s="19">
        <f>IF(325&gt;$I$1,"",INDEX('근조 화환'!$C$2:$C$501,MATCH(325,'근조 화환'!$G$2:$G$501,0))&amp;"")</f>
        <v/>
      </c>
      <c r="J328" s="19">
        <f>IF(325&gt;$I$1,"",INDEX('근조 화환'!$D$2:$D$501,MATCH(325,'근조 화환'!$G$2:$G$501,0))&amp;"")</f>
        <v/>
      </c>
      <c r="K328" s="19">
        <f>IF(325&gt;$I$1,"",INDEX('근조 화환'!$E$2:$E$501,MATCH(325,'근조 화환'!$G$2:$G$501,0))&amp;"")</f>
        <v/>
      </c>
    </row>
    <row r="329">
      <c r="A329" s="19">
        <f>IF(326&lt;=$F$1,326,"")</f>
        <v/>
      </c>
      <c r="B329" s="19">
        <f>IF($A329="","",INDEX('부의금 입력'!$B$2:$B$1001,MATCH($A329,'부의금 입력'!$H$2:$H$1001,0))&amp;"")</f>
        <v/>
      </c>
      <c r="C329" s="21">
        <f>IF($A329="","",INDEX('부의금 입력'!$C$2:$C$1001,MATCH($A329,'부의금 입력'!$H$2:$H$1001,0)))</f>
        <v/>
      </c>
      <c r="D329" s="19">
        <f>IF($A329="","",INDEX('부의금 입력'!$D$2:$D$1001,MATCH($A329,'부의금 입력'!$H$2:$H$1001,0))&amp;"")</f>
        <v/>
      </c>
      <c r="E329" s="19">
        <f>IF($A329="","",INDEX('부의금 입력'!$E$2:$E$1001,MATCH($A329,'부의금 입력'!$H$2:$H$1001,0))&amp;"")</f>
        <v/>
      </c>
      <c r="H329" s="19">
        <f>IF(326&gt;$I$1,"",INDEX('근조 화환'!$B$2:$B$501,MATCH(326,'근조 화환'!$G$2:$G$501,0))&amp;"")</f>
        <v/>
      </c>
      <c r="I329" s="19">
        <f>IF(326&gt;$I$1,"",INDEX('근조 화환'!$C$2:$C$501,MATCH(326,'근조 화환'!$G$2:$G$501,0))&amp;"")</f>
        <v/>
      </c>
      <c r="J329" s="19">
        <f>IF(326&gt;$I$1,"",INDEX('근조 화환'!$D$2:$D$501,MATCH(326,'근조 화환'!$G$2:$G$501,0))&amp;"")</f>
        <v/>
      </c>
      <c r="K329" s="19">
        <f>IF(326&gt;$I$1,"",INDEX('근조 화환'!$E$2:$E$501,MATCH(326,'근조 화환'!$G$2:$G$501,0))&amp;"")</f>
        <v/>
      </c>
    </row>
    <row r="330">
      <c r="A330" s="19">
        <f>IF(327&lt;=$F$1,327,"")</f>
        <v/>
      </c>
      <c r="B330" s="19">
        <f>IF($A330="","",INDEX('부의금 입력'!$B$2:$B$1001,MATCH($A330,'부의금 입력'!$H$2:$H$1001,0))&amp;"")</f>
        <v/>
      </c>
      <c r="C330" s="21">
        <f>IF($A330="","",INDEX('부의금 입력'!$C$2:$C$1001,MATCH($A330,'부의금 입력'!$H$2:$H$1001,0)))</f>
        <v/>
      </c>
      <c r="D330" s="19">
        <f>IF($A330="","",INDEX('부의금 입력'!$D$2:$D$1001,MATCH($A330,'부의금 입력'!$H$2:$H$1001,0))&amp;"")</f>
        <v/>
      </c>
      <c r="E330" s="19">
        <f>IF($A330="","",INDEX('부의금 입력'!$E$2:$E$1001,MATCH($A330,'부의금 입력'!$H$2:$H$1001,0))&amp;"")</f>
        <v/>
      </c>
      <c r="H330" s="19">
        <f>IF(327&gt;$I$1,"",INDEX('근조 화환'!$B$2:$B$501,MATCH(327,'근조 화환'!$G$2:$G$501,0))&amp;"")</f>
        <v/>
      </c>
      <c r="I330" s="19">
        <f>IF(327&gt;$I$1,"",INDEX('근조 화환'!$C$2:$C$501,MATCH(327,'근조 화환'!$G$2:$G$501,0))&amp;"")</f>
        <v/>
      </c>
      <c r="J330" s="19">
        <f>IF(327&gt;$I$1,"",INDEX('근조 화환'!$D$2:$D$501,MATCH(327,'근조 화환'!$G$2:$G$501,0))&amp;"")</f>
        <v/>
      </c>
      <c r="K330" s="19">
        <f>IF(327&gt;$I$1,"",INDEX('근조 화환'!$E$2:$E$501,MATCH(327,'근조 화환'!$G$2:$G$501,0))&amp;"")</f>
        <v/>
      </c>
    </row>
    <row r="331">
      <c r="A331" s="19">
        <f>IF(328&lt;=$F$1,328,"")</f>
        <v/>
      </c>
      <c r="B331" s="19">
        <f>IF($A331="","",INDEX('부의금 입력'!$B$2:$B$1001,MATCH($A331,'부의금 입력'!$H$2:$H$1001,0))&amp;"")</f>
        <v/>
      </c>
      <c r="C331" s="21">
        <f>IF($A331="","",INDEX('부의금 입력'!$C$2:$C$1001,MATCH($A331,'부의금 입력'!$H$2:$H$1001,0)))</f>
        <v/>
      </c>
      <c r="D331" s="19">
        <f>IF($A331="","",INDEX('부의금 입력'!$D$2:$D$1001,MATCH($A331,'부의금 입력'!$H$2:$H$1001,0))&amp;"")</f>
        <v/>
      </c>
      <c r="E331" s="19">
        <f>IF($A331="","",INDEX('부의금 입력'!$E$2:$E$1001,MATCH($A331,'부의금 입력'!$H$2:$H$1001,0))&amp;"")</f>
        <v/>
      </c>
      <c r="H331" s="19">
        <f>IF(328&gt;$I$1,"",INDEX('근조 화환'!$B$2:$B$501,MATCH(328,'근조 화환'!$G$2:$G$501,0))&amp;"")</f>
        <v/>
      </c>
      <c r="I331" s="19">
        <f>IF(328&gt;$I$1,"",INDEX('근조 화환'!$C$2:$C$501,MATCH(328,'근조 화환'!$G$2:$G$501,0))&amp;"")</f>
        <v/>
      </c>
      <c r="J331" s="19">
        <f>IF(328&gt;$I$1,"",INDEX('근조 화환'!$D$2:$D$501,MATCH(328,'근조 화환'!$G$2:$G$501,0))&amp;"")</f>
        <v/>
      </c>
      <c r="K331" s="19">
        <f>IF(328&gt;$I$1,"",INDEX('근조 화환'!$E$2:$E$501,MATCH(328,'근조 화환'!$G$2:$G$501,0))&amp;"")</f>
        <v/>
      </c>
    </row>
    <row r="332">
      <c r="A332" s="19">
        <f>IF(329&lt;=$F$1,329,"")</f>
        <v/>
      </c>
      <c r="B332" s="19">
        <f>IF($A332="","",INDEX('부의금 입력'!$B$2:$B$1001,MATCH($A332,'부의금 입력'!$H$2:$H$1001,0))&amp;"")</f>
        <v/>
      </c>
      <c r="C332" s="21">
        <f>IF($A332="","",INDEX('부의금 입력'!$C$2:$C$1001,MATCH($A332,'부의금 입력'!$H$2:$H$1001,0)))</f>
        <v/>
      </c>
      <c r="D332" s="19">
        <f>IF($A332="","",INDEX('부의금 입력'!$D$2:$D$1001,MATCH($A332,'부의금 입력'!$H$2:$H$1001,0))&amp;"")</f>
        <v/>
      </c>
      <c r="E332" s="19">
        <f>IF($A332="","",INDEX('부의금 입력'!$E$2:$E$1001,MATCH($A332,'부의금 입력'!$H$2:$H$1001,0))&amp;"")</f>
        <v/>
      </c>
      <c r="H332" s="19">
        <f>IF(329&gt;$I$1,"",INDEX('근조 화환'!$B$2:$B$501,MATCH(329,'근조 화환'!$G$2:$G$501,0))&amp;"")</f>
        <v/>
      </c>
      <c r="I332" s="19">
        <f>IF(329&gt;$I$1,"",INDEX('근조 화환'!$C$2:$C$501,MATCH(329,'근조 화환'!$G$2:$G$501,0))&amp;"")</f>
        <v/>
      </c>
      <c r="J332" s="19">
        <f>IF(329&gt;$I$1,"",INDEX('근조 화환'!$D$2:$D$501,MATCH(329,'근조 화환'!$G$2:$G$501,0))&amp;"")</f>
        <v/>
      </c>
      <c r="K332" s="19">
        <f>IF(329&gt;$I$1,"",INDEX('근조 화환'!$E$2:$E$501,MATCH(329,'근조 화환'!$G$2:$G$501,0))&amp;"")</f>
        <v/>
      </c>
    </row>
    <row r="333">
      <c r="A333" s="19">
        <f>IF(330&lt;=$F$1,330,"")</f>
        <v/>
      </c>
      <c r="B333" s="19">
        <f>IF($A333="","",INDEX('부의금 입력'!$B$2:$B$1001,MATCH($A333,'부의금 입력'!$H$2:$H$1001,0))&amp;"")</f>
        <v/>
      </c>
      <c r="C333" s="21">
        <f>IF($A333="","",INDEX('부의금 입력'!$C$2:$C$1001,MATCH($A333,'부의금 입력'!$H$2:$H$1001,0)))</f>
        <v/>
      </c>
      <c r="D333" s="19">
        <f>IF($A333="","",INDEX('부의금 입력'!$D$2:$D$1001,MATCH($A333,'부의금 입력'!$H$2:$H$1001,0))&amp;"")</f>
        <v/>
      </c>
      <c r="E333" s="19">
        <f>IF($A333="","",INDEX('부의금 입력'!$E$2:$E$1001,MATCH($A333,'부의금 입력'!$H$2:$H$1001,0))&amp;"")</f>
        <v/>
      </c>
      <c r="H333" s="19">
        <f>IF(330&gt;$I$1,"",INDEX('근조 화환'!$B$2:$B$501,MATCH(330,'근조 화환'!$G$2:$G$501,0))&amp;"")</f>
        <v/>
      </c>
      <c r="I333" s="19">
        <f>IF(330&gt;$I$1,"",INDEX('근조 화환'!$C$2:$C$501,MATCH(330,'근조 화환'!$G$2:$G$501,0))&amp;"")</f>
        <v/>
      </c>
      <c r="J333" s="19">
        <f>IF(330&gt;$I$1,"",INDEX('근조 화환'!$D$2:$D$501,MATCH(330,'근조 화환'!$G$2:$G$501,0))&amp;"")</f>
        <v/>
      </c>
      <c r="K333" s="19">
        <f>IF(330&gt;$I$1,"",INDEX('근조 화환'!$E$2:$E$501,MATCH(330,'근조 화환'!$G$2:$G$501,0))&amp;"")</f>
        <v/>
      </c>
    </row>
    <row r="334">
      <c r="A334" s="19">
        <f>IF(331&lt;=$F$1,331,"")</f>
        <v/>
      </c>
      <c r="B334" s="19">
        <f>IF($A334="","",INDEX('부의금 입력'!$B$2:$B$1001,MATCH($A334,'부의금 입력'!$H$2:$H$1001,0))&amp;"")</f>
        <v/>
      </c>
      <c r="C334" s="21">
        <f>IF($A334="","",INDEX('부의금 입력'!$C$2:$C$1001,MATCH($A334,'부의금 입력'!$H$2:$H$1001,0)))</f>
        <v/>
      </c>
      <c r="D334" s="19">
        <f>IF($A334="","",INDEX('부의금 입력'!$D$2:$D$1001,MATCH($A334,'부의금 입력'!$H$2:$H$1001,0))&amp;"")</f>
        <v/>
      </c>
      <c r="E334" s="19">
        <f>IF($A334="","",INDEX('부의금 입력'!$E$2:$E$1001,MATCH($A334,'부의금 입력'!$H$2:$H$1001,0))&amp;"")</f>
        <v/>
      </c>
      <c r="H334" s="19">
        <f>IF(331&gt;$I$1,"",INDEX('근조 화환'!$B$2:$B$501,MATCH(331,'근조 화환'!$G$2:$G$501,0))&amp;"")</f>
        <v/>
      </c>
      <c r="I334" s="19">
        <f>IF(331&gt;$I$1,"",INDEX('근조 화환'!$C$2:$C$501,MATCH(331,'근조 화환'!$G$2:$G$501,0))&amp;"")</f>
        <v/>
      </c>
      <c r="J334" s="19">
        <f>IF(331&gt;$I$1,"",INDEX('근조 화환'!$D$2:$D$501,MATCH(331,'근조 화환'!$G$2:$G$501,0))&amp;"")</f>
        <v/>
      </c>
      <c r="K334" s="19">
        <f>IF(331&gt;$I$1,"",INDEX('근조 화환'!$E$2:$E$501,MATCH(331,'근조 화환'!$G$2:$G$501,0))&amp;"")</f>
        <v/>
      </c>
    </row>
    <row r="335">
      <c r="A335" s="19">
        <f>IF(332&lt;=$F$1,332,"")</f>
        <v/>
      </c>
      <c r="B335" s="19">
        <f>IF($A335="","",INDEX('부의금 입력'!$B$2:$B$1001,MATCH($A335,'부의금 입력'!$H$2:$H$1001,0))&amp;"")</f>
        <v/>
      </c>
      <c r="C335" s="21">
        <f>IF($A335="","",INDEX('부의금 입력'!$C$2:$C$1001,MATCH($A335,'부의금 입력'!$H$2:$H$1001,0)))</f>
        <v/>
      </c>
      <c r="D335" s="19">
        <f>IF($A335="","",INDEX('부의금 입력'!$D$2:$D$1001,MATCH($A335,'부의금 입력'!$H$2:$H$1001,0))&amp;"")</f>
        <v/>
      </c>
      <c r="E335" s="19">
        <f>IF($A335="","",INDEX('부의금 입력'!$E$2:$E$1001,MATCH($A335,'부의금 입력'!$H$2:$H$1001,0))&amp;"")</f>
        <v/>
      </c>
      <c r="H335" s="19">
        <f>IF(332&gt;$I$1,"",INDEX('근조 화환'!$B$2:$B$501,MATCH(332,'근조 화환'!$G$2:$G$501,0))&amp;"")</f>
        <v/>
      </c>
      <c r="I335" s="19">
        <f>IF(332&gt;$I$1,"",INDEX('근조 화환'!$C$2:$C$501,MATCH(332,'근조 화환'!$G$2:$G$501,0))&amp;"")</f>
        <v/>
      </c>
      <c r="J335" s="19">
        <f>IF(332&gt;$I$1,"",INDEX('근조 화환'!$D$2:$D$501,MATCH(332,'근조 화환'!$G$2:$G$501,0))&amp;"")</f>
        <v/>
      </c>
      <c r="K335" s="19">
        <f>IF(332&gt;$I$1,"",INDEX('근조 화환'!$E$2:$E$501,MATCH(332,'근조 화환'!$G$2:$G$501,0))&amp;"")</f>
        <v/>
      </c>
    </row>
    <row r="336">
      <c r="A336" s="19">
        <f>IF(333&lt;=$F$1,333,"")</f>
        <v/>
      </c>
      <c r="B336" s="19">
        <f>IF($A336="","",INDEX('부의금 입력'!$B$2:$B$1001,MATCH($A336,'부의금 입력'!$H$2:$H$1001,0))&amp;"")</f>
        <v/>
      </c>
      <c r="C336" s="21">
        <f>IF($A336="","",INDEX('부의금 입력'!$C$2:$C$1001,MATCH($A336,'부의금 입력'!$H$2:$H$1001,0)))</f>
        <v/>
      </c>
      <c r="D336" s="19">
        <f>IF($A336="","",INDEX('부의금 입력'!$D$2:$D$1001,MATCH($A336,'부의금 입력'!$H$2:$H$1001,0))&amp;"")</f>
        <v/>
      </c>
      <c r="E336" s="19">
        <f>IF($A336="","",INDEX('부의금 입력'!$E$2:$E$1001,MATCH($A336,'부의금 입력'!$H$2:$H$1001,0))&amp;"")</f>
        <v/>
      </c>
      <c r="H336" s="19">
        <f>IF(333&gt;$I$1,"",INDEX('근조 화환'!$B$2:$B$501,MATCH(333,'근조 화환'!$G$2:$G$501,0))&amp;"")</f>
        <v/>
      </c>
      <c r="I336" s="19">
        <f>IF(333&gt;$I$1,"",INDEX('근조 화환'!$C$2:$C$501,MATCH(333,'근조 화환'!$G$2:$G$501,0))&amp;"")</f>
        <v/>
      </c>
      <c r="J336" s="19">
        <f>IF(333&gt;$I$1,"",INDEX('근조 화환'!$D$2:$D$501,MATCH(333,'근조 화환'!$G$2:$G$501,0))&amp;"")</f>
        <v/>
      </c>
      <c r="K336" s="19">
        <f>IF(333&gt;$I$1,"",INDEX('근조 화환'!$E$2:$E$501,MATCH(333,'근조 화환'!$G$2:$G$501,0))&amp;"")</f>
        <v/>
      </c>
    </row>
    <row r="337">
      <c r="A337" s="19">
        <f>IF(334&lt;=$F$1,334,"")</f>
        <v/>
      </c>
      <c r="B337" s="19">
        <f>IF($A337="","",INDEX('부의금 입력'!$B$2:$B$1001,MATCH($A337,'부의금 입력'!$H$2:$H$1001,0))&amp;"")</f>
        <v/>
      </c>
      <c r="C337" s="21">
        <f>IF($A337="","",INDEX('부의금 입력'!$C$2:$C$1001,MATCH($A337,'부의금 입력'!$H$2:$H$1001,0)))</f>
        <v/>
      </c>
      <c r="D337" s="19">
        <f>IF($A337="","",INDEX('부의금 입력'!$D$2:$D$1001,MATCH($A337,'부의금 입력'!$H$2:$H$1001,0))&amp;"")</f>
        <v/>
      </c>
      <c r="E337" s="19">
        <f>IF($A337="","",INDEX('부의금 입력'!$E$2:$E$1001,MATCH($A337,'부의금 입력'!$H$2:$H$1001,0))&amp;"")</f>
        <v/>
      </c>
      <c r="H337" s="19">
        <f>IF(334&gt;$I$1,"",INDEX('근조 화환'!$B$2:$B$501,MATCH(334,'근조 화환'!$G$2:$G$501,0))&amp;"")</f>
        <v/>
      </c>
      <c r="I337" s="19">
        <f>IF(334&gt;$I$1,"",INDEX('근조 화환'!$C$2:$C$501,MATCH(334,'근조 화환'!$G$2:$G$501,0))&amp;"")</f>
        <v/>
      </c>
      <c r="J337" s="19">
        <f>IF(334&gt;$I$1,"",INDEX('근조 화환'!$D$2:$D$501,MATCH(334,'근조 화환'!$G$2:$G$501,0))&amp;"")</f>
        <v/>
      </c>
      <c r="K337" s="19">
        <f>IF(334&gt;$I$1,"",INDEX('근조 화환'!$E$2:$E$501,MATCH(334,'근조 화환'!$G$2:$G$501,0))&amp;"")</f>
        <v/>
      </c>
    </row>
    <row r="338">
      <c r="A338" s="19">
        <f>IF(335&lt;=$F$1,335,"")</f>
        <v/>
      </c>
      <c r="B338" s="19">
        <f>IF($A338="","",INDEX('부의금 입력'!$B$2:$B$1001,MATCH($A338,'부의금 입력'!$H$2:$H$1001,0))&amp;"")</f>
        <v/>
      </c>
      <c r="C338" s="21">
        <f>IF($A338="","",INDEX('부의금 입력'!$C$2:$C$1001,MATCH($A338,'부의금 입력'!$H$2:$H$1001,0)))</f>
        <v/>
      </c>
      <c r="D338" s="19">
        <f>IF($A338="","",INDEX('부의금 입력'!$D$2:$D$1001,MATCH($A338,'부의금 입력'!$H$2:$H$1001,0))&amp;"")</f>
        <v/>
      </c>
      <c r="E338" s="19">
        <f>IF($A338="","",INDEX('부의금 입력'!$E$2:$E$1001,MATCH($A338,'부의금 입력'!$H$2:$H$1001,0))&amp;"")</f>
        <v/>
      </c>
      <c r="H338" s="19">
        <f>IF(335&gt;$I$1,"",INDEX('근조 화환'!$B$2:$B$501,MATCH(335,'근조 화환'!$G$2:$G$501,0))&amp;"")</f>
        <v/>
      </c>
      <c r="I338" s="19">
        <f>IF(335&gt;$I$1,"",INDEX('근조 화환'!$C$2:$C$501,MATCH(335,'근조 화환'!$G$2:$G$501,0))&amp;"")</f>
        <v/>
      </c>
      <c r="J338" s="19">
        <f>IF(335&gt;$I$1,"",INDEX('근조 화환'!$D$2:$D$501,MATCH(335,'근조 화환'!$G$2:$G$501,0))&amp;"")</f>
        <v/>
      </c>
      <c r="K338" s="19">
        <f>IF(335&gt;$I$1,"",INDEX('근조 화환'!$E$2:$E$501,MATCH(335,'근조 화환'!$G$2:$G$501,0))&amp;"")</f>
        <v/>
      </c>
    </row>
    <row r="339">
      <c r="A339" s="19">
        <f>IF(336&lt;=$F$1,336,"")</f>
        <v/>
      </c>
      <c r="B339" s="19">
        <f>IF($A339="","",INDEX('부의금 입력'!$B$2:$B$1001,MATCH($A339,'부의금 입력'!$H$2:$H$1001,0))&amp;"")</f>
        <v/>
      </c>
      <c r="C339" s="21">
        <f>IF($A339="","",INDEX('부의금 입력'!$C$2:$C$1001,MATCH($A339,'부의금 입력'!$H$2:$H$1001,0)))</f>
        <v/>
      </c>
      <c r="D339" s="19">
        <f>IF($A339="","",INDEX('부의금 입력'!$D$2:$D$1001,MATCH($A339,'부의금 입력'!$H$2:$H$1001,0))&amp;"")</f>
        <v/>
      </c>
      <c r="E339" s="19">
        <f>IF($A339="","",INDEX('부의금 입력'!$E$2:$E$1001,MATCH($A339,'부의금 입력'!$H$2:$H$1001,0))&amp;"")</f>
        <v/>
      </c>
      <c r="H339" s="19">
        <f>IF(336&gt;$I$1,"",INDEX('근조 화환'!$B$2:$B$501,MATCH(336,'근조 화환'!$G$2:$G$501,0))&amp;"")</f>
        <v/>
      </c>
      <c r="I339" s="19">
        <f>IF(336&gt;$I$1,"",INDEX('근조 화환'!$C$2:$C$501,MATCH(336,'근조 화환'!$G$2:$G$501,0))&amp;"")</f>
        <v/>
      </c>
      <c r="J339" s="19">
        <f>IF(336&gt;$I$1,"",INDEX('근조 화환'!$D$2:$D$501,MATCH(336,'근조 화환'!$G$2:$G$501,0))&amp;"")</f>
        <v/>
      </c>
      <c r="K339" s="19">
        <f>IF(336&gt;$I$1,"",INDEX('근조 화환'!$E$2:$E$501,MATCH(336,'근조 화환'!$G$2:$G$501,0))&amp;"")</f>
        <v/>
      </c>
    </row>
    <row r="340">
      <c r="A340" s="19">
        <f>IF(337&lt;=$F$1,337,"")</f>
        <v/>
      </c>
      <c r="B340" s="19">
        <f>IF($A340="","",INDEX('부의금 입력'!$B$2:$B$1001,MATCH($A340,'부의금 입력'!$H$2:$H$1001,0))&amp;"")</f>
        <v/>
      </c>
      <c r="C340" s="21">
        <f>IF($A340="","",INDEX('부의금 입력'!$C$2:$C$1001,MATCH($A340,'부의금 입력'!$H$2:$H$1001,0)))</f>
        <v/>
      </c>
      <c r="D340" s="19">
        <f>IF($A340="","",INDEX('부의금 입력'!$D$2:$D$1001,MATCH($A340,'부의금 입력'!$H$2:$H$1001,0))&amp;"")</f>
        <v/>
      </c>
      <c r="E340" s="19">
        <f>IF($A340="","",INDEX('부의금 입력'!$E$2:$E$1001,MATCH($A340,'부의금 입력'!$H$2:$H$1001,0))&amp;"")</f>
        <v/>
      </c>
      <c r="H340" s="19">
        <f>IF(337&gt;$I$1,"",INDEX('근조 화환'!$B$2:$B$501,MATCH(337,'근조 화환'!$G$2:$G$501,0))&amp;"")</f>
        <v/>
      </c>
      <c r="I340" s="19">
        <f>IF(337&gt;$I$1,"",INDEX('근조 화환'!$C$2:$C$501,MATCH(337,'근조 화환'!$G$2:$G$501,0))&amp;"")</f>
        <v/>
      </c>
      <c r="J340" s="19">
        <f>IF(337&gt;$I$1,"",INDEX('근조 화환'!$D$2:$D$501,MATCH(337,'근조 화환'!$G$2:$G$501,0))&amp;"")</f>
        <v/>
      </c>
      <c r="K340" s="19">
        <f>IF(337&gt;$I$1,"",INDEX('근조 화환'!$E$2:$E$501,MATCH(337,'근조 화환'!$G$2:$G$501,0))&amp;"")</f>
        <v/>
      </c>
    </row>
    <row r="341">
      <c r="A341" s="19">
        <f>IF(338&lt;=$F$1,338,"")</f>
        <v/>
      </c>
      <c r="B341" s="19">
        <f>IF($A341="","",INDEX('부의금 입력'!$B$2:$B$1001,MATCH($A341,'부의금 입력'!$H$2:$H$1001,0))&amp;"")</f>
        <v/>
      </c>
      <c r="C341" s="21">
        <f>IF($A341="","",INDEX('부의금 입력'!$C$2:$C$1001,MATCH($A341,'부의금 입력'!$H$2:$H$1001,0)))</f>
        <v/>
      </c>
      <c r="D341" s="19">
        <f>IF($A341="","",INDEX('부의금 입력'!$D$2:$D$1001,MATCH($A341,'부의금 입력'!$H$2:$H$1001,0))&amp;"")</f>
        <v/>
      </c>
      <c r="E341" s="19">
        <f>IF($A341="","",INDEX('부의금 입력'!$E$2:$E$1001,MATCH($A341,'부의금 입력'!$H$2:$H$1001,0))&amp;"")</f>
        <v/>
      </c>
      <c r="H341" s="19">
        <f>IF(338&gt;$I$1,"",INDEX('근조 화환'!$B$2:$B$501,MATCH(338,'근조 화환'!$G$2:$G$501,0))&amp;"")</f>
        <v/>
      </c>
      <c r="I341" s="19">
        <f>IF(338&gt;$I$1,"",INDEX('근조 화환'!$C$2:$C$501,MATCH(338,'근조 화환'!$G$2:$G$501,0))&amp;"")</f>
        <v/>
      </c>
      <c r="J341" s="19">
        <f>IF(338&gt;$I$1,"",INDEX('근조 화환'!$D$2:$D$501,MATCH(338,'근조 화환'!$G$2:$G$501,0))&amp;"")</f>
        <v/>
      </c>
      <c r="K341" s="19">
        <f>IF(338&gt;$I$1,"",INDEX('근조 화환'!$E$2:$E$501,MATCH(338,'근조 화환'!$G$2:$G$501,0))&amp;"")</f>
        <v/>
      </c>
    </row>
    <row r="342">
      <c r="A342" s="19">
        <f>IF(339&lt;=$F$1,339,"")</f>
        <v/>
      </c>
      <c r="B342" s="19">
        <f>IF($A342="","",INDEX('부의금 입력'!$B$2:$B$1001,MATCH($A342,'부의금 입력'!$H$2:$H$1001,0))&amp;"")</f>
        <v/>
      </c>
      <c r="C342" s="21">
        <f>IF($A342="","",INDEX('부의금 입력'!$C$2:$C$1001,MATCH($A342,'부의금 입력'!$H$2:$H$1001,0)))</f>
        <v/>
      </c>
      <c r="D342" s="19">
        <f>IF($A342="","",INDEX('부의금 입력'!$D$2:$D$1001,MATCH($A342,'부의금 입력'!$H$2:$H$1001,0))&amp;"")</f>
        <v/>
      </c>
      <c r="E342" s="19">
        <f>IF($A342="","",INDEX('부의금 입력'!$E$2:$E$1001,MATCH($A342,'부의금 입력'!$H$2:$H$1001,0))&amp;"")</f>
        <v/>
      </c>
      <c r="H342" s="19">
        <f>IF(339&gt;$I$1,"",INDEX('근조 화환'!$B$2:$B$501,MATCH(339,'근조 화환'!$G$2:$G$501,0))&amp;"")</f>
        <v/>
      </c>
      <c r="I342" s="19">
        <f>IF(339&gt;$I$1,"",INDEX('근조 화환'!$C$2:$C$501,MATCH(339,'근조 화환'!$G$2:$G$501,0))&amp;"")</f>
        <v/>
      </c>
      <c r="J342" s="19">
        <f>IF(339&gt;$I$1,"",INDEX('근조 화환'!$D$2:$D$501,MATCH(339,'근조 화환'!$G$2:$G$501,0))&amp;"")</f>
        <v/>
      </c>
      <c r="K342" s="19">
        <f>IF(339&gt;$I$1,"",INDEX('근조 화환'!$E$2:$E$501,MATCH(339,'근조 화환'!$G$2:$G$501,0))&amp;"")</f>
        <v/>
      </c>
    </row>
    <row r="343">
      <c r="A343" s="19">
        <f>IF(340&lt;=$F$1,340,"")</f>
        <v/>
      </c>
      <c r="B343" s="19">
        <f>IF($A343="","",INDEX('부의금 입력'!$B$2:$B$1001,MATCH($A343,'부의금 입력'!$H$2:$H$1001,0))&amp;"")</f>
        <v/>
      </c>
      <c r="C343" s="21">
        <f>IF($A343="","",INDEX('부의금 입력'!$C$2:$C$1001,MATCH($A343,'부의금 입력'!$H$2:$H$1001,0)))</f>
        <v/>
      </c>
      <c r="D343" s="19">
        <f>IF($A343="","",INDEX('부의금 입력'!$D$2:$D$1001,MATCH($A343,'부의금 입력'!$H$2:$H$1001,0))&amp;"")</f>
        <v/>
      </c>
      <c r="E343" s="19">
        <f>IF($A343="","",INDEX('부의금 입력'!$E$2:$E$1001,MATCH($A343,'부의금 입력'!$H$2:$H$1001,0))&amp;"")</f>
        <v/>
      </c>
      <c r="H343" s="19">
        <f>IF(340&gt;$I$1,"",INDEX('근조 화환'!$B$2:$B$501,MATCH(340,'근조 화환'!$G$2:$G$501,0))&amp;"")</f>
        <v/>
      </c>
      <c r="I343" s="19">
        <f>IF(340&gt;$I$1,"",INDEX('근조 화환'!$C$2:$C$501,MATCH(340,'근조 화환'!$G$2:$G$501,0))&amp;"")</f>
        <v/>
      </c>
      <c r="J343" s="19">
        <f>IF(340&gt;$I$1,"",INDEX('근조 화환'!$D$2:$D$501,MATCH(340,'근조 화환'!$G$2:$G$501,0))&amp;"")</f>
        <v/>
      </c>
      <c r="K343" s="19">
        <f>IF(340&gt;$I$1,"",INDEX('근조 화환'!$E$2:$E$501,MATCH(340,'근조 화환'!$G$2:$G$501,0))&amp;"")</f>
        <v/>
      </c>
    </row>
    <row r="344">
      <c r="A344" s="19">
        <f>IF(341&lt;=$F$1,341,"")</f>
        <v/>
      </c>
      <c r="B344" s="19">
        <f>IF($A344="","",INDEX('부의금 입력'!$B$2:$B$1001,MATCH($A344,'부의금 입력'!$H$2:$H$1001,0))&amp;"")</f>
        <v/>
      </c>
      <c r="C344" s="21">
        <f>IF($A344="","",INDEX('부의금 입력'!$C$2:$C$1001,MATCH($A344,'부의금 입력'!$H$2:$H$1001,0)))</f>
        <v/>
      </c>
      <c r="D344" s="19">
        <f>IF($A344="","",INDEX('부의금 입력'!$D$2:$D$1001,MATCH($A344,'부의금 입력'!$H$2:$H$1001,0))&amp;"")</f>
        <v/>
      </c>
      <c r="E344" s="19">
        <f>IF($A344="","",INDEX('부의금 입력'!$E$2:$E$1001,MATCH($A344,'부의금 입력'!$H$2:$H$1001,0))&amp;"")</f>
        <v/>
      </c>
      <c r="H344" s="19">
        <f>IF(341&gt;$I$1,"",INDEX('근조 화환'!$B$2:$B$501,MATCH(341,'근조 화환'!$G$2:$G$501,0))&amp;"")</f>
        <v/>
      </c>
      <c r="I344" s="19">
        <f>IF(341&gt;$I$1,"",INDEX('근조 화환'!$C$2:$C$501,MATCH(341,'근조 화환'!$G$2:$G$501,0))&amp;"")</f>
        <v/>
      </c>
      <c r="J344" s="19">
        <f>IF(341&gt;$I$1,"",INDEX('근조 화환'!$D$2:$D$501,MATCH(341,'근조 화환'!$G$2:$G$501,0))&amp;"")</f>
        <v/>
      </c>
      <c r="K344" s="19">
        <f>IF(341&gt;$I$1,"",INDEX('근조 화환'!$E$2:$E$501,MATCH(341,'근조 화환'!$G$2:$G$501,0))&amp;"")</f>
        <v/>
      </c>
    </row>
    <row r="345">
      <c r="A345" s="19">
        <f>IF(342&lt;=$F$1,342,"")</f>
        <v/>
      </c>
      <c r="B345" s="19">
        <f>IF($A345="","",INDEX('부의금 입력'!$B$2:$B$1001,MATCH($A345,'부의금 입력'!$H$2:$H$1001,0))&amp;"")</f>
        <v/>
      </c>
      <c r="C345" s="21">
        <f>IF($A345="","",INDEX('부의금 입력'!$C$2:$C$1001,MATCH($A345,'부의금 입력'!$H$2:$H$1001,0)))</f>
        <v/>
      </c>
      <c r="D345" s="19">
        <f>IF($A345="","",INDEX('부의금 입력'!$D$2:$D$1001,MATCH($A345,'부의금 입력'!$H$2:$H$1001,0))&amp;"")</f>
        <v/>
      </c>
      <c r="E345" s="19">
        <f>IF($A345="","",INDEX('부의금 입력'!$E$2:$E$1001,MATCH($A345,'부의금 입력'!$H$2:$H$1001,0))&amp;"")</f>
        <v/>
      </c>
      <c r="H345" s="19">
        <f>IF(342&gt;$I$1,"",INDEX('근조 화환'!$B$2:$B$501,MATCH(342,'근조 화환'!$G$2:$G$501,0))&amp;"")</f>
        <v/>
      </c>
      <c r="I345" s="19">
        <f>IF(342&gt;$I$1,"",INDEX('근조 화환'!$C$2:$C$501,MATCH(342,'근조 화환'!$G$2:$G$501,0))&amp;"")</f>
        <v/>
      </c>
      <c r="J345" s="19">
        <f>IF(342&gt;$I$1,"",INDEX('근조 화환'!$D$2:$D$501,MATCH(342,'근조 화환'!$G$2:$G$501,0))&amp;"")</f>
        <v/>
      </c>
      <c r="K345" s="19">
        <f>IF(342&gt;$I$1,"",INDEX('근조 화환'!$E$2:$E$501,MATCH(342,'근조 화환'!$G$2:$G$501,0))&amp;"")</f>
        <v/>
      </c>
    </row>
    <row r="346">
      <c r="A346" s="19">
        <f>IF(343&lt;=$F$1,343,"")</f>
        <v/>
      </c>
      <c r="B346" s="19">
        <f>IF($A346="","",INDEX('부의금 입력'!$B$2:$B$1001,MATCH($A346,'부의금 입력'!$H$2:$H$1001,0))&amp;"")</f>
        <v/>
      </c>
      <c r="C346" s="21">
        <f>IF($A346="","",INDEX('부의금 입력'!$C$2:$C$1001,MATCH($A346,'부의금 입력'!$H$2:$H$1001,0)))</f>
        <v/>
      </c>
      <c r="D346" s="19">
        <f>IF($A346="","",INDEX('부의금 입력'!$D$2:$D$1001,MATCH($A346,'부의금 입력'!$H$2:$H$1001,0))&amp;"")</f>
        <v/>
      </c>
      <c r="E346" s="19">
        <f>IF($A346="","",INDEX('부의금 입력'!$E$2:$E$1001,MATCH($A346,'부의금 입력'!$H$2:$H$1001,0))&amp;"")</f>
        <v/>
      </c>
      <c r="H346" s="19">
        <f>IF(343&gt;$I$1,"",INDEX('근조 화환'!$B$2:$B$501,MATCH(343,'근조 화환'!$G$2:$G$501,0))&amp;"")</f>
        <v/>
      </c>
      <c r="I346" s="19">
        <f>IF(343&gt;$I$1,"",INDEX('근조 화환'!$C$2:$C$501,MATCH(343,'근조 화환'!$G$2:$G$501,0))&amp;"")</f>
        <v/>
      </c>
      <c r="J346" s="19">
        <f>IF(343&gt;$I$1,"",INDEX('근조 화환'!$D$2:$D$501,MATCH(343,'근조 화환'!$G$2:$G$501,0))&amp;"")</f>
        <v/>
      </c>
      <c r="K346" s="19">
        <f>IF(343&gt;$I$1,"",INDEX('근조 화환'!$E$2:$E$501,MATCH(343,'근조 화환'!$G$2:$G$501,0))&amp;"")</f>
        <v/>
      </c>
    </row>
    <row r="347">
      <c r="A347" s="19">
        <f>IF(344&lt;=$F$1,344,"")</f>
        <v/>
      </c>
      <c r="B347" s="19">
        <f>IF($A347="","",INDEX('부의금 입력'!$B$2:$B$1001,MATCH($A347,'부의금 입력'!$H$2:$H$1001,0))&amp;"")</f>
        <v/>
      </c>
      <c r="C347" s="21">
        <f>IF($A347="","",INDEX('부의금 입력'!$C$2:$C$1001,MATCH($A347,'부의금 입력'!$H$2:$H$1001,0)))</f>
        <v/>
      </c>
      <c r="D347" s="19">
        <f>IF($A347="","",INDEX('부의금 입력'!$D$2:$D$1001,MATCH($A347,'부의금 입력'!$H$2:$H$1001,0))&amp;"")</f>
        <v/>
      </c>
      <c r="E347" s="19">
        <f>IF($A347="","",INDEX('부의금 입력'!$E$2:$E$1001,MATCH($A347,'부의금 입력'!$H$2:$H$1001,0))&amp;"")</f>
        <v/>
      </c>
      <c r="H347" s="19">
        <f>IF(344&gt;$I$1,"",INDEX('근조 화환'!$B$2:$B$501,MATCH(344,'근조 화환'!$G$2:$G$501,0))&amp;"")</f>
        <v/>
      </c>
      <c r="I347" s="19">
        <f>IF(344&gt;$I$1,"",INDEX('근조 화환'!$C$2:$C$501,MATCH(344,'근조 화환'!$G$2:$G$501,0))&amp;"")</f>
        <v/>
      </c>
      <c r="J347" s="19">
        <f>IF(344&gt;$I$1,"",INDEX('근조 화환'!$D$2:$D$501,MATCH(344,'근조 화환'!$G$2:$G$501,0))&amp;"")</f>
        <v/>
      </c>
      <c r="K347" s="19">
        <f>IF(344&gt;$I$1,"",INDEX('근조 화환'!$E$2:$E$501,MATCH(344,'근조 화환'!$G$2:$G$501,0))&amp;"")</f>
        <v/>
      </c>
    </row>
    <row r="348">
      <c r="A348" s="19">
        <f>IF(345&lt;=$F$1,345,"")</f>
        <v/>
      </c>
      <c r="B348" s="19">
        <f>IF($A348="","",INDEX('부의금 입력'!$B$2:$B$1001,MATCH($A348,'부의금 입력'!$H$2:$H$1001,0))&amp;"")</f>
        <v/>
      </c>
      <c r="C348" s="21">
        <f>IF($A348="","",INDEX('부의금 입력'!$C$2:$C$1001,MATCH($A348,'부의금 입력'!$H$2:$H$1001,0)))</f>
        <v/>
      </c>
      <c r="D348" s="19">
        <f>IF($A348="","",INDEX('부의금 입력'!$D$2:$D$1001,MATCH($A348,'부의금 입력'!$H$2:$H$1001,0))&amp;"")</f>
        <v/>
      </c>
      <c r="E348" s="19">
        <f>IF($A348="","",INDEX('부의금 입력'!$E$2:$E$1001,MATCH($A348,'부의금 입력'!$H$2:$H$1001,0))&amp;"")</f>
        <v/>
      </c>
      <c r="H348" s="19">
        <f>IF(345&gt;$I$1,"",INDEX('근조 화환'!$B$2:$B$501,MATCH(345,'근조 화환'!$G$2:$G$501,0))&amp;"")</f>
        <v/>
      </c>
      <c r="I348" s="19">
        <f>IF(345&gt;$I$1,"",INDEX('근조 화환'!$C$2:$C$501,MATCH(345,'근조 화환'!$G$2:$G$501,0))&amp;"")</f>
        <v/>
      </c>
      <c r="J348" s="19">
        <f>IF(345&gt;$I$1,"",INDEX('근조 화환'!$D$2:$D$501,MATCH(345,'근조 화환'!$G$2:$G$501,0))&amp;"")</f>
        <v/>
      </c>
      <c r="K348" s="19">
        <f>IF(345&gt;$I$1,"",INDEX('근조 화환'!$E$2:$E$501,MATCH(345,'근조 화환'!$G$2:$G$501,0))&amp;"")</f>
        <v/>
      </c>
    </row>
    <row r="349">
      <c r="A349" s="19">
        <f>IF(346&lt;=$F$1,346,"")</f>
        <v/>
      </c>
      <c r="B349" s="19">
        <f>IF($A349="","",INDEX('부의금 입력'!$B$2:$B$1001,MATCH($A349,'부의금 입력'!$H$2:$H$1001,0))&amp;"")</f>
        <v/>
      </c>
      <c r="C349" s="21">
        <f>IF($A349="","",INDEX('부의금 입력'!$C$2:$C$1001,MATCH($A349,'부의금 입력'!$H$2:$H$1001,0)))</f>
        <v/>
      </c>
      <c r="D349" s="19">
        <f>IF($A349="","",INDEX('부의금 입력'!$D$2:$D$1001,MATCH($A349,'부의금 입력'!$H$2:$H$1001,0))&amp;"")</f>
        <v/>
      </c>
      <c r="E349" s="19">
        <f>IF($A349="","",INDEX('부의금 입력'!$E$2:$E$1001,MATCH($A349,'부의금 입력'!$H$2:$H$1001,0))&amp;"")</f>
        <v/>
      </c>
      <c r="H349" s="19">
        <f>IF(346&gt;$I$1,"",INDEX('근조 화환'!$B$2:$B$501,MATCH(346,'근조 화환'!$G$2:$G$501,0))&amp;"")</f>
        <v/>
      </c>
      <c r="I349" s="19">
        <f>IF(346&gt;$I$1,"",INDEX('근조 화환'!$C$2:$C$501,MATCH(346,'근조 화환'!$G$2:$G$501,0))&amp;"")</f>
        <v/>
      </c>
      <c r="J349" s="19">
        <f>IF(346&gt;$I$1,"",INDEX('근조 화환'!$D$2:$D$501,MATCH(346,'근조 화환'!$G$2:$G$501,0))&amp;"")</f>
        <v/>
      </c>
      <c r="K349" s="19">
        <f>IF(346&gt;$I$1,"",INDEX('근조 화환'!$E$2:$E$501,MATCH(346,'근조 화환'!$G$2:$G$501,0))&amp;"")</f>
        <v/>
      </c>
    </row>
    <row r="350">
      <c r="A350" s="19">
        <f>IF(347&lt;=$F$1,347,"")</f>
        <v/>
      </c>
      <c r="B350" s="19">
        <f>IF($A350="","",INDEX('부의금 입력'!$B$2:$B$1001,MATCH($A350,'부의금 입력'!$H$2:$H$1001,0))&amp;"")</f>
        <v/>
      </c>
      <c r="C350" s="21">
        <f>IF($A350="","",INDEX('부의금 입력'!$C$2:$C$1001,MATCH($A350,'부의금 입력'!$H$2:$H$1001,0)))</f>
        <v/>
      </c>
      <c r="D350" s="19">
        <f>IF($A350="","",INDEX('부의금 입력'!$D$2:$D$1001,MATCH($A350,'부의금 입력'!$H$2:$H$1001,0))&amp;"")</f>
        <v/>
      </c>
      <c r="E350" s="19">
        <f>IF($A350="","",INDEX('부의금 입력'!$E$2:$E$1001,MATCH($A350,'부의금 입력'!$H$2:$H$1001,0))&amp;"")</f>
        <v/>
      </c>
      <c r="H350" s="19">
        <f>IF(347&gt;$I$1,"",INDEX('근조 화환'!$B$2:$B$501,MATCH(347,'근조 화환'!$G$2:$G$501,0))&amp;"")</f>
        <v/>
      </c>
      <c r="I350" s="19">
        <f>IF(347&gt;$I$1,"",INDEX('근조 화환'!$C$2:$C$501,MATCH(347,'근조 화환'!$G$2:$G$501,0))&amp;"")</f>
        <v/>
      </c>
      <c r="J350" s="19">
        <f>IF(347&gt;$I$1,"",INDEX('근조 화환'!$D$2:$D$501,MATCH(347,'근조 화환'!$G$2:$G$501,0))&amp;"")</f>
        <v/>
      </c>
      <c r="K350" s="19">
        <f>IF(347&gt;$I$1,"",INDEX('근조 화환'!$E$2:$E$501,MATCH(347,'근조 화환'!$G$2:$G$501,0))&amp;"")</f>
        <v/>
      </c>
    </row>
    <row r="351">
      <c r="A351" s="19">
        <f>IF(348&lt;=$F$1,348,"")</f>
        <v/>
      </c>
      <c r="B351" s="19">
        <f>IF($A351="","",INDEX('부의금 입력'!$B$2:$B$1001,MATCH($A351,'부의금 입력'!$H$2:$H$1001,0))&amp;"")</f>
        <v/>
      </c>
      <c r="C351" s="21">
        <f>IF($A351="","",INDEX('부의금 입력'!$C$2:$C$1001,MATCH($A351,'부의금 입력'!$H$2:$H$1001,0)))</f>
        <v/>
      </c>
      <c r="D351" s="19">
        <f>IF($A351="","",INDEX('부의금 입력'!$D$2:$D$1001,MATCH($A351,'부의금 입력'!$H$2:$H$1001,0))&amp;"")</f>
        <v/>
      </c>
      <c r="E351" s="19">
        <f>IF($A351="","",INDEX('부의금 입력'!$E$2:$E$1001,MATCH($A351,'부의금 입력'!$H$2:$H$1001,0))&amp;"")</f>
        <v/>
      </c>
      <c r="H351" s="19">
        <f>IF(348&gt;$I$1,"",INDEX('근조 화환'!$B$2:$B$501,MATCH(348,'근조 화환'!$G$2:$G$501,0))&amp;"")</f>
        <v/>
      </c>
      <c r="I351" s="19">
        <f>IF(348&gt;$I$1,"",INDEX('근조 화환'!$C$2:$C$501,MATCH(348,'근조 화환'!$G$2:$G$501,0))&amp;"")</f>
        <v/>
      </c>
      <c r="J351" s="19">
        <f>IF(348&gt;$I$1,"",INDEX('근조 화환'!$D$2:$D$501,MATCH(348,'근조 화환'!$G$2:$G$501,0))&amp;"")</f>
        <v/>
      </c>
      <c r="K351" s="19">
        <f>IF(348&gt;$I$1,"",INDEX('근조 화환'!$E$2:$E$501,MATCH(348,'근조 화환'!$G$2:$G$501,0))&amp;"")</f>
        <v/>
      </c>
    </row>
    <row r="352">
      <c r="A352" s="19">
        <f>IF(349&lt;=$F$1,349,"")</f>
        <v/>
      </c>
      <c r="B352" s="19">
        <f>IF($A352="","",INDEX('부의금 입력'!$B$2:$B$1001,MATCH($A352,'부의금 입력'!$H$2:$H$1001,0))&amp;"")</f>
        <v/>
      </c>
      <c r="C352" s="21">
        <f>IF($A352="","",INDEX('부의금 입력'!$C$2:$C$1001,MATCH($A352,'부의금 입력'!$H$2:$H$1001,0)))</f>
        <v/>
      </c>
      <c r="D352" s="19">
        <f>IF($A352="","",INDEX('부의금 입력'!$D$2:$D$1001,MATCH($A352,'부의금 입력'!$H$2:$H$1001,0))&amp;"")</f>
        <v/>
      </c>
      <c r="E352" s="19">
        <f>IF($A352="","",INDEX('부의금 입력'!$E$2:$E$1001,MATCH($A352,'부의금 입력'!$H$2:$H$1001,0))&amp;"")</f>
        <v/>
      </c>
      <c r="H352" s="19">
        <f>IF(349&gt;$I$1,"",INDEX('근조 화환'!$B$2:$B$501,MATCH(349,'근조 화환'!$G$2:$G$501,0))&amp;"")</f>
        <v/>
      </c>
      <c r="I352" s="19">
        <f>IF(349&gt;$I$1,"",INDEX('근조 화환'!$C$2:$C$501,MATCH(349,'근조 화환'!$G$2:$G$501,0))&amp;"")</f>
        <v/>
      </c>
      <c r="J352" s="19">
        <f>IF(349&gt;$I$1,"",INDEX('근조 화환'!$D$2:$D$501,MATCH(349,'근조 화환'!$G$2:$G$501,0))&amp;"")</f>
        <v/>
      </c>
      <c r="K352" s="19">
        <f>IF(349&gt;$I$1,"",INDEX('근조 화환'!$E$2:$E$501,MATCH(349,'근조 화환'!$G$2:$G$501,0))&amp;"")</f>
        <v/>
      </c>
    </row>
    <row r="353">
      <c r="A353" s="19">
        <f>IF(350&lt;=$F$1,350,"")</f>
        <v/>
      </c>
      <c r="B353" s="19">
        <f>IF($A353="","",INDEX('부의금 입력'!$B$2:$B$1001,MATCH($A353,'부의금 입력'!$H$2:$H$1001,0))&amp;"")</f>
        <v/>
      </c>
      <c r="C353" s="21">
        <f>IF($A353="","",INDEX('부의금 입력'!$C$2:$C$1001,MATCH($A353,'부의금 입력'!$H$2:$H$1001,0)))</f>
        <v/>
      </c>
      <c r="D353" s="19">
        <f>IF($A353="","",INDEX('부의금 입력'!$D$2:$D$1001,MATCH($A353,'부의금 입력'!$H$2:$H$1001,0))&amp;"")</f>
        <v/>
      </c>
      <c r="E353" s="19">
        <f>IF($A353="","",INDEX('부의금 입력'!$E$2:$E$1001,MATCH($A353,'부의금 입력'!$H$2:$H$1001,0))&amp;"")</f>
        <v/>
      </c>
      <c r="H353" s="19">
        <f>IF(350&gt;$I$1,"",INDEX('근조 화환'!$B$2:$B$501,MATCH(350,'근조 화환'!$G$2:$G$501,0))&amp;"")</f>
        <v/>
      </c>
      <c r="I353" s="19">
        <f>IF(350&gt;$I$1,"",INDEX('근조 화환'!$C$2:$C$501,MATCH(350,'근조 화환'!$G$2:$G$501,0))&amp;"")</f>
        <v/>
      </c>
      <c r="J353" s="19">
        <f>IF(350&gt;$I$1,"",INDEX('근조 화환'!$D$2:$D$501,MATCH(350,'근조 화환'!$G$2:$G$501,0))&amp;"")</f>
        <v/>
      </c>
      <c r="K353" s="19">
        <f>IF(350&gt;$I$1,"",INDEX('근조 화환'!$E$2:$E$501,MATCH(350,'근조 화환'!$G$2:$G$501,0))&amp;"")</f>
        <v/>
      </c>
    </row>
    <row r="354">
      <c r="A354" s="19">
        <f>IF(351&lt;=$F$1,351,"")</f>
        <v/>
      </c>
      <c r="B354" s="19">
        <f>IF($A354="","",INDEX('부의금 입력'!$B$2:$B$1001,MATCH($A354,'부의금 입력'!$H$2:$H$1001,0))&amp;"")</f>
        <v/>
      </c>
      <c r="C354" s="21">
        <f>IF($A354="","",INDEX('부의금 입력'!$C$2:$C$1001,MATCH($A354,'부의금 입력'!$H$2:$H$1001,0)))</f>
        <v/>
      </c>
      <c r="D354" s="19">
        <f>IF($A354="","",INDEX('부의금 입력'!$D$2:$D$1001,MATCH($A354,'부의금 입력'!$H$2:$H$1001,0))&amp;"")</f>
        <v/>
      </c>
      <c r="E354" s="19">
        <f>IF($A354="","",INDEX('부의금 입력'!$E$2:$E$1001,MATCH($A354,'부의금 입력'!$H$2:$H$1001,0))&amp;"")</f>
        <v/>
      </c>
      <c r="H354" s="19">
        <f>IF(351&gt;$I$1,"",INDEX('근조 화환'!$B$2:$B$501,MATCH(351,'근조 화환'!$G$2:$G$501,0))&amp;"")</f>
        <v/>
      </c>
      <c r="I354" s="19">
        <f>IF(351&gt;$I$1,"",INDEX('근조 화환'!$C$2:$C$501,MATCH(351,'근조 화환'!$G$2:$G$501,0))&amp;"")</f>
        <v/>
      </c>
      <c r="J354" s="19">
        <f>IF(351&gt;$I$1,"",INDEX('근조 화환'!$D$2:$D$501,MATCH(351,'근조 화환'!$G$2:$G$501,0))&amp;"")</f>
        <v/>
      </c>
      <c r="K354" s="19">
        <f>IF(351&gt;$I$1,"",INDEX('근조 화환'!$E$2:$E$501,MATCH(351,'근조 화환'!$G$2:$G$501,0))&amp;"")</f>
        <v/>
      </c>
    </row>
    <row r="355">
      <c r="A355" s="19">
        <f>IF(352&lt;=$F$1,352,"")</f>
        <v/>
      </c>
      <c r="B355" s="19">
        <f>IF($A355="","",INDEX('부의금 입력'!$B$2:$B$1001,MATCH($A355,'부의금 입력'!$H$2:$H$1001,0))&amp;"")</f>
        <v/>
      </c>
      <c r="C355" s="21">
        <f>IF($A355="","",INDEX('부의금 입력'!$C$2:$C$1001,MATCH($A355,'부의금 입력'!$H$2:$H$1001,0)))</f>
        <v/>
      </c>
      <c r="D355" s="19">
        <f>IF($A355="","",INDEX('부의금 입력'!$D$2:$D$1001,MATCH($A355,'부의금 입력'!$H$2:$H$1001,0))&amp;"")</f>
        <v/>
      </c>
      <c r="E355" s="19">
        <f>IF($A355="","",INDEX('부의금 입력'!$E$2:$E$1001,MATCH($A355,'부의금 입력'!$H$2:$H$1001,0))&amp;"")</f>
        <v/>
      </c>
      <c r="H355" s="19">
        <f>IF(352&gt;$I$1,"",INDEX('근조 화환'!$B$2:$B$501,MATCH(352,'근조 화환'!$G$2:$G$501,0))&amp;"")</f>
        <v/>
      </c>
      <c r="I355" s="19">
        <f>IF(352&gt;$I$1,"",INDEX('근조 화환'!$C$2:$C$501,MATCH(352,'근조 화환'!$G$2:$G$501,0))&amp;"")</f>
        <v/>
      </c>
      <c r="J355" s="19">
        <f>IF(352&gt;$I$1,"",INDEX('근조 화환'!$D$2:$D$501,MATCH(352,'근조 화환'!$G$2:$G$501,0))&amp;"")</f>
        <v/>
      </c>
      <c r="K355" s="19">
        <f>IF(352&gt;$I$1,"",INDEX('근조 화환'!$E$2:$E$501,MATCH(352,'근조 화환'!$G$2:$G$501,0))&amp;"")</f>
        <v/>
      </c>
    </row>
    <row r="356">
      <c r="A356" s="19">
        <f>IF(353&lt;=$F$1,353,"")</f>
        <v/>
      </c>
      <c r="B356" s="19">
        <f>IF($A356="","",INDEX('부의금 입력'!$B$2:$B$1001,MATCH($A356,'부의금 입력'!$H$2:$H$1001,0))&amp;"")</f>
        <v/>
      </c>
      <c r="C356" s="21">
        <f>IF($A356="","",INDEX('부의금 입력'!$C$2:$C$1001,MATCH($A356,'부의금 입력'!$H$2:$H$1001,0)))</f>
        <v/>
      </c>
      <c r="D356" s="19">
        <f>IF($A356="","",INDEX('부의금 입력'!$D$2:$D$1001,MATCH($A356,'부의금 입력'!$H$2:$H$1001,0))&amp;"")</f>
        <v/>
      </c>
      <c r="E356" s="19">
        <f>IF($A356="","",INDEX('부의금 입력'!$E$2:$E$1001,MATCH($A356,'부의금 입력'!$H$2:$H$1001,0))&amp;"")</f>
        <v/>
      </c>
      <c r="H356" s="19">
        <f>IF(353&gt;$I$1,"",INDEX('근조 화환'!$B$2:$B$501,MATCH(353,'근조 화환'!$G$2:$G$501,0))&amp;"")</f>
        <v/>
      </c>
      <c r="I356" s="19">
        <f>IF(353&gt;$I$1,"",INDEX('근조 화환'!$C$2:$C$501,MATCH(353,'근조 화환'!$G$2:$G$501,0))&amp;"")</f>
        <v/>
      </c>
      <c r="J356" s="19">
        <f>IF(353&gt;$I$1,"",INDEX('근조 화환'!$D$2:$D$501,MATCH(353,'근조 화환'!$G$2:$G$501,0))&amp;"")</f>
        <v/>
      </c>
      <c r="K356" s="19">
        <f>IF(353&gt;$I$1,"",INDEX('근조 화환'!$E$2:$E$501,MATCH(353,'근조 화환'!$G$2:$G$501,0))&amp;"")</f>
        <v/>
      </c>
    </row>
    <row r="357">
      <c r="A357" s="19">
        <f>IF(354&lt;=$F$1,354,"")</f>
        <v/>
      </c>
      <c r="B357" s="19">
        <f>IF($A357="","",INDEX('부의금 입력'!$B$2:$B$1001,MATCH($A357,'부의금 입력'!$H$2:$H$1001,0))&amp;"")</f>
        <v/>
      </c>
      <c r="C357" s="21">
        <f>IF($A357="","",INDEX('부의금 입력'!$C$2:$C$1001,MATCH($A357,'부의금 입력'!$H$2:$H$1001,0)))</f>
        <v/>
      </c>
      <c r="D357" s="19">
        <f>IF($A357="","",INDEX('부의금 입력'!$D$2:$D$1001,MATCH($A357,'부의금 입력'!$H$2:$H$1001,0))&amp;"")</f>
        <v/>
      </c>
      <c r="E357" s="19">
        <f>IF($A357="","",INDEX('부의금 입력'!$E$2:$E$1001,MATCH($A357,'부의금 입력'!$H$2:$H$1001,0))&amp;"")</f>
        <v/>
      </c>
      <c r="H357" s="19">
        <f>IF(354&gt;$I$1,"",INDEX('근조 화환'!$B$2:$B$501,MATCH(354,'근조 화환'!$G$2:$G$501,0))&amp;"")</f>
        <v/>
      </c>
      <c r="I357" s="19">
        <f>IF(354&gt;$I$1,"",INDEX('근조 화환'!$C$2:$C$501,MATCH(354,'근조 화환'!$G$2:$G$501,0))&amp;"")</f>
        <v/>
      </c>
      <c r="J357" s="19">
        <f>IF(354&gt;$I$1,"",INDEX('근조 화환'!$D$2:$D$501,MATCH(354,'근조 화환'!$G$2:$G$501,0))&amp;"")</f>
        <v/>
      </c>
      <c r="K357" s="19">
        <f>IF(354&gt;$I$1,"",INDEX('근조 화환'!$E$2:$E$501,MATCH(354,'근조 화환'!$G$2:$G$501,0))&amp;"")</f>
        <v/>
      </c>
    </row>
    <row r="358">
      <c r="A358" s="19">
        <f>IF(355&lt;=$F$1,355,"")</f>
        <v/>
      </c>
      <c r="B358" s="19">
        <f>IF($A358="","",INDEX('부의금 입력'!$B$2:$B$1001,MATCH($A358,'부의금 입력'!$H$2:$H$1001,0))&amp;"")</f>
        <v/>
      </c>
      <c r="C358" s="21">
        <f>IF($A358="","",INDEX('부의금 입력'!$C$2:$C$1001,MATCH($A358,'부의금 입력'!$H$2:$H$1001,0)))</f>
        <v/>
      </c>
      <c r="D358" s="19">
        <f>IF($A358="","",INDEX('부의금 입력'!$D$2:$D$1001,MATCH($A358,'부의금 입력'!$H$2:$H$1001,0))&amp;"")</f>
        <v/>
      </c>
      <c r="E358" s="19">
        <f>IF($A358="","",INDEX('부의금 입력'!$E$2:$E$1001,MATCH($A358,'부의금 입력'!$H$2:$H$1001,0))&amp;"")</f>
        <v/>
      </c>
      <c r="H358" s="19">
        <f>IF(355&gt;$I$1,"",INDEX('근조 화환'!$B$2:$B$501,MATCH(355,'근조 화환'!$G$2:$G$501,0))&amp;"")</f>
        <v/>
      </c>
      <c r="I358" s="19">
        <f>IF(355&gt;$I$1,"",INDEX('근조 화환'!$C$2:$C$501,MATCH(355,'근조 화환'!$G$2:$G$501,0))&amp;"")</f>
        <v/>
      </c>
      <c r="J358" s="19">
        <f>IF(355&gt;$I$1,"",INDEX('근조 화환'!$D$2:$D$501,MATCH(355,'근조 화환'!$G$2:$G$501,0))&amp;"")</f>
        <v/>
      </c>
      <c r="K358" s="19">
        <f>IF(355&gt;$I$1,"",INDEX('근조 화환'!$E$2:$E$501,MATCH(355,'근조 화환'!$G$2:$G$501,0))&amp;"")</f>
        <v/>
      </c>
    </row>
    <row r="359">
      <c r="A359" s="19">
        <f>IF(356&lt;=$F$1,356,"")</f>
        <v/>
      </c>
      <c r="B359" s="19">
        <f>IF($A359="","",INDEX('부의금 입력'!$B$2:$B$1001,MATCH($A359,'부의금 입력'!$H$2:$H$1001,0))&amp;"")</f>
        <v/>
      </c>
      <c r="C359" s="21">
        <f>IF($A359="","",INDEX('부의금 입력'!$C$2:$C$1001,MATCH($A359,'부의금 입력'!$H$2:$H$1001,0)))</f>
        <v/>
      </c>
      <c r="D359" s="19">
        <f>IF($A359="","",INDEX('부의금 입력'!$D$2:$D$1001,MATCH($A359,'부의금 입력'!$H$2:$H$1001,0))&amp;"")</f>
        <v/>
      </c>
      <c r="E359" s="19">
        <f>IF($A359="","",INDEX('부의금 입력'!$E$2:$E$1001,MATCH($A359,'부의금 입력'!$H$2:$H$1001,0))&amp;"")</f>
        <v/>
      </c>
      <c r="H359" s="19">
        <f>IF(356&gt;$I$1,"",INDEX('근조 화환'!$B$2:$B$501,MATCH(356,'근조 화환'!$G$2:$G$501,0))&amp;"")</f>
        <v/>
      </c>
      <c r="I359" s="19">
        <f>IF(356&gt;$I$1,"",INDEX('근조 화환'!$C$2:$C$501,MATCH(356,'근조 화환'!$G$2:$G$501,0))&amp;"")</f>
        <v/>
      </c>
      <c r="J359" s="19">
        <f>IF(356&gt;$I$1,"",INDEX('근조 화환'!$D$2:$D$501,MATCH(356,'근조 화환'!$G$2:$G$501,0))&amp;"")</f>
        <v/>
      </c>
      <c r="K359" s="19">
        <f>IF(356&gt;$I$1,"",INDEX('근조 화환'!$E$2:$E$501,MATCH(356,'근조 화환'!$G$2:$G$501,0))&amp;"")</f>
        <v/>
      </c>
    </row>
    <row r="360">
      <c r="A360" s="19">
        <f>IF(357&lt;=$F$1,357,"")</f>
        <v/>
      </c>
      <c r="B360" s="19">
        <f>IF($A360="","",INDEX('부의금 입력'!$B$2:$B$1001,MATCH($A360,'부의금 입력'!$H$2:$H$1001,0))&amp;"")</f>
        <v/>
      </c>
      <c r="C360" s="21">
        <f>IF($A360="","",INDEX('부의금 입력'!$C$2:$C$1001,MATCH($A360,'부의금 입력'!$H$2:$H$1001,0)))</f>
        <v/>
      </c>
      <c r="D360" s="19">
        <f>IF($A360="","",INDEX('부의금 입력'!$D$2:$D$1001,MATCH($A360,'부의금 입력'!$H$2:$H$1001,0))&amp;"")</f>
        <v/>
      </c>
      <c r="E360" s="19">
        <f>IF($A360="","",INDEX('부의금 입력'!$E$2:$E$1001,MATCH($A360,'부의금 입력'!$H$2:$H$1001,0))&amp;"")</f>
        <v/>
      </c>
      <c r="H360" s="19">
        <f>IF(357&gt;$I$1,"",INDEX('근조 화환'!$B$2:$B$501,MATCH(357,'근조 화환'!$G$2:$G$501,0))&amp;"")</f>
        <v/>
      </c>
      <c r="I360" s="19">
        <f>IF(357&gt;$I$1,"",INDEX('근조 화환'!$C$2:$C$501,MATCH(357,'근조 화환'!$G$2:$G$501,0))&amp;"")</f>
        <v/>
      </c>
      <c r="J360" s="19">
        <f>IF(357&gt;$I$1,"",INDEX('근조 화환'!$D$2:$D$501,MATCH(357,'근조 화환'!$G$2:$G$501,0))&amp;"")</f>
        <v/>
      </c>
      <c r="K360" s="19">
        <f>IF(357&gt;$I$1,"",INDEX('근조 화환'!$E$2:$E$501,MATCH(357,'근조 화환'!$G$2:$G$501,0))&amp;"")</f>
        <v/>
      </c>
    </row>
    <row r="361">
      <c r="A361" s="19">
        <f>IF(358&lt;=$F$1,358,"")</f>
        <v/>
      </c>
      <c r="B361" s="19">
        <f>IF($A361="","",INDEX('부의금 입력'!$B$2:$B$1001,MATCH($A361,'부의금 입력'!$H$2:$H$1001,0))&amp;"")</f>
        <v/>
      </c>
      <c r="C361" s="21">
        <f>IF($A361="","",INDEX('부의금 입력'!$C$2:$C$1001,MATCH($A361,'부의금 입력'!$H$2:$H$1001,0)))</f>
        <v/>
      </c>
      <c r="D361" s="19">
        <f>IF($A361="","",INDEX('부의금 입력'!$D$2:$D$1001,MATCH($A361,'부의금 입력'!$H$2:$H$1001,0))&amp;"")</f>
        <v/>
      </c>
      <c r="E361" s="19">
        <f>IF($A361="","",INDEX('부의금 입력'!$E$2:$E$1001,MATCH($A361,'부의금 입력'!$H$2:$H$1001,0))&amp;"")</f>
        <v/>
      </c>
      <c r="H361" s="19">
        <f>IF(358&gt;$I$1,"",INDEX('근조 화환'!$B$2:$B$501,MATCH(358,'근조 화환'!$G$2:$G$501,0))&amp;"")</f>
        <v/>
      </c>
      <c r="I361" s="19">
        <f>IF(358&gt;$I$1,"",INDEX('근조 화환'!$C$2:$C$501,MATCH(358,'근조 화환'!$G$2:$G$501,0))&amp;"")</f>
        <v/>
      </c>
      <c r="J361" s="19">
        <f>IF(358&gt;$I$1,"",INDEX('근조 화환'!$D$2:$D$501,MATCH(358,'근조 화환'!$G$2:$G$501,0))&amp;"")</f>
        <v/>
      </c>
      <c r="K361" s="19">
        <f>IF(358&gt;$I$1,"",INDEX('근조 화환'!$E$2:$E$501,MATCH(358,'근조 화환'!$G$2:$G$501,0))&amp;"")</f>
        <v/>
      </c>
    </row>
    <row r="362">
      <c r="A362" s="19">
        <f>IF(359&lt;=$F$1,359,"")</f>
        <v/>
      </c>
      <c r="B362" s="19">
        <f>IF($A362="","",INDEX('부의금 입력'!$B$2:$B$1001,MATCH($A362,'부의금 입력'!$H$2:$H$1001,0))&amp;"")</f>
        <v/>
      </c>
      <c r="C362" s="21">
        <f>IF($A362="","",INDEX('부의금 입력'!$C$2:$C$1001,MATCH($A362,'부의금 입력'!$H$2:$H$1001,0)))</f>
        <v/>
      </c>
      <c r="D362" s="19">
        <f>IF($A362="","",INDEX('부의금 입력'!$D$2:$D$1001,MATCH($A362,'부의금 입력'!$H$2:$H$1001,0))&amp;"")</f>
        <v/>
      </c>
      <c r="E362" s="19">
        <f>IF($A362="","",INDEX('부의금 입력'!$E$2:$E$1001,MATCH($A362,'부의금 입력'!$H$2:$H$1001,0))&amp;"")</f>
        <v/>
      </c>
      <c r="H362" s="19">
        <f>IF(359&gt;$I$1,"",INDEX('근조 화환'!$B$2:$B$501,MATCH(359,'근조 화환'!$G$2:$G$501,0))&amp;"")</f>
        <v/>
      </c>
      <c r="I362" s="19">
        <f>IF(359&gt;$I$1,"",INDEX('근조 화환'!$C$2:$C$501,MATCH(359,'근조 화환'!$G$2:$G$501,0))&amp;"")</f>
        <v/>
      </c>
      <c r="J362" s="19">
        <f>IF(359&gt;$I$1,"",INDEX('근조 화환'!$D$2:$D$501,MATCH(359,'근조 화환'!$G$2:$G$501,0))&amp;"")</f>
        <v/>
      </c>
      <c r="K362" s="19">
        <f>IF(359&gt;$I$1,"",INDEX('근조 화환'!$E$2:$E$501,MATCH(359,'근조 화환'!$G$2:$G$501,0))&amp;"")</f>
        <v/>
      </c>
    </row>
    <row r="363">
      <c r="A363" s="19">
        <f>IF(360&lt;=$F$1,360,"")</f>
        <v/>
      </c>
      <c r="B363" s="19">
        <f>IF($A363="","",INDEX('부의금 입력'!$B$2:$B$1001,MATCH($A363,'부의금 입력'!$H$2:$H$1001,0))&amp;"")</f>
        <v/>
      </c>
      <c r="C363" s="21">
        <f>IF($A363="","",INDEX('부의금 입력'!$C$2:$C$1001,MATCH($A363,'부의금 입력'!$H$2:$H$1001,0)))</f>
        <v/>
      </c>
      <c r="D363" s="19">
        <f>IF($A363="","",INDEX('부의금 입력'!$D$2:$D$1001,MATCH($A363,'부의금 입력'!$H$2:$H$1001,0))&amp;"")</f>
        <v/>
      </c>
      <c r="E363" s="19">
        <f>IF($A363="","",INDEX('부의금 입력'!$E$2:$E$1001,MATCH($A363,'부의금 입력'!$H$2:$H$1001,0))&amp;"")</f>
        <v/>
      </c>
      <c r="H363" s="19">
        <f>IF(360&gt;$I$1,"",INDEX('근조 화환'!$B$2:$B$501,MATCH(360,'근조 화환'!$G$2:$G$501,0))&amp;"")</f>
        <v/>
      </c>
      <c r="I363" s="19">
        <f>IF(360&gt;$I$1,"",INDEX('근조 화환'!$C$2:$C$501,MATCH(360,'근조 화환'!$G$2:$G$501,0))&amp;"")</f>
        <v/>
      </c>
      <c r="J363" s="19">
        <f>IF(360&gt;$I$1,"",INDEX('근조 화환'!$D$2:$D$501,MATCH(360,'근조 화환'!$G$2:$G$501,0))&amp;"")</f>
        <v/>
      </c>
      <c r="K363" s="19">
        <f>IF(360&gt;$I$1,"",INDEX('근조 화환'!$E$2:$E$501,MATCH(360,'근조 화환'!$G$2:$G$501,0))&amp;"")</f>
        <v/>
      </c>
    </row>
    <row r="364">
      <c r="A364" s="19">
        <f>IF(361&lt;=$F$1,361,"")</f>
        <v/>
      </c>
      <c r="B364" s="19">
        <f>IF($A364="","",INDEX('부의금 입력'!$B$2:$B$1001,MATCH($A364,'부의금 입력'!$H$2:$H$1001,0))&amp;"")</f>
        <v/>
      </c>
      <c r="C364" s="21">
        <f>IF($A364="","",INDEX('부의금 입력'!$C$2:$C$1001,MATCH($A364,'부의금 입력'!$H$2:$H$1001,0)))</f>
        <v/>
      </c>
      <c r="D364" s="19">
        <f>IF($A364="","",INDEX('부의금 입력'!$D$2:$D$1001,MATCH($A364,'부의금 입력'!$H$2:$H$1001,0))&amp;"")</f>
        <v/>
      </c>
      <c r="E364" s="19">
        <f>IF($A364="","",INDEX('부의금 입력'!$E$2:$E$1001,MATCH($A364,'부의금 입력'!$H$2:$H$1001,0))&amp;"")</f>
        <v/>
      </c>
      <c r="H364" s="19">
        <f>IF(361&gt;$I$1,"",INDEX('근조 화환'!$B$2:$B$501,MATCH(361,'근조 화환'!$G$2:$G$501,0))&amp;"")</f>
        <v/>
      </c>
      <c r="I364" s="19">
        <f>IF(361&gt;$I$1,"",INDEX('근조 화환'!$C$2:$C$501,MATCH(361,'근조 화환'!$G$2:$G$501,0))&amp;"")</f>
        <v/>
      </c>
      <c r="J364" s="19">
        <f>IF(361&gt;$I$1,"",INDEX('근조 화환'!$D$2:$D$501,MATCH(361,'근조 화환'!$G$2:$G$501,0))&amp;"")</f>
        <v/>
      </c>
      <c r="K364" s="19">
        <f>IF(361&gt;$I$1,"",INDEX('근조 화환'!$E$2:$E$501,MATCH(361,'근조 화환'!$G$2:$G$501,0))&amp;"")</f>
        <v/>
      </c>
    </row>
    <row r="365">
      <c r="A365" s="19">
        <f>IF(362&lt;=$F$1,362,"")</f>
        <v/>
      </c>
      <c r="B365" s="19">
        <f>IF($A365="","",INDEX('부의금 입력'!$B$2:$B$1001,MATCH($A365,'부의금 입력'!$H$2:$H$1001,0))&amp;"")</f>
        <v/>
      </c>
      <c r="C365" s="21">
        <f>IF($A365="","",INDEX('부의금 입력'!$C$2:$C$1001,MATCH($A365,'부의금 입력'!$H$2:$H$1001,0)))</f>
        <v/>
      </c>
      <c r="D365" s="19">
        <f>IF($A365="","",INDEX('부의금 입력'!$D$2:$D$1001,MATCH($A365,'부의금 입력'!$H$2:$H$1001,0))&amp;"")</f>
        <v/>
      </c>
      <c r="E365" s="19">
        <f>IF($A365="","",INDEX('부의금 입력'!$E$2:$E$1001,MATCH($A365,'부의금 입력'!$H$2:$H$1001,0))&amp;"")</f>
        <v/>
      </c>
      <c r="H365" s="19">
        <f>IF(362&gt;$I$1,"",INDEX('근조 화환'!$B$2:$B$501,MATCH(362,'근조 화환'!$G$2:$G$501,0))&amp;"")</f>
        <v/>
      </c>
      <c r="I365" s="19">
        <f>IF(362&gt;$I$1,"",INDEX('근조 화환'!$C$2:$C$501,MATCH(362,'근조 화환'!$G$2:$G$501,0))&amp;"")</f>
        <v/>
      </c>
      <c r="J365" s="19">
        <f>IF(362&gt;$I$1,"",INDEX('근조 화환'!$D$2:$D$501,MATCH(362,'근조 화환'!$G$2:$G$501,0))&amp;"")</f>
        <v/>
      </c>
      <c r="K365" s="19">
        <f>IF(362&gt;$I$1,"",INDEX('근조 화환'!$E$2:$E$501,MATCH(362,'근조 화환'!$G$2:$G$501,0))&amp;"")</f>
        <v/>
      </c>
    </row>
    <row r="366">
      <c r="A366" s="19">
        <f>IF(363&lt;=$F$1,363,"")</f>
        <v/>
      </c>
      <c r="B366" s="19">
        <f>IF($A366="","",INDEX('부의금 입력'!$B$2:$B$1001,MATCH($A366,'부의금 입력'!$H$2:$H$1001,0))&amp;"")</f>
        <v/>
      </c>
      <c r="C366" s="21">
        <f>IF($A366="","",INDEX('부의금 입력'!$C$2:$C$1001,MATCH($A366,'부의금 입력'!$H$2:$H$1001,0)))</f>
        <v/>
      </c>
      <c r="D366" s="19">
        <f>IF($A366="","",INDEX('부의금 입력'!$D$2:$D$1001,MATCH($A366,'부의금 입력'!$H$2:$H$1001,0))&amp;"")</f>
        <v/>
      </c>
      <c r="E366" s="19">
        <f>IF($A366="","",INDEX('부의금 입력'!$E$2:$E$1001,MATCH($A366,'부의금 입력'!$H$2:$H$1001,0))&amp;"")</f>
        <v/>
      </c>
      <c r="H366" s="19">
        <f>IF(363&gt;$I$1,"",INDEX('근조 화환'!$B$2:$B$501,MATCH(363,'근조 화환'!$G$2:$G$501,0))&amp;"")</f>
        <v/>
      </c>
      <c r="I366" s="19">
        <f>IF(363&gt;$I$1,"",INDEX('근조 화환'!$C$2:$C$501,MATCH(363,'근조 화환'!$G$2:$G$501,0))&amp;"")</f>
        <v/>
      </c>
      <c r="J366" s="19">
        <f>IF(363&gt;$I$1,"",INDEX('근조 화환'!$D$2:$D$501,MATCH(363,'근조 화환'!$G$2:$G$501,0))&amp;"")</f>
        <v/>
      </c>
      <c r="K366" s="19">
        <f>IF(363&gt;$I$1,"",INDEX('근조 화환'!$E$2:$E$501,MATCH(363,'근조 화환'!$G$2:$G$501,0))&amp;"")</f>
        <v/>
      </c>
    </row>
    <row r="367">
      <c r="A367" s="19">
        <f>IF(364&lt;=$F$1,364,"")</f>
        <v/>
      </c>
      <c r="B367" s="19">
        <f>IF($A367="","",INDEX('부의금 입력'!$B$2:$B$1001,MATCH($A367,'부의금 입력'!$H$2:$H$1001,0))&amp;"")</f>
        <v/>
      </c>
      <c r="C367" s="21">
        <f>IF($A367="","",INDEX('부의금 입력'!$C$2:$C$1001,MATCH($A367,'부의금 입력'!$H$2:$H$1001,0)))</f>
        <v/>
      </c>
      <c r="D367" s="19">
        <f>IF($A367="","",INDEX('부의금 입력'!$D$2:$D$1001,MATCH($A367,'부의금 입력'!$H$2:$H$1001,0))&amp;"")</f>
        <v/>
      </c>
      <c r="E367" s="19">
        <f>IF($A367="","",INDEX('부의금 입력'!$E$2:$E$1001,MATCH($A367,'부의금 입력'!$H$2:$H$1001,0))&amp;"")</f>
        <v/>
      </c>
      <c r="H367" s="19">
        <f>IF(364&gt;$I$1,"",INDEX('근조 화환'!$B$2:$B$501,MATCH(364,'근조 화환'!$G$2:$G$501,0))&amp;"")</f>
        <v/>
      </c>
      <c r="I367" s="19">
        <f>IF(364&gt;$I$1,"",INDEX('근조 화환'!$C$2:$C$501,MATCH(364,'근조 화환'!$G$2:$G$501,0))&amp;"")</f>
        <v/>
      </c>
      <c r="J367" s="19">
        <f>IF(364&gt;$I$1,"",INDEX('근조 화환'!$D$2:$D$501,MATCH(364,'근조 화환'!$G$2:$G$501,0))&amp;"")</f>
        <v/>
      </c>
      <c r="K367" s="19">
        <f>IF(364&gt;$I$1,"",INDEX('근조 화환'!$E$2:$E$501,MATCH(364,'근조 화환'!$G$2:$G$501,0))&amp;"")</f>
        <v/>
      </c>
    </row>
    <row r="368">
      <c r="A368" s="19">
        <f>IF(365&lt;=$F$1,365,"")</f>
        <v/>
      </c>
      <c r="B368" s="19">
        <f>IF($A368="","",INDEX('부의금 입력'!$B$2:$B$1001,MATCH($A368,'부의금 입력'!$H$2:$H$1001,0))&amp;"")</f>
        <v/>
      </c>
      <c r="C368" s="21">
        <f>IF($A368="","",INDEX('부의금 입력'!$C$2:$C$1001,MATCH($A368,'부의금 입력'!$H$2:$H$1001,0)))</f>
        <v/>
      </c>
      <c r="D368" s="19">
        <f>IF($A368="","",INDEX('부의금 입력'!$D$2:$D$1001,MATCH($A368,'부의금 입력'!$H$2:$H$1001,0))&amp;"")</f>
        <v/>
      </c>
      <c r="E368" s="19">
        <f>IF($A368="","",INDEX('부의금 입력'!$E$2:$E$1001,MATCH($A368,'부의금 입력'!$H$2:$H$1001,0))&amp;"")</f>
        <v/>
      </c>
      <c r="H368" s="19">
        <f>IF(365&gt;$I$1,"",INDEX('근조 화환'!$B$2:$B$501,MATCH(365,'근조 화환'!$G$2:$G$501,0))&amp;"")</f>
        <v/>
      </c>
      <c r="I368" s="19">
        <f>IF(365&gt;$I$1,"",INDEX('근조 화환'!$C$2:$C$501,MATCH(365,'근조 화환'!$G$2:$G$501,0))&amp;"")</f>
        <v/>
      </c>
      <c r="J368" s="19">
        <f>IF(365&gt;$I$1,"",INDEX('근조 화환'!$D$2:$D$501,MATCH(365,'근조 화환'!$G$2:$G$501,0))&amp;"")</f>
        <v/>
      </c>
      <c r="K368" s="19">
        <f>IF(365&gt;$I$1,"",INDEX('근조 화환'!$E$2:$E$501,MATCH(365,'근조 화환'!$G$2:$G$501,0))&amp;"")</f>
        <v/>
      </c>
    </row>
    <row r="369">
      <c r="A369" s="19">
        <f>IF(366&lt;=$F$1,366,"")</f>
        <v/>
      </c>
      <c r="B369" s="19">
        <f>IF($A369="","",INDEX('부의금 입력'!$B$2:$B$1001,MATCH($A369,'부의금 입력'!$H$2:$H$1001,0))&amp;"")</f>
        <v/>
      </c>
      <c r="C369" s="21">
        <f>IF($A369="","",INDEX('부의금 입력'!$C$2:$C$1001,MATCH($A369,'부의금 입력'!$H$2:$H$1001,0)))</f>
        <v/>
      </c>
      <c r="D369" s="19">
        <f>IF($A369="","",INDEX('부의금 입력'!$D$2:$D$1001,MATCH($A369,'부의금 입력'!$H$2:$H$1001,0))&amp;"")</f>
        <v/>
      </c>
      <c r="E369" s="19">
        <f>IF($A369="","",INDEX('부의금 입력'!$E$2:$E$1001,MATCH($A369,'부의금 입력'!$H$2:$H$1001,0))&amp;"")</f>
        <v/>
      </c>
      <c r="H369" s="19">
        <f>IF(366&gt;$I$1,"",INDEX('근조 화환'!$B$2:$B$501,MATCH(366,'근조 화환'!$G$2:$G$501,0))&amp;"")</f>
        <v/>
      </c>
      <c r="I369" s="19">
        <f>IF(366&gt;$I$1,"",INDEX('근조 화환'!$C$2:$C$501,MATCH(366,'근조 화환'!$G$2:$G$501,0))&amp;"")</f>
        <v/>
      </c>
      <c r="J369" s="19">
        <f>IF(366&gt;$I$1,"",INDEX('근조 화환'!$D$2:$D$501,MATCH(366,'근조 화환'!$G$2:$G$501,0))&amp;"")</f>
        <v/>
      </c>
      <c r="K369" s="19">
        <f>IF(366&gt;$I$1,"",INDEX('근조 화환'!$E$2:$E$501,MATCH(366,'근조 화환'!$G$2:$G$501,0))&amp;"")</f>
        <v/>
      </c>
    </row>
    <row r="370">
      <c r="A370" s="19">
        <f>IF(367&lt;=$F$1,367,"")</f>
        <v/>
      </c>
      <c r="B370" s="19">
        <f>IF($A370="","",INDEX('부의금 입력'!$B$2:$B$1001,MATCH($A370,'부의금 입력'!$H$2:$H$1001,0))&amp;"")</f>
        <v/>
      </c>
      <c r="C370" s="21">
        <f>IF($A370="","",INDEX('부의금 입력'!$C$2:$C$1001,MATCH($A370,'부의금 입력'!$H$2:$H$1001,0)))</f>
        <v/>
      </c>
      <c r="D370" s="19">
        <f>IF($A370="","",INDEX('부의금 입력'!$D$2:$D$1001,MATCH($A370,'부의금 입력'!$H$2:$H$1001,0))&amp;"")</f>
        <v/>
      </c>
      <c r="E370" s="19">
        <f>IF($A370="","",INDEX('부의금 입력'!$E$2:$E$1001,MATCH($A370,'부의금 입력'!$H$2:$H$1001,0))&amp;"")</f>
        <v/>
      </c>
      <c r="H370" s="19">
        <f>IF(367&gt;$I$1,"",INDEX('근조 화환'!$B$2:$B$501,MATCH(367,'근조 화환'!$G$2:$G$501,0))&amp;"")</f>
        <v/>
      </c>
      <c r="I370" s="19">
        <f>IF(367&gt;$I$1,"",INDEX('근조 화환'!$C$2:$C$501,MATCH(367,'근조 화환'!$G$2:$G$501,0))&amp;"")</f>
        <v/>
      </c>
      <c r="J370" s="19">
        <f>IF(367&gt;$I$1,"",INDEX('근조 화환'!$D$2:$D$501,MATCH(367,'근조 화환'!$G$2:$G$501,0))&amp;"")</f>
        <v/>
      </c>
      <c r="K370" s="19">
        <f>IF(367&gt;$I$1,"",INDEX('근조 화환'!$E$2:$E$501,MATCH(367,'근조 화환'!$G$2:$G$501,0))&amp;"")</f>
        <v/>
      </c>
    </row>
    <row r="371">
      <c r="A371" s="19">
        <f>IF(368&lt;=$F$1,368,"")</f>
        <v/>
      </c>
      <c r="B371" s="19">
        <f>IF($A371="","",INDEX('부의금 입력'!$B$2:$B$1001,MATCH($A371,'부의금 입력'!$H$2:$H$1001,0))&amp;"")</f>
        <v/>
      </c>
      <c r="C371" s="21">
        <f>IF($A371="","",INDEX('부의금 입력'!$C$2:$C$1001,MATCH($A371,'부의금 입력'!$H$2:$H$1001,0)))</f>
        <v/>
      </c>
      <c r="D371" s="19">
        <f>IF($A371="","",INDEX('부의금 입력'!$D$2:$D$1001,MATCH($A371,'부의금 입력'!$H$2:$H$1001,0))&amp;"")</f>
        <v/>
      </c>
      <c r="E371" s="19">
        <f>IF($A371="","",INDEX('부의금 입력'!$E$2:$E$1001,MATCH($A371,'부의금 입력'!$H$2:$H$1001,0))&amp;"")</f>
        <v/>
      </c>
      <c r="H371" s="19">
        <f>IF(368&gt;$I$1,"",INDEX('근조 화환'!$B$2:$B$501,MATCH(368,'근조 화환'!$G$2:$G$501,0))&amp;"")</f>
        <v/>
      </c>
      <c r="I371" s="19">
        <f>IF(368&gt;$I$1,"",INDEX('근조 화환'!$C$2:$C$501,MATCH(368,'근조 화환'!$G$2:$G$501,0))&amp;"")</f>
        <v/>
      </c>
      <c r="J371" s="19">
        <f>IF(368&gt;$I$1,"",INDEX('근조 화환'!$D$2:$D$501,MATCH(368,'근조 화환'!$G$2:$G$501,0))&amp;"")</f>
        <v/>
      </c>
      <c r="K371" s="19">
        <f>IF(368&gt;$I$1,"",INDEX('근조 화환'!$E$2:$E$501,MATCH(368,'근조 화환'!$G$2:$G$501,0))&amp;"")</f>
        <v/>
      </c>
    </row>
    <row r="372">
      <c r="A372" s="19">
        <f>IF(369&lt;=$F$1,369,"")</f>
        <v/>
      </c>
      <c r="B372" s="19">
        <f>IF($A372="","",INDEX('부의금 입력'!$B$2:$B$1001,MATCH($A372,'부의금 입력'!$H$2:$H$1001,0))&amp;"")</f>
        <v/>
      </c>
      <c r="C372" s="21">
        <f>IF($A372="","",INDEX('부의금 입력'!$C$2:$C$1001,MATCH($A372,'부의금 입력'!$H$2:$H$1001,0)))</f>
        <v/>
      </c>
      <c r="D372" s="19">
        <f>IF($A372="","",INDEX('부의금 입력'!$D$2:$D$1001,MATCH($A372,'부의금 입력'!$H$2:$H$1001,0))&amp;"")</f>
        <v/>
      </c>
      <c r="E372" s="19">
        <f>IF($A372="","",INDEX('부의금 입력'!$E$2:$E$1001,MATCH($A372,'부의금 입력'!$H$2:$H$1001,0))&amp;"")</f>
        <v/>
      </c>
      <c r="H372" s="19">
        <f>IF(369&gt;$I$1,"",INDEX('근조 화환'!$B$2:$B$501,MATCH(369,'근조 화환'!$G$2:$G$501,0))&amp;"")</f>
        <v/>
      </c>
      <c r="I372" s="19">
        <f>IF(369&gt;$I$1,"",INDEX('근조 화환'!$C$2:$C$501,MATCH(369,'근조 화환'!$G$2:$G$501,0))&amp;"")</f>
        <v/>
      </c>
      <c r="J372" s="19">
        <f>IF(369&gt;$I$1,"",INDEX('근조 화환'!$D$2:$D$501,MATCH(369,'근조 화환'!$G$2:$G$501,0))&amp;"")</f>
        <v/>
      </c>
      <c r="K372" s="19">
        <f>IF(369&gt;$I$1,"",INDEX('근조 화환'!$E$2:$E$501,MATCH(369,'근조 화환'!$G$2:$G$501,0))&amp;"")</f>
        <v/>
      </c>
    </row>
    <row r="373">
      <c r="A373" s="19">
        <f>IF(370&lt;=$F$1,370,"")</f>
        <v/>
      </c>
      <c r="B373" s="19">
        <f>IF($A373="","",INDEX('부의금 입력'!$B$2:$B$1001,MATCH($A373,'부의금 입력'!$H$2:$H$1001,0))&amp;"")</f>
        <v/>
      </c>
      <c r="C373" s="21">
        <f>IF($A373="","",INDEX('부의금 입력'!$C$2:$C$1001,MATCH($A373,'부의금 입력'!$H$2:$H$1001,0)))</f>
        <v/>
      </c>
      <c r="D373" s="19">
        <f>IF($A373="","",INDEX('부의금 입력'!$D$2:$D$1001,MATCH($A373,'부의금 입력'!$H$2:$H$1001,0))&amp;"")</f>
        <v/>
      </c>
      <c r="E373" s="19">
        <f>IF($A373="","",INDEX('부의금 입력'!$E$2:$E$1001,MATCH($A373,'부의금 입력'!$H$2:$H$1001,0))&amp;"")</f>
        <v/>
      </c>
      <c r="H373" s="19">
        <f>IF(370&gt;$I$1,"",INDEX('근조 화환'!$B$2:$B$501,MATCH(370,'근조 화환'!$G$2:$G$501,0))&amp;"")</f>
        <v/>
      </c>
      <c r="I373" s="19">
        <f>IF(370&gt;$I$1,"",INDEX('근조 화환'!$C$2:$C$501,MATCH(370,'근조 화환'!$G$2:$G$501,0))&amp;"")</f>
        <v/>
      </c>
      <c r="J373" s="19">
        <f>IF(370&gt;$I$1,"",INDEX('근조 화환'!$D$2:$D$501,MATCH(370,'근조 화환'!$G$2:$G$501,0))&amp;"")</f>
        <v/>
      </c>
      <c r="K373" s="19">
        <f>IF(370&gt;$I$1,"",INDEX('근조 화환'!$E$2:$E$501,MATCH(370,'근조 화환'!$G$2:$G$501,0))&amp;"")</f>
        <v/>
      </c>
    </row>
    <row r="374">
      <c r="A374" s="19">
        <f>IF(371&lt;=$F$1,371,"")</f>
        <v/>
      </c>
      <c r="B374" s="19">
        <f>IF($A374="","",INDEX('부의금 입력'!$B$2:$B$1001,MATCH($A374,'부의금 입력'!$H$2:$H$1001,0))&amp;"")</f>
        <v/>
      </c>
      <c r="C374" s="21">
        <f>IF($A374="","",INDEX('부의금 입력'!$C$2:$C$1001,MATCH($A374,'부의금 입력'!$H$2:$H$1001,0)))</f>
        <v/>
      </c>
      <c r="D374" s="19">
        <f>IF($A374="","",INDEX('부의금 입력'!$D$2:$D$1001,MATCH($A374,'부의금 입력'!$H$2:$H$1001,0))&amp;"")</f>
        <v/>
      </c>
      <c r="E374" s="19">
        <f>IF($A374="","",INDEX('부의금 입력'!$E$2:$E$1001,MATCH($A374,'부의금 입력'!$H$2:$H$1001,0))&amp;"")</f>
        <v/>
      </c>
      <c r="H374" s="19">
        <f>IF(371&gt;$I$1,"",INDEX('근조 화환'!$B$2:$B$501,MATCH(371,'근조 화환'!$G$2:$G$501,0))&amp;"")</f>
        <v/>
      </c>
      <c r="I374" s="19">
        <f>IF(371&gt;$I$1,"",INDEX('근조 화환'!$C$2:$C$501,MATCH(371,'근조 화환'!$G$2:$G$501,0))&amp;"")</f>
        <v/>
      </c>
      <c r="J374" s="19">
        <f>IF(371&gt;$I$1,"",INDEX('근조 화환'!$D$2:$D$501,MATCH(371,'근조 화환'!$G$2:$G$501,0))&amp;"")</f>
        <v/>
      </c>
      <c r="K374" s="19">
        <f>IF(371&gt;$I$1,"",INDEX('근조 화환'!$E$2:$E$501,MATCH(371,'근조 화환'!$G$2:$G$501,0))&amp;"")</f>
        <v/>
      </c>
    </row>
    <row r="375">
      <c r="A375" s="19">
        <f>IF(372&lt;=$F$1,372,"")</f>
        <v/>
      </c>
      <c r="B375" s="19">
        <f>IF($A375="","",INDEX('부의금 입력'!$B$2:$B$1001,MATCH($A375,'부의금 입력'!$H$2:$H$1001,0))&amp;"")</f>
        <v/>
      </c>
      <c r="C375" s="21">
        <f>IF($A375="","",INDEX('부의금 입력'!$C$2:$C$1001,MATCH($A375,'부의금 입력'!$H$2:$H$1001,0)))</f>
        <v/>
      </c>
      <c r="D375" s="19">
        <f>IF($A375="","",INDEX('부의금 입력'!$D$2:$D$1001,MATCH($A375,'부의금 입력'!$H$2:$H$1001,0))&amp;"")</f>
        <v/>
      </c>
      <c r="E375" s="19">
        <f>IF($A375="","",INDEX('부의금 입력'!$E$2:$E$1001,MATCH($A375,'부의금 입력'!$H$2:$H$1001,0))&amp;"")</f>
        <v/>
      </c>
      <c r="H375" s="19">
        <f>IF(372&gt;$I$1,"",INDEX('근조 화환'!$B$2:$B$501,MATCH(372,'근조 화환'!$G$2:$G$501,0))&amp;"")</f>
        <v/>
      </c>
      <c r="I375" s="19">
        <f>IF(372&gt;$I$1,"",INDEX('근조 화환'!$C$2:$C$501,MATCH(372,'근조 화환'!$G$2:$G$501,0))&amp;"")</f>
        <v/>
      </c>
      <c r="J375" s="19">
        <f>IF(372&gt;$I$1,"",INDEX('근조 화환'!$D$2:$D$501,MATCH(372,'근조 화환'!$G$2:$G$501,0))&amp;"")</f>
        <v/>
      </c>
      <c r="K375" s="19">
        <f>IF(372&gt;$I$1,"",INDEX('근조 화환'!$E$2:$E$501,MATCH(372,'근조 화환'!$G$2:$G$501,0))&amp;"")</f>
        <v/>
      </c>
    </row>
    <row r="376">
      <c r="A376" s="19">
        <f>IF(373&lt;=$F$1,373,"")</f>
        <v/>
      </c>
      <c r="B376" s="19">
        <f>IF($A376="","",INDEX('부의금 입력'!$B$2:$B$1001,MATCH($A376,'부의금 입력'!$H$2:$H$1001,0))&amp;"")</f>
        <v/>
      </c>
      <c r="C376" s="21">
        <f>IF($A376="","",INDEX('부의금 입력'!$C$2:$C$1001,MATCH($A376,'부의금 입력'!$H$2:$H$1001,0)))</f>
        <v/>
      </c>
      <c r="D376" s="19">
        <f>IF($A376="","",INDEX('부의금 입력'!$D$2:$D$1001,MATCH($A376,'부의금 입력'!$H$2:$H$1001,0))&amp;"")</f>
        <v/>
      </c>
      <c r="E376" s="19">
        <f>IF($A376="","",INDEX('부의금 입력'!$E$2:$E$1001,MATCH($A376,'부의금 입력'!$H$2:$H$1001,0))&amp;"")</f>
        <v/>
      </c>
      <c r="H376" s="19">
        <f>IF(373&gt;$I$1,"",INDEX('근조 화환'!$B$2:$B$501,MATCH(373,'근조 화환'!$G$2:$G$501,0))&amp;"")</f>
        <v/>
      </c>
      <c r="I376" s="19">
        <f>IF(373&gt;$I$1,"",INDEX('근조 화환'!$C$2:$C$501,MATCH(373,'근조 화환'!$G$2:$G$501,0))&amp;"")</f>
        <v/>
      </c>
      <c r="J376" s="19">
        <f>IF(373&gt;$I$1,"",INDEX('근조 화환'!$D$2:$D$501,MATCH(373,'근조 화환'!$G$2:$G$501,0))&amp;"")</f>
        <v/>
      </c>
      <c r="K376" s="19">
        <f>IF(373&gt;$I$1,"",INDEX('근조 화환'!$E$2:$E$501,MATCH(373,'근조 화환'!$G$2:$G$501,0))&amp;"")</f>
        <v/>
      </c>
    </row>
    <row r="377">
      <c r="A377" s="19">
        <f>IF(374&lt;=$F$1,374,"")</f>
        <v/>
      </c>
      <c r="B377" s="19">
        <f>IF($A377="","",INDEX('부의금 입력'!$B$2:$B$1001,MATCH($A377,'부의금 입력'!$H$2:$H$1001,0))&amp;"")</f>
        <v/>
      </c>
      <c r="C377" s="21">
        <f>IF($A377="","",INDEX('부의금 입력'!$C$2:$C$1001,MATCH($A377,'부의금 입력'!$H$2:$H$1001,0)))</f>
        <v/>
      </c>
      <c r="D377" s="19">
        <f>IF($A377="","",INDEX('부의금 입력'!$D$2:$D$1001,MATCH($A377,'부의금 입력'!$H$2:$H$1001,0))&amp;"")</f>
        <v/>
      </c>
      <c r="E377" s="19">
        <f>IF($A377="","",INDEX('부의금 입력'!$E$2:$E$1001,MATCH($A377,'부의금 입력'!$H$2:$H$1001,0))&amp;"")</f>
        <v/>
      </c>
      <c r="H377" s="19">
        <f>IF(374&gt;$I$1,"",INDEX('근조 화환'!$B$2:$B$501,MATCH(374,'근조 화환'!$G$2:$G$501,0))&amp;"")</f>
        <v/>
      </c>
      <c r="I377" s="19">
        <f>IF(374&gt;$I$1,"",INDEX('근조 화환'!$C$2:$C$501,MATCH(374,'근조 화환'!$G$2:$G$501,0))&amp;"")</f>
        <v/>
      </c>
      <c r="J377" s="19">
        <f>IF(374&gt;$I$1,"",INDEX('근조 화환'!$D$2:$D$501,MATCH(374,'근조 화환'!$G$2:$G$501,0))&amp;"")</f>
        <v/>
      </c>
      <c r="K377" s="19">
        <f>IF(374&gt;$I$1,"",INDEX('근조 화환'!$E$2:$E$501,MATCH(374,'근조 화환'!$G$2:$G$501,0))&amp;"")</f>
        <v/>
      </c>
    </row>
    <row r="378">
      <c r="A378" s="19">
        <f>IF(375&lt;=$F$1,375,"")</f>
        <v/>
      </c>
      <c r="B378" s="19">
        <f>IF($A378="","",INDEX('부의금 입력'!$B$2:$B$1001,MATCH($A378,'부의금 입력'!$H$2:$H$1001,0))&amp;"")</f>
        <v/>
      </c>
      <c r="C378" s="21">
        <f>IF($A378="","",INDEX('부의금 입력'!$C$2:$C$1001,MATCH($A378,'부의금 입력'!$H$2:$H$1001,0)))</f>
        <v/>
      </c>
      <c r="D378" s="19">
        <f>IF($A378="","",INDEX('부의금 입력'!$D$2:$D$1001,MATCH($A378,'부의금 입력'!$H$2:$H$1001,0))&amp;"")</f>
        <v/>
      </c>
      <c r="E378" s="19">
        <f>IF($A378="","",INDEX('부의금 입력'!$E$2:$E$1001,MATCH($A378,'부의금 입력'!$H$2:$H$1001,0))&amp;"")</f>
        <v/>
      </c>
      <c r="H378" s="19">
        <f>IF(375&gt;$I$1,"",INDEX('근조 화환'!$B$2:$B$501,MATCH(375,'근조 화환'!$G$2:$G$501,0))&amp;"")</f>
        <v/>
      </c>
      <c r="I378" s="19">
        <f>IF(375&gt;$I$1,"",INDEX('근조 화환'!$C$2:$C$501,MATCH(375,'근조 화환'!$G$2:$G$501,0))&amp;"")</f>
        <v/>
      </c>
      <c r="J378" s="19">
        <f>IF(375&gt;$I$1,"",INDEX('근조 화환'!$D$2:$D$501,MATCH(375,'근조 화환'!$G$2:$G$501,0))&amp;"")</f>
        <v/>
      </c>
      <c r="K378" s="19">
        <f>IF(375&gt;$I$1,"",INDEX('근조 화환'!$E$2:$E$501,MATCH(375,'근조 화환'!$G$2:$G$501,0))&amp;"")</f>
        <v/>
      </c>
    </row>
    <row r="379">
      <c r="A379" s="19">
        <f>IF(376&lt;=$F$1,376,"")</f>
        <v/>
      </c>
      <c r="B379" s="19">
        <f>IF($A379="","",INDEX('부의금 입력'!$B$2:$B$1001,MATCH($A379,'부의금 입력'!$H$2:$H$1001,0))&amp;"")</f>
        <v/>
      </c>
      <c r="C379" s="21">
        <f>IF($A379="","",INDEX('부의금 입력'!$C$2:$C$1001,MATCH($A379,'부의금 입력'!$H$2:$H$1001,0)))</f>
        <v/>
      </c>
      <c r="D379" s="19">
        <f>IF($A379="","",INDEX('부의금 입력'!$D$2:$D$1001,MATCH($A379,'부의금 입력'!$H$2:$H$1001,0))&amp;"")</f>
        <v/>
      </c>
      <c r="E379" s="19">
        <f>IF($A379="","",INDEX('부의금 입력'!$E$2:$E$1001,MATCH($A379,'부의금 입력'!$H$2:$H$1001,0))&amp;"")</f>
        <v/>
      </c>
      <c r="H379" s="19">
        <f>IF(376&gt;$I$1,"",INDEX('근조 화환'!$B$2:$B$501,MATCH(376,'근조 화환'!$G$2:$G$501,0))&amp;"")</f>
        <v/>
      </c>
      <c r="I379" s="19">
        <f>IF(376&gt;$I$1,"",INDEX('근조 화환'!$C$2:$C$501,MATCH(376,'근조 화환'!$G$2:$G$501,0))&amp;"")</f>
        <v/>
      </c>
      <c r="J379" s="19">
        <f>IF(376&gt;$I$1,"",INDEX('근조 화환'!$D$2:$D$501,MATCH(376,'근조 화환'!$G$2:$G$501,0))&amp;"")</f>
        <v/>
      </c>
      <c r="K379" s="19">
        <f>IF(376&gt;$I$1,"",INDEX('근조 화환'!$E$2:$E$501,MATCH(376,'근조 화환'!$G$2:$G$501,0))&amp;"")</f>
        <v/>
      </c>
    </row>
    <row r="380">
      <c r="A380" s="19">
        <f>IF(377&lt;=$F$1,377,"")</f>
        <v/>
      </c>
      <c r="B380" s="19">
        <f>IF($A380="","",INDEX('부의금 입력'!$B$2:$B$1001,MATCH($A380,'부의금 입력'!$H$2:$H$1001,0))&amp;"")</f>
        <v/>
      </c>
      <c r="C380" s="21">
        <f>IF($A380="","",INDEX('부의금 입력'!$C$2:$C$1001,MATCH($A380,'부의금 입력'!$H$2:$H$1001,0)))</f>
        <v/>
      </c>
      <c r="D380" s="19">
        <f>IF($A380="","",INDEX('부의금 입력'!$D$2:$D$1001,MATCH($A380,'부의금 입력'!$H$2:$H$1001,0))&amp;"")</f>
        <v/>
      </c>
      <c r="E380" s="19">
        <f>IF($A380="","",INDEX('부의금 입력'!$E$2:$E$1001,MATCH($A380,'부의금 입력'!$H$2:$H$1001,0))&amp;"")</f>
        <v/>
      </c>
      <c r="H380" s="19">
        <f>IF(377&gt;$I$1,"",INDEX('근조 화환'!$B$2:$B$501,MATCH(377,'근조 화환'!$G$2:$G$501,0))&amp;"")</f>
        <v/>
      </c>
      <c r="I380" s="19">
        <f>IF(377&gt;$I$1,"",INDEX('근조 화환'!$C$2:$C$501,MATCH(377,'근조 화환'!$G$2:$G$501,0))&amp;"")</f>
        <v/>
      </c>
      <c r="J380" s="19">
        <f>IF(377&gt;$I$1,"",INDEX('근조 화환'!$D$2:$D$501,MATCH(377,'근조 화환'!$G$2:$G$501,0))&amp;"")</f>
        <v/>
      </c>
      <c r="K380" s="19">
        <f>IF(377&gt;$I$1,"",INDEX('근조 화환'!$E$2:$E$501,MATCH(377,'근조 화환'!$G$2:$G$501,0))&amp;"")</f>
        <v/>
      </c>
    </row>
    <row r="381">
      <c r="A381" s="19">
        <f>IF(378&lt;=$F$1,378,"")</f>
        <v/>
      </c>
      <c r="B381" s="19">
        <f>IF($A381="","",INDEX('부의금 입력'!$B$2:$B$1001,MATCH($A381,'부의금 입력'!$H$2:$H$1001,0))&amp;"")</f>
        <v/>
      </c>
      <c r="C381" s="21">
        <f>IF($A381="","",INDEX('부의금 입력'!$C$2:$C$1001,MATCH($A381,'부의금 입력'!$H$2:$H$1001,0)))</f>
        <v/>
      </c>
      <c r="D381" s="19">
        <f>IF($A381="","",INDEX('부의금 입력'!$D$2:$D$1001,MATCH($A381,'부의금 입력'!$H$2:$H$1001,0))&amp;"")</f>
        <v/>
      </c>
      <c r="E381" s="19">
        <f>IF($A381="","",INDEX('부의금 입력'!$E$2:$E$1001,MATCH($A381,'부의금 입력'!$H$2:$H$1001,0))&amp;"")</f>
        <v/>
      </c>
      <c r="H381" s="19">
        <f>IF(378&gt;$I$1,"",INDEX('근조 화환'!$B$2:$B$501,MATCH(378,'근조 화환'!$G$2:$G$501,0))&amp;"")</f>
        <v/>
      </c>
      <c r="I381" s="19">
        <f>IF(378&gt;$I$1,"",INDEX('근조 화환'!$C$2:$C$501,MATCH(378,'근조 화환'!$G$2:$G$501,0))&amp;"")</f>
        <v/>
      </c>
      <c r="J381" s="19">
        <f>IF(378&gt;$I$1,"",INDEX('근조 화환'!$D$2:$D$501,MATCH(378,'근조 화환'!$G$2:$G$501,0))&amp;"")</f>
        <v/>
      </c>
      <c r="K381" s="19">
        <f>IF(378&gt;$I$1,"",INDEX('근조 화환'!$E$2:$E$501,MATCH(378,'근조 화환'!$G$2:$G$501,0))&amp;"")</f>
        <v/>
      </c>
    </row>
    <row r="382">
      <c r="A382" s="19">
        <f>IF(379&lt;=$F$1,379,"")</f>
        <v/>
      </c>
      <c r="B382" s="19">
        <f>IF($A382="","",INDEX('부의금 입력'!$B$2:$B$1001,MATCH($A382,'부의금 입력'!$H$2:$H$1001,0))&amp;"")</f>
        <v/>
      </c>
      <c r="C382" s="21">
        <f>IF($A382="","",INDEX('부의금 입력'!$C$2:$C$1001,MATCH($A382,'부의금 입력'!$H$2:$H$1001,0)))</f>
        <v/>
      </c>
      <c r="D382" s="19">
        <f>IF($A382="","",INDEX('부의금 입력'!$D$2:$D$1001,MATCH($A382,'부의금 입력'!$H$2:$H$1001,0))&amp;"")</f>
        <v/>
      </c>
      <c r="E382" s="19">
        <f>IF($A382="","",INDEX('부의금 입력'!$E$2:$E$1001,MATCH($A382,'부의금 입력'!$H$2:$H$1001,0))&amp;"")</f>
        <v/>
      </c>
      <c r="H382" s="19">
        <f>IF(379&gt;$I$1,"",INDEX('근조 화환'!$B$2:$B$501,MATCH(379,'근조 화환'!$G$2:$G$501,0))&amp;"")</f>
        <v/>
      </c>
      <c r="I382" s="19">
        <f>IF(379&gt;$I$1,"",INDEX('근조 화환'!$C$2:$C$501,MATCH(379,'근조 화환'!$G$2:$G$501,0))&amp;"")</f>
        <v/>
      </c>
      <c r="J382" s="19">
        <f>IF(379&gt;$I$1,"",INDEX('근조 화환'!$D$2:$D$501,MATCH(379,'근조 화환'!$G$2:$G$501,0))&amp;"")</f>
        <v/>
      </c>
      <c r="K382" s="19">
        <f>IF(379&gt;$I$1,"",INDEX('근조 화환'!$E$2:$E$501,MATCH(379,'근조 화환'!$G$2:$G$501,0))&amp;"")</f>
        <v/>
      </c>
    </row>
    <row r="383">
      <c r="A383" s="19">
        <f>IF(380&lt;=$F$1,380,"")</f>
        <v/>
      </c>
      <c r="B383" s="19">
        <f>IF($A383="","",INDEX('부의금 입력'!$B$2:$B$1001,MATCH($A383,'부의금 입력'!$H$2:$H$1001,0))&amp;"")</f>
        <v/>
      </c>
      <c r="C383" s="21">
        <f>IF($A383="","",INDEX('부의금 입력'!$C$2:$C$1001,MATCH($A383,'부의금 입력'!$H$2:$H$1001,0)))</f>
        <v/>
      </c>
      <c r="D383" s="19">
        <f>IF($A383="","",INDEX('부의금 입력'!$D$2:$D$1001,MATCH($A383,'부의금 입력'!$H$2:$H$1001,0))&amp;"")</f>
        <v/>
      </c>
      <c r="E383" s="19">
        <f>IF($A383="","",INDEX('부의금 입력'!$E$2:$E$1001,MATCH($A383,'부의금 입력'!$H$2:$H$1001,0))&amp;"")</f>
        <v/>
      </c>
      <c r="H383" s="19">
        <f>IF(380&gt;$I$1,"",INDEX('근조 화환'!$B$2:$B$501,MATCH(380,'근조 화환'!$G$2:$G$501,0))&amp;"")</f>
        <v/>
      </c>
      <c r="I383" s="19">
        <f>IF(380&gt;$I$1,"",INDEX('근조 화환'!$C$2:$C$501,MATCH(380,'근조 화환'!$G$2:$G$501,0))&amp;"")</f>
        <v/>
      </c>
      <c r="J383" s="19">
        <f>IF(380&gt;$I$1,"",INDEX('근조 화환'!$D$2:$D$501,MATCH(380,'근조 화환'!$G$2:$G$501,0))&amp;"")</f>
        <v/>
      </c>
      <c r="K383" s="19">
        <f>IF(380&gt;$I$1,"",INDEX('근조 화환'!$E$2:$E$501,MATCH(380,'근조 화환'!$G$2:$G$501,0))&amp;"")</f>
        <v/>
      </c>
    </row>
    <row r="384">
      <c r="A384" s="19">
        <f>IF(381&lt;=$F$1,381,"")</f>
        <v/>
      </c>
      <c r="B384" s="19">
        <f>IF($A384="","",INDEX('부의금 입력'!$B$2:$B$1001,MATCH($A384,'부의금 입력'!$H$2:$H$1001,0))&amp;"")</f>
        <v/>
      </c>
      <c r="C384" s="21">
        <f>IF($A384="","",INDEX('부의금 입력'!$C$2:$C$1001,MATCH($A384,'부의금 입력'!$H$2:$H$1001,0)))</f>
        <v/>
      </c>
      <c r="D384" s="19">
        <f>IF($A384="","",INDEX('부의금 입력'!$D$2:$D$1001,MATCH($A384,'부의금 입력'!$H$2:$H$1001,0))&amp;"")</f>
        <v/>
      </c>
      <c r="E384" s="19">
        <f>IF($A384="","",INDEX('부의금 입력'!$E$2:$E$1001,MATCH($A384,'부의금 입력'!$H$2:$H$1001,0))&amp;"")</f>
        <v/>
      </c>
      <c r="H384" s="19">
        <f>IF(381&gt;$I$1,"",INDEX('근조 화환'!$B$2:$B$501,MATCH(381,'근조 화환'!$G$2:$G$501,0))&amp;"")</f>
        <v/>
      </c>
      <c r="I384" s="19">
        <f>IF(381&gt;$I$1,"",INDEX('근조 화환'!$C$2:$C$501,MATCH(381,'근조 화환'!$G$2:$G$501,0))&amp;"")</f>
        <v/>
      </c>
      <c r="J384" s="19">
        <f>IF(381&gt;$I$1,"",INDEX('근조 화환'!$D$2:$D$501,MATCH(381,'근조 화환'!$G$2:$G$501,0))&amp;"")</f>
        <v/>
      </c>
      <c r="K384" s="19">
        <f>IF(381&gt;$I$1,"",INDEX('근조 화환'!$E$2:$E$501,MATCH(381,'근조 화환'!$G$2:$G$501,0))&amp;"")</f>
        <v/>
      </c>
    </row>
    <row r="385">
      <c r="A385" s="19">
        <f>IF(382&lt;=$F$1,382,"")</f>
        <v/>
      </c>
      <c r="B385" s="19">
        <f>IF($A385="","",INDEX('부의금 입력'!$B$2:$B$1001,MATCH($A385,'부의금 입력'!$H$2:$H$1001,0))&amp;"")</f>
        <v/>
      </c>
      <c r="C385" s="21">
        <f>IF($A385="","",INDEX('부의금 입력'!$C$2:$C$1001,MATCH($A385,'부의금 입력'!$H$2:$H$1001,0)))</f>
        <v/>
      </c>
      <c r="D385" s="19">
        <f>IF($A385="","",INDEX('부의금 입력'!$D$2:$D$1001,MATCH($A385,'부의금 입력'!$H$2:$H$1001,0))&amp;"")</f>
        <v/>
      </c>
      <c r="E385" s="19">
        <f>IF($A385="","",INDEX('부의금 입력'!$E$2:$E$1001,MATCH($A385,'부의금 입력'!$H$2:$H$1001,0))&amp;"")</f>
        <v/>
      </c>
      <c r="H385" s="19">
        <f>IF(382&gt;$I$1,"",INDEX('근조 화환'!$B$2:$B$501,MATCH(382,'근조 화환'!$G$2:$G$501,0))&amp;"")</f>
        <v/>
      </c>
      <c r="I385" s="19">
        <f>IF(382&gt;$I$1,"",INDEX('근조 화환'!$C$2:$C$501,MATCH(382,'근조 화환'!$G$2:$G$501,0))&amp;"")</f>
        <v/>
      </c>
      <c r="J385" s="19">
        <f>IF(382&gt;$I$1,"",INDEX('근조 화환'!$D$2:$D$501,MATCH(382,'근조 화환'!$G$2:$G$501,0))&amp;"")</f>
        <v/>
      </c>
      <c r="K385" s="19">
        <f>IF(382&gt;$I$1,"",INDEX('근조 화환'!$E$2:$E$501,MATCH(382,'근조 화환'!$G$2:$G$501,0))&amp;"")</f>
        <v/>
      </c>
    </row>
    <row r="386">
      <c r="A386" s="19">
        <f>IF(383&lt;=$F$1,383,"")</f>
        <v/>
      </c>
      <c r="B386" s="19">
        <f>IF($A386="","",INDEX('부의금 입력'!$B$2:$B$1001,MATCH($A386,'부의금 입력'!$H$2:$H$1001,0))&amp;"")</f>
        <v/>
      </c>
      <c r="C386" s="21">
        <f>IF($A386="","",INDEX('부의금 입력'!$C$2:$C$1001,MATCH($A386,'부의금 입력'!$H$2:$H$1001,0)))</f>
        <v/>
      </c>
      <c r="D386" s="19">
        <f>IF($A386="","",INDEX('부의금 입력'!$D$2:$D$1001,MATCH($A386,'부의금 입력'!$H$2:$H$1001,0))&amp;"")</f>
        <v/>
      </c>
      <c r="E386" s="19">
        <f>IF($A386="","",INDEX('부의금 입력'!$E$2:$E$1001,MATCH($A386,'부의금 입력'!$H$2:$H$1001,0))&amp;"")</f>
        <v/>
      </c>
      <c r="H386" s="19">
        <f>IF(383&gt;$I$1,"",INDEX('근조 화환'!$B$2:$B$501,MATCH(383,'근조 화환'!$G$2:$G$501,0))&amp;"")</f>
        <v/>
      </c>
      <c r="I386" s="19">
        <f>IF(383&gt;$I$1,"",INDEX('근조 화환'!$C$2:$C$501,MATCH(383,'근조 화환'!$G$2:$G$501,0))&amp;"")</f>
        <v/>
      </c>
      <c r="J386" s="19">
        <f>IF(383&gt;$I$1,"",INDEX('근조 화환'!$D$2:$D$501,MATCH(383,'근조 화환'!$G$2:$G$501,0))&amp;"")</f>
        <v/>
      </c>
      <c r="K386" s="19">
        <f>IF(383&gt;$I$1,"",INDEX('근조 화환'!$E$2:$E$501,MATCH(383,'근조 화환'!$G$2:$G$501,0))&amp;"")</f>
        <v/>
      </c>
    </row>
    <row r="387">
      <c r="A387" s="19">
        <f>IF(384&lt;=$F$1,384,"")</f>
        <v/>
      </c>
      <c r="B387" s="19">
        <f>IF($A387="","",INDEX('부의금 입력'!$B$2:$B$1001,MATCH($A387,'부의금 입력'!$H$2:$H$1001,0))&amp;"")</f>
        <v/>
      </c>
      <c r="C387" s="21">
        <f>IF($A387="","",INDEX('부의금 입력'!$C$2:$C$1001,MATCH($A387,'부의금 입력'!$H$2:$H$1001,0)))</f>
        <v/>
      </c>
      <c r="D387" s="19">
        <f>IF($A387="","",INDEX('부의금 입력'!$D$2:$D$1001,MATCH($A387,'부의금 입력'!$H$2:$H$1001,0))&amp;"")</f>
        <v/>
      </c>
      <c r="E387" s="19">
        <f>IF($A387="","",INDEX('부의금 입력'!$E$2:$E$1001,MATCH($A387,'부의금 입력'!$H$2:$H$1001,0))&amp;"")</f>
        <v/>
      </c>
      <c r="H387" s="19">
        <f>IF(384&gt;$I$1,"",INDEX('근조 화환'!$B$2:$B$501,MATCH(384,'근조 화환'!$G$2:$G$501,0))&amp;"")</f>
        <v/>
      </c>
      <c r="I387" s="19">
        <f>IF(384&gt;$I$1,"",INDEX('근조 화환'!$C$2:$C$501,MATCH(384,'근조 화환'!$G$2:$G$501,0))&amp;"")</f>
        <v/>
      </c>
      <c r="J387" s="19">
        <f>IF(384&gt;$I$1,"",INDEX('근조 화환'!$D$2:$D$501,MATCH(384,'근조 화환'!$G$2:$G$501,0))&amp;"")</f>
        <v/>
      </c>
      <c r="K387" s="19">
        <f>IF(384&gt;$I$1,"",INDEX('근조 화환'!$E$2:$E$501,MATCH(384,'근조 화환'!$G$2:$G$501,0))&amp;"")</f>
        <v/>
      </c>
    </row>
    <row r="388">
      <c r="A388" s="19">
        <f>IF(385&lt;=$F$1,385,"")</f>
        <v/>
      </c>
      <c r="B388" s="19">
        <f>IF($A388="","",INDEX('부의금 입력'!$B$2:$B$1001,MATCH($A388,'부의금 입력'!$H$2:$H$1001,0))&amp;"")</f>
        <v/>
      </c>
      <c r="C388" s="21">
        <f>IF($A388="","",INDEX('부의금 입력'!$C$2:$C$1001,MATCH($A388,'부의금 입력'!$H$2:$H$1001,0)))</f>
        <v/>
      </c>
      <c r="D388" s="19">
        <f>IF($A388="","",INDEX('부의금 입력'!$D$2:$D$1001,MATCH($A388,'부의금 입력'!$H$2:$H$1001,0))&amp;"")</f>
        <v/>
      </c>
      <c r="E388" s="19">
        <f>IF($A388="","",INDEX('부의금 입력'!$E$2:$E$1001,MATCH($A388,'부의금 입력'!$H$2:$H$1001,0))&amp;"")</f>
        <v/>
      </c>
      <c r="H388" s="19">
        <f>IF(385&gt;$I$1,"",INDEX('근조 화환'!$B$2:$B$501,MATCH(385,'근조 화환'!$G$2:$G$501,0))&amp;"")</f>
        <v/>
      </c>
      <c r="I388" s="19">
        <f>IF(385&gt;$I$1,"",INDEX('근조 화환'!$C$2:$C$501,MATCH(385,'근조 화환'!$G$2:$G$501,0))&amp;"")</f>
        <v/>
      </c>
      <c r="J388" s="19">
        <f>IF(385&gt;$I$1,"",INDEX('근조 화환'!$D$2:$D$501,MATCH(385,'근조 화환'!$G$2:$G$501,0))&amp;"")</f>
        <v/>
      </c>
      <c r="K388" s="19">
        <f>IF(385&gt;$I$1,"",INDEX('근조 화환'!$E$2:$E$501,MATCH(385,'근조 화환'!$G$2:$G$501,0))&amp;"")</f>
        <v/>
      </c>
    </row>
    <row r="389">
      <c r="A389" s="19">
        <f>IF(386&lt;=$F$1,386,"")</f>
        <v/>
      </c>
      <c r="B389" s="19">
        <f>IF($A389="","",INDEX('부의금 입력'!$B$2:$B$1001,MATCH($A389,'부의금 입력'!$H$2:$H$1001,0))&amp;"")</f>
        <v/>
      </c>
      <c r="C389" s="21">
        <f>IF($A389="","",INDEX('부의금 입력'!$C$2:$C$1001,MATCH($A389,'부의금 입력'!$H$2:$H$1001,0)))</f>
        <v/>
      </c>
      <c r="D389" s="19">
        <f>IF($A389="","",INDEX('부의금 입력'!$D$2:$D$1001,MATCH($A389,'부의금 입력'!$H$2:$H$1001,0))&amp;"")</f>
        <v/>
      </c>
      <c r="E389" s="19">
        <f>IF($A389="","",INDEX('부의금 입력'!$E$2:$E$1001,MATCH($A389,'부의금 입력'!$H$2:$H$1001,0))&amp;"")</f>
        <v/>
      </c>
      <c r="H389" s="19">
        <f>IF(386&gt;$I$1,"",INDEX('근조 화환'!$B$2:$B$501,MATCH(386,'근조 화환'!$G$2:$G$501,0))&amp;"")</f>
        <v/>
      </c>
      <c r="I389" s="19">
        <f>IF(386&gt;$I$1,"",INDEX('근조 화환'!$C$2:$C$501,MATCH(386,'근조 화환'!$G$2:$G$501,0))&amp;"")</f>
        <v/>
      </c>
      <c r="J389" s="19">
        <f>IF(386&gt;$I$1,"",INDEX('근조 화환'!$D$2:$D$501,MATCH(386,'근조 화환'!$G$2:$G$501,0))&amp;"")</f>
        <v/>
      </c>
      <c r="K389" s="19">
        <f>IF(386&gt;$I$1,"",INDEX('근조 화환'!$E$2:$E$501,MATCH(386,'근조 화환'!$G$2:$G$501,0))&amp;"")</f>
        <v/>
      </c>
    </row>
    <row r="390">
      <c r="A390" s="19">
        <f>IF(387&lt;=$F$1,387,"")</f>
        <v/>
      </c>
      <c r="B390" s="19">
        <f>IF($A390="","",INDEX('부의금 입력'!$B$2:$B$1001,MATCH($A390,'부의금 입력'!$H$2:$H$1001,0))&amp;"")</f>
        <v/>
      </c>
      <c r="C390" s="21">
        <f>IF($A390="","",INDEX('부의금 입력'!$C$2:$C$1001,MATCH($A390,'부의금 입력'!$H$2:$H$1001,0)))</f>
        <v/>
      </c>
      <c r="D390" s="19">
        <f>IF($A390="","",INDEX('부의금 입력'!$D$2:$D$1001,MATCH($A390,'부의금 입력'!$H$2:$H$1001,0))&amp;"")</f>
        <v/>
      </c>
      <c r="E390" s="19">
        <f>IF($A390="","",INDEX('부의금 입력'!$E$2:$E$1001,MATCH($A390,'부의금 입력'!$H$2:$H$1001,0))&amp;"")</f>
        <v/>
      </c>
      <c r="H390" s="19">
        <f>IF(387&gt;$I$1,"",INDEX('근조 화환'!$B$2:$B$501,MATCH(387,'근조 화환'!$G$2:$G$501,0))&amp;"")</f>
        <v/>
      </c>
      <c r="I390" s="19">
        <f>IF(387&gt;$I$1,"",INDEX('근조 화환'!$C$2:$C$501,MATCH(387,'근조 화환'!$G$2:$G$501,0))&amp;"")</f>
        <v/>
      </c>
      <c r="J390" s="19">
        <f>IF(387&gt;$I$1,"",INDEX('근조 화환'!$D$2:$D$501,MATCH(387,'근조 화환'!$G$2:$G$501,0))&amp;"")</f>
        <v/>
      </c>
      <c r="K390" s="19">
        <f>IF(387&gt;$I$1,"",INDEX('근조 화환'!$E$2:$E$501,MATCH(387,'근조 화환'!$G$2:$G$501,0))&amp;"")</f>
        <v/>
      </c>
    </row>
    <row r="391">
      <c r="A391" s="19">
        <f>IF(388&lt;=$F$1,388,"")</f>
        <v/>
      </c>
      <c r="B391" s="19">
        <f>IF($A391="","",INDEX('부의금 입력'!$B$2:$B$1001,MATCH($A391,'부의금 입력'!$H$2:$H$1001,0))&amp;"")</f>
        <v/>
      </c>
      <c r="C391" s="21">
        <f>IF($A391="","",INDEX('부의금 입력'!$C$2:$C$1001,MATCH($A391,'부의금 입력'!$H$2:$H$1001,0)))</f>
        <v/>
      </c>
      <c r="D391" s="19">
        <f>IF($A391="","",INDEX('부의금 입력'!$D$2:$D$1001,MATCH($A391,'부의금 입력'!$H$2:$H$1001,0))&amp;"")</f>
        <v/>
      </c>
      <c r="E391" s="19">
        <f>IF($A391="","",INDEX('부의금 입력'!$E$2:$E$1001,MATCH($A391,'부의금 입력'!$H$2:$H$1001,0))&amp;"")</f>
        <v/>
      </c>
      <c r="H391" s="19">
        <f>IF(388&gt;$I$1,"",INDEX('근조 화환'!$B$2:$B$501,MATCH(388,'근조 화환'!$G$2:$G$501,0))&amp;"")</f>
        <v/>
      </c>
      <c r="I391" s="19">
        <f>IF(388&gt;$I$1,"",INDEX('근조 화환'!$C$2:$C$501,MATCH(388,'근조 화환'!$G$2:$G$501,0))&amp;"")</f>
        <v/>
      </c>
      <c r="J391" s="19">
        <f>IF(388&gt;$I$1,"",INDEX('근조 화환'!$D$2:$D$501,MATCH(388,'근조 화환'!$G$2:$G$501,0))&amp;"")</f>
        <v/>
      </c>
      <c r="K391" s="19">
        <f>IF(388&gt;$I$1,"",INDEX('근조 화환'!$E$2:$E$501,MATCH(388,'근조 화환'!$G$2:$G$501,0))&amp;"")</f>
        <v/>
      </c>
    </row>
    <row r="392">
      <c r="A392" s="19">
        <f>IF(389&lt;=$F$1,389,"")</f>
        <v/>
      </c>
      <c r="B392" s="19">
        <f>IF($A392="","",INDEX('부의금 입력'!$B$2:$B$1001,MATCH($A392,'부의금 입력'!$H$2:$H$1001,0))&amp;"")</f>
        <v/>
      </c>
      <c r="C392" s="21">
        <f>IF($A392="","",INDEX('부의금 입력'!$C$2:$C$1001,MATCH($A392,'부의금 입력'!$H$2:$H$1001,0)))</f>
        <v/>
      </c>
      <c r="D392" s="19">
        <f>IF($A392="","",INDEX('부의금 입력'!$D$2:$D$1001,MATCH($A392,'부의금 입력'!$H$2:$H$1001,0))&amp;"")</f>
        <v/>
      </c>
      <c r="E392" s="19">
        <f>IF($A392="","",INDEX('부의금 입력'!$E$2:$E$1001,MATCH($A392,'부의금 입력'!$H$2:$H$1001,0))&amp;"")</f>
        <v/>
      </c>
      <c r="H392" s="19">
        <f>IF(389&gt;$I$1,"",INDEX('근조 화환'!$B$2:$B$501,MATCH(389,'근조 화환'!$G$2:$G$501,0))&amp;"")</f>
        <v/>
      </c>
      <c r="I392" s="19">
        <f>IF(389&gt;$I$1,"",INDEX('근조 화환'!$C$2:$C$501,MATCH(389,'근조 화환'!$G$2:$G$501,0))&amp;"")</f>
        <v/>
      </c>
      <c r="J392" s="19">
        <f>IF(389&gt;$I$1,"",INDEX('근조 화환'!$D$2:$D$501,MATCH(389,'근조 화환'!$G$2:$G$501,0))&amp;"")</f>
        <v/>
      </c>
      <c r="K392" s="19">
        <f>IF(389&gt;$I$1,"",INDEX('근조 화환'!$E$2:$E$501,MATCH(389,'근조 화환'!$G$2:$G$501,0))&amp;"")</f>
        <v/>
      </c>
    </row>
    <row r="393">
      <c r="A393" s="19">
        <f>IF(390&lt;=$F$1,390,"")</f>
        <v/>
      </c>
      <c r="B393" s="19">
        <f>IF($A393="","",INDEX('부의금 입력'!$B$2:$B$1001,MATCH($A393,'부의금 입력'!$H$2:$H$1001,0))&amp;"")</f>
        <v/>
      </c>
      <c r="C393" s="21">
        <f>IF($A393="","",INDEX('부의금 입력'!$C$2:$C$1001,MATCH($A393,'부의금 입력'!$H$2:$H$1001,0)))</f>
        <v/>
      </c>
      <c r="D393" s="19">
        <f>IF($A393="","",INDEX('부의금 입력'!$D$2:$D$1001,MATCH($A393,'부의금 입력'!$H$2:$H$1001,0))&amp;"")</f>
        <v/>
      </c>
      <c r="E393" s="19">
        <f>IF($A393="","",INDEX('부의금 입력'!$E$2:$E$1001,MATCH($A393,'부의금 입력'!$H$2:$H$1001,0))&amp;"")</f>
        <v/>
      </c>
      <c r="H393" s="19">
        <f>IF(390&gt;$I$1,"",INDEX('근조 화환'!$B$2:$B$501,MATCH(390,'근조 화환'!$G$2:$G$501,0))&amp;"")</f>
        <v/>
      </c>
      <c r="I393" s="19">
        <f>IF(390&gt;$I$1,"",INDEX('근조 화환'!$C$2:$C$501,MATCH(390,'근조 화환'!$G$2:$G$501,0))&amp;"")</f>
        <v/>
      </c>
      <c r="J393" s="19">
        <f>IF(390&gt;$I$1,"",INDEX('근조 화환'!$D$2:$D$501,MATCH(390,'근조 화환'!$G$2:$G$501,0))&amp;"")</f>
        <v/>
      </c>
      <c r="K393" s="19">
        <f>IF(390&gt;$I$1,"",INDEX('근조 화환'!$E$2:$E$501,MATCH(390,'근조 화환'!$G$2:$G$501,0))&amp;"")</f>
        <v/>
      </c>
    </row>
    <row r="394">
      <c r="A394" s="19">
        <f>IF(391&lt;=$F$1,391,"")</f>
        <v/>
      </c>
      <c r="B394" s="19">
        <f>IF($A394="","",INDEX('부의금 입력'!$B$2:$B$1001,MATCH($A394,'부의금 입력'!$H$2:$H$1001,0))&amp;"")</f>
        <v/>
      </c>
      <c r="C394" s="21">
        <f>IF($A394="","",INDEX('부의금 입력'!$C$2:$C$1001,MATCH($A394,'부의금 입력'!$H$2:$H$1001,0)))</f>
        <v/>
      </c>
      <c r="D394" s="19">
        <f>IF($A394="","",INDEX('부의금 입력'!$D$2:$D$1001,MATCH($A394,'부의금 입력'!$H$2:$H$1001,0))&amp;"")</f>
        <v/>
      </c>
      <c r="E394" s="19">
        <f>IF($A394="","",INDEX('부의금 입력'!$E$2:$E$1001,MATCH($A394,'부의금 입력'!$H$2:$H$1001,0))&amp;"")</f>
        <v/>
      </c>
      <c r="H394" s="19">
        <f>IF(391&gt;$I$1,"",INDEX('근조 화환'!$B$2:$B$501,MATCH(391,'근조 화환'!$G$2:$G$501,0))&amp;"")</f>
        <v/>
      </c>
      <c r="I394" s="19">
        <f>IF(391&gt;$I$1,"",INDEX('근조 화환'!$C$2:$C$501,MATCH(391,'근조 화환'!$G$2:$G$501,0))&amp;"")</f>
        <v/>
      </c>
      <c r="J394" s="19">
        <f>IF(391&gt;$I$1,"",INDEX('근조 화환'!$D$2:$D$501,MATCH(391,'근조 화환'!$G$2:$G$501,0))&amp;"")</f>
        <v/>
      </c>
      <c r="K394" s="19">
        <f>IF(391&gt;$I$1,"",INDEX('근조 화환'!$E$2:$E$501,MATCH(391,'근조 화환'!$G$2:$G$501,0))&amp;"")</f>
        <v/>
      </c>
    </row>
    <row r="395">
      <c r="A395" s="19">
        <f>IF(392&lt;=$F$1,392,"")</f>
        <v/>
      </c>
      <c r="B395" s="19">
        <f>IF($A395="","",INDEX('부의금 입력'!$B$2:$B$1001,MATCH($A395,'부의금 입력'!$H$2:$H$1001,0))&amp;"")</f>
        <v/>
      </c>
      <c r="C395" s="21">
        <f>IF($A395="","",INDEX('부의금 입력'!$C$2:$C$1001,MATCH($A395,'부의금 입력'!$H$2:$H$1001,0)))</f>
        <v/>
      </c>
      <c r="D395" s="19">
        <f>IF($A395="","",INDEX('부의금 입력'!$D$2:$D$1001,MATCH($A395,'부의금 입력'!$H$2:$H$1001,0))&amp;"")</f>
        <v/>
      </c>
      <c r="E395" s="19">
        <f>IF($A395="","",INDEX('부의금 입력'!$E$2:$E$1001,MATCH($A395,'부의금 입력'!$H$2:$H$1001,0))&amp;"")</f>
        <v/>
      </c>
      <c r="H395" s="19">
        <f>IF(392&gt;$I$1,"",INDEX('근조 화환'!$B$2:$B$501,MATCH(392,'근조 화환'!$G$2:$G$501,0))&amp;"")</f>
        <v/>
      </c>
      <c r="I395" s="19">
        <f>IF(392&gt;$I$1,"",INDEX('근조 화환'!$C$2:$C$501,MATCH(392,'근조 화환'!$G$2:$G$501,0))&amp;"")</f>
        <v/>
      </c>
      <c r="J395" s="19">
        <f>IF(392&gt;$I$1,"",INDEX('근조 화환'!$D$2:$D$501,MATCH(392,'근조 화환'!$G$2:$G$501,0))&amp;"")</f>
        <v/>
      </c>
      <c r="K395" s="19">
        <f>IF(392&gt;$I$1,"",INDEX('근조 화환'!$E$2:$E$501,MATCH(392,'근조 화환'!$G$2:$G$501,0))&amp;"")</f>
        <v/>
      </c>
    </row>
    <row r="396">
      <c r="A396" s="19">
        <f>IF(393&lt;=$F$1,393,"")</f>
        <v/>
      </c>
      <c r="B396" s="19">
        <f>IF($A396="","",INDEX('부의금 입력'!$B$2:$B$1001,MATCH($A396,'부의금 입력'!$H$2:$H$1001,0))&amp;"")</f>
        <v/>
      </c>
      <c r="C396" s="21">
        <f>IF($A396="","",INDEX('부의금 입력'!$C$2:$C$1001,MATCH($A396,'부의금 입력'!$H$2:$H$1001,0)))</f>
        <v/>
      </c>
      <c r="D396" s="19">
        <f>IF($A396="","",INDEX('부의금 입력'!$D$2:$D$1001,MATCH($A396,'부의금 입력'!$H$2:$H$1001,0))&amp;"")</f>
        <v/>
      </c>
      <c r="E396" s="19">
        <f>IF($A396="","",INDEX('부의금 입력'!$E$2:$E$1001,MATCH($A396,'부의금 입력'!$H$2:$H$1001,0))&amp;"")</f>
        <v/>
      </c>
      <c r="H396" s="19">
        <f>IF(393&gt;$I$1,"",INDEX('근조 화환'!$B$2:$B$501,MATCH(393,'근조 화환'!$G$2:$G$501,0))&amp;"")</f>
        <v/>
      </c>
      <c r="I396" s="19">
        <f>IF(393&gt;$I$1,"",INDEX('근조 화환'!$C$2:$C$501,MATCH(393,'근조 화환'!$G$2:$G$501,0))&amp;"")</f>
        <v/>
      </c>
      <c r="J396" s="19">
        <f>IF(393&gt;$I$1,"",INDEX('근조 화환'!$D$2:$D$501,MATCH(393,'근조 화환'!$G$2:$G$501,0))&amp;"")</f>
        <v/>
      </c>
      <c r="K396" s="19">
        <f>IF(393&gt;$I$1,"",INDEX('근조 화환'!$E$2:$E$501,MATCH(393,'근조 화환'!$G$2:$G$501,0))&amp;"")</f>
        <v/>
      </c>
    </row>
    <row r="397">
      <c r="A397" s="19">
        <f>IF(394&lt;=$F$1,394,"")</f>
        <v/>
      </c>
      <c r="B397" s="19">
        <f>IF($A397="","",INDEX('부의금 입력'!$B$2:$B$1001,MATCH($A397,'부의금 입력'!$H$2:$H$1001,0))&amp;"")</f>
        <v/>
      </c>
      <c r="C397" s="21">
        <f>IF($A397="","",INDEX('부의금 입력'!$C$2:$C$1001,MATCH($A397,'부의금 입력'!$H$2:$H$1001,0)))</f>
        <v/>
      </c>
      <c r="D397" s="19">
        <f>IF($A397="","",INDEX('부의금 입력'!$D$2:$D$1001,MATCH($A397,'부의금 입력'!$H$2:$H$1001,0))&amp;"")</f>
        <v/>
      </c>
      <c r="E397" s="19">
        <f>IF($A397="","",INDEX('부의금 입력'!$E$2:$E$1001,MATCH($A397,'부의금 입력'!$H$2:$H$1001,0))&amp;"")</f>
        <v/>
      </c>
      <c r="H397" s="19">
        <f>IF(394&gt;$I$1,"",INDEX('근조 화환'!$B$2:$B$501,MATCH(394,'근조 화환'!$G$2:$G$501,0))&amp;"")</f>
        <v/>
      </c>
      <c r="I397" s="19">
        <f>IF(394&gt;$I$1,"",INDEX('근조 화환'!$C$2:$C$501,MATCH(394,'근조 화환'!$G$2:$G$501,0))&amp;"")</f>
        <v/>
      </c>
      <c r="J397" s="19">
        <f>IF(394&gt;$I$1,"",INDEX('근조 화환'!$D$2:$D$501,MATCH(394,'근조 화환'!$G$2:$G$501,0))&amp;"")</f>
        <v/>
      </c>
      <c r="K397" s="19">
        <f>IF(394&gt;$I$1,"",INDEX('근조 화환'!$E$2:$E$501,MATCH(394,'근조 화환'!$G$2:$G$501,0))&amp;"")</f>
        <v/>
      </c>
    </row>
    <row r="398">
      <c r="A398" s="19">
        <f>IF(395&lt;=$F$1,395,"")</f>
        <v/>
      </c>
      <c r="B398" s="19">
        <f>IF($A398="","",INDEX('부의금 입력'!$B$2:$B$1001,MATCH($A398,'부의금 입력'!$H$2:$H$1001,0))&amp;"")</f>
        <v/>
      </c>
      <c r="C398" s="21">
        <f>IF($A398="","",INDEX('부의금 입력'!$C$2:$C$1001,MATCH($A398,'부의금 입력'!$H$2:$H$1001,0)))</f>
        <v/>
      </c>
      <c r="D398" s="19">
        <f>IF($A398="","",INDEX('부의금 입력'!$D$2:$D$1001,MATCH($A398,'부의금 입력'!$H$2:$H$1001,0))&amp;"")</f>
        <v/>
      </c>
      <c r="E398" s="19">
        <f>IF($A398="","",INDEX('부의금 입력'!$E$2:$E$1001,MATCH($A398,'부의금 입력'!$H$2:$H$1001,0))&amp;"")</f>
        <v/>
      </c>
      <c r="H398" s="19">
        <f>IF(395&gt;$I$1,"",INDEX('근조 화환'!$B$2:$B$501,MATCH(395,'근조 화환'!$G$2:$G$501,0))&amp;"")</f>
        <v/>
      </c>
      <c r="I398" s="19">
        <f>IF(395&gt;$I$1,"",INDEX('근조 화환'!$C$2:$C$501,MATCH(395,'근조 화환'!$G$2:$G$501,0))&amp;"")</f>
        <v/>
      </c>
      <c r="J398" s="19">
        <f>IF(395&gt;$I$1,"",INDEX('근조 화환'!$D$2:$D$501,MATCH(395,'근조 화환'!$G$2:$G$501,0))&amp;"")</f>
        <v/>
      </c>
      <c r="K398" s="19">
        <f>IF(395&gt;$I$1,"",INDEX('근조 화환'!$E$2:$E$501,MATCH(395,'근조 화환'!$G$2:$G$501,0))&amp;"")</f>
        <v/>
      </c>
    </row>
    <row r="399">
      <c r="A399" s="19">
        <f>IF(396&lt;=$F$1,396,"")</f>
        <v/>
      </c>
      <c r="B399" s="19">
        <f>IF($A399="","",INDEX('부의금 입력'!$B$2:$B$1001,MATCH($A399,'부의금 입력'!$H$2:$H$1001,0))&amp;"")</f>
        <v/>
      </c>
      <c r="C399" s="21">
        <f>IF($A399="","",INDEX('부의금 입력'!$C$2:$C$1001,MATCH($A399,'부의금 입력'!$H$2:$H$1001,0)))</f>
        <v/>
      </c>
      <c r="D399" s="19">
        <f>IF($A399="","",INDEX('부의금 입력'!$D$2:$D$1001,MATCH($A399,'부의금 입력'!$H$2:$H$1001,0))&amp;"")</f>
        <v/>
      </c>
      <c r="E399" s="19">
        <f>IF($A399="","",INDEX('부의금 입력'!$E$2:$E$1001,MATCH($A399,'부의금 입력'!$H$2:$H$1001,0))&amp;"")</f>
        <v/>
      </c>
      <c r="H399" s="19">
        <f>IF(396&gt;$I$1,"",INDEX('근조 화환'!$B$2:$B$501,MATCH(396,'근조 화환'!$G$2:$G$501,0))&amp;"")</f>
        <v/>
      </c>
      <c r="I399" s="19">
        <f>IF(396&gt;$I$1,"",INDEX('근조 화환'!$C$2:$C$501,MATCH(396,'근조 화환'!$G$2:$G$501,0))&amp;"")</f>
        <v/>
      </c>
      <c r="J399" s="19">
        <f>IF(396&gt;$I$1,"",INDEX('근조 화환'!$D$2:$D$501,MATCH(396,'근조 화환'!$G$2:$G$501,0))&amp;"")</f>
        <v/>
      </c>
      <c r="K399" s="19">
        <f>IF(396&gt;$I$1,"",INDEX('근조 화환'!$E$2:$E$501,MATCH(396,'근조 화환'!$G$2:$G$501,0))&amp;"")</f>
        <v/>
      </c>
    </row>
    <row r="400">
      <c r="A400" s="19">
        <f>IF(397&lt;=$F$1,397,"")</f>
        <v/>
      </c>
      <c r="B400" s="19">
        <f>IF($A400="","",INDEX('부의금 입력'!$B$2:$B$1001,MATCH($A400,'부의금 입력'!$H$2:$H$1001,0))&amp;"")</f>
        <v/>
      </c>
      <c r="C400" s="21">
        <f>IF($A400="","",INDEX('부의금 입력'!$C$2:$C$1001,MATCH($A400,'부의금 입력'!$H$2:$H$1001,0)))</f>
        <v/>
      </c>
      <c r="D400" s="19">
        <f>IF($A400="","",INDEX('부의금 입력'!$D$2:$D$1001,MATCH($A400,'부의금 입력'!$H$2:$H$1001,0))&amp;"")</f>
        <v/>
      </c>
      <c r="E400" s="19">
        <f>IF($A400="","",INDEX('부의금 입력'!$E$2:$E$1001,MATCH($A400,'부의금 입력'!$H$2:$H$1001,0))&amp;"")</f>
        <v/>
      </c>
      <c r="H400" s="19">
        <f>IF(397&gt;$I$1,"",INDEX('근조 화환'!$B$2:$B$501,MATCH(397,'근조 화환'!$G$2:$G$501,0))&amp;"")</f>
        <v/>
      </c>
      <c r="I400" s="19">
        <f>IF(397&gt;$I$1,"",INDEX('근조 화환'!$C$2:$C$501,MATCH(397,'근조 화환'!$G$2:$G$501,0))&amp;"")</f>
        <v/>
      </c>
      <c r="J400" s="19">
        <f>IF(397&gt;$I$1,"",INDEX('근조 화환'!$D$2:$D$501,MATCH(397,'근조 화환'!$G$2:$G$501,0))&amp;"")</f>
        <v/>
      </c>
      <c r="K400" s="19">
        <f>IF(397&gt;$I$1,"",INDEX('근조 화환'!$E$2:$E$501,MATCH(397,'근조 화환'!$G$2:$G$501,0))&amp;"")</f>
        <v/>
      </c>
    </row>
    <row r="401">
      <c r="A401" s="19">
        <f>IF(398&lt;=$F$1,398,"")</f>
        <v/>
      </c>
      <c r="B401" s="19">
        <f>IF($A401="","",INDEX('부의금 입력'!$B$2:$B$1001,MATCH($A401,'부의금 입력'!$H$2:$H$1001,0))&amp;"")</f>
        <v/>
      </c>
      <c r="C401" s="21">
        <f>IF($A401="","",INDEX('부의금 입력'!$C$2:$C$1001,MATCH($A401,'부의금 입력'!$H$2:$H$1001,0)))</f>
        <v/>
      </c>
      <c r="D401" s="19">
        <f>IF($A401="","",INDEX('부의금 입력'!$D$2:$D$1001,MATCH($A401,'부의금 입력'!$H$2:$H$1001,0))&amp;"")</f>
        <v/>
      </c>
      <c r="E401" s="19">
        <f>IF($A401="","",INDEX('부의금 입력'!$E$2:$E$1001,MATCH($A401,'부의금 입력'!$H$2:$H$1001,0))&amp;"")</f>
        <v/>
      </c>
      <c r="H401" s="19">
        <f>IF(398&gt;$I$1,"",INDEX('근조 화환'!$B$2:$B$501,MATCH(398,'근조 화환'!$G$2:$G$501,0))&amp;"")</f>
        <v/>
      </c>
      <c r="I401" s="19">
        <f>IF(398&gt;$I$1,"",INDEX('근조 화환'!$C$2:$C$501,MATCH(398,'근조 화환'!$G$2:$G$501,0))&amp;"")</f>
        <v/>
      </c>
      <c r="J401" s="19">
        <f>IF(398&gt;$I$1,"",INDEX('근조 화환'!$D$2:$D$501,MATCH(398,'근조 화환'!$G$2:$G$501,0))&amp;"")</f>
        <v/>
      </c>
      <c r="K401" s="19">
        <f>IF(398&gt;$I$1,"",INDEX('근조 화환'!$E$2:$E$501,MATCH(398,'근조 화환'!$G$2:$G$501,0))&amp;"")</f>
        <v/>
      </c>
    </row>
    <row r="402">
      <c r="A402" s="19">
        <f>IF(399&lt;=$F$1,399,"")</f>
        <v/>
      </c>
      <c r="B402" s="19">
        <f>IF($A402="","",INDEX('부의금 입력'!$B$2:$B$1001,MATCH($A402,'부의금 입력'!$H$2:$H$1001,0))&amp;"")</f>
        <v/>
      </c>
      <c r="C402" s="21">
        <f>IF($A402="","",INDEX('부의금 입력'!$C$2:$C$1001,MATCH($A402,'부의금 입력'!$H$2:$H$1001,0)))</f>
        <v/>
      </c>
      <c r="D402" s="19">
        <f>IF($A402="","",INDEX('부의금 입력'!$D$2:$D$1001,MATCH($A402,'부의금 입력'!$H$2:$H$1001,0))&amp;"")</f>
        <v/>
      </c>
      <c r="E402" s="19">
        <f>IF($A402="","",INDEX('부의금 입력'!$E$2:$E$1001,MATCH($A402,'부의금 입력'!$H$2:$H$1001,0))&amp;"")</f>
        <v/>
      </c>
      <c r="H402" s="19">
        <f>IF(399&gt;$I$1,"",INDEX('근조 화환'!$B$2:$B$501,MATCH(399,'근조 화환'!$G$2:$G$501,0))&amp;"")</f>
        <v/>
      </c>
      <c r="I402" s="19">
        <f>IF(399&gt;$I$1,"",INDEX('근조 화환'!$C$2:$C$501,MATCH(399,'근조 화환'!$G$2:$G$501,0))&amp;"")</f>
        <v/>
      </c>
      <c r="J402" s="19">
        <f>IF(399&gt;$I$1,"",INDEX('근조 화환'!$D$2:$D$501,MATCH(399,'근조 화환'!$G$2:$G$501,0))&amp;"")</f>
        <v/>
      </c>
      <c r="K402" s="19">
        <f>IF(399&gt;$I$1,"",INDEX('근조 화환'!$E$2:$E$501,MATCH(399,'근조 화환'!$G$2:$G$501,0))&amp;"")</f>
        <v/>
      </c>
    </row>
    <row r="403">
      <c r="A403" s="19">
        <f>IF(400&lt;=$F$1,400,"")</f>
        <v/>
      </c>
      <c r="B403" s="19">
        <f>IF($A403="","",INDEX('부의금 입력'!$B$2:$B$1001,MATCH($A403,'부의금 입력'!$H$2:$H$1001,0))&amp;"")</f>
        <v/>
      </c>
      <c r="C403" s="21">
        <f>IF($A403="","",INDEX('부의금 입력'!$C$2:$C$1001,MATCH($A403,'부의금 입력'!$H$2:$H$1001,0)))</f>
        <v/>
      </c>
      <c r="D403" s="19">
        <f>IF($A403="","",INDEX('부의금 입력'!$D$2:$D$1001,MATCH($A403,'부의금 입력'!$H$2:$H$1001,0))&amp;"")</f>
        <v/>
      </c>
      <c r="E403" s="19">
        <f>IF($A403="","",INDEX('부의금 입력'!$E$2:$E$1001,MATCH($A403,'부의금 입력'!$H$2:$H$1001,0))&amp;"")</f>
        <v/>
      </c>
      <c r="H403" s="19">
        <f>IF(400&gt;$I$1,"",INDEX('근조 화환'!$B$2:$B$501,MATCH(400,'근조 화환'!$G$2:$G$501,0))&amp;"")</f>
        <v/>
      </c>
      <c r="I403" s="19">
        <f>IF(400&gt;$I$1,"",INDEX('근조 화환'!$C$2:$C$501,MATCH(400,'근조 화환'!$G$2:$G$501,0))&amp;"")</f>
        <v/>
      </c>
      <c r="J403" s="19">
        <f>IF(400&gt;$I$1,"",INDEX('근조 화환'!$D$2:$D$501,MATCH(400,'근조 화환'!$G$2:$G$501,0))&amp;"")</f>
        <v/>
      </c>
      <c r="K403" s="19">
        <f>IF(400&gt;$I$1,"",INDEX('근조 화환'!$E$2:$E$501,MATCH(400,'근조 화환'!$G$2:$G$501,0))&amp;"")</f>
        <v/>
      </c>
    </row>
  </sheetData>
  <dataValidations count="1">
    <dataValidation sqref="B1" showDropDown="0" showInputMessage="0" showErrorMessage="1" allowBlank="1" type="list">
      <formula1>='가족 목록'!$A$2:$A$21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4285F4"/>
    <outlinePr summaryBelow="1" summaryRight="1"/>
    <pageSetUpPr/>
  </sheetPr>
  <dimension ref="A1:K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3" customWidth="1" min="4" max="4"/>
    <col width="14" customWidth="1" min="5" max="5"/>
    <col width="11" customWidth="1" min="6" max="6"/>
    <col width="12" customWidth="1" min="7" max="7"/>
    <col width="9" customWidth="1" min="8" max="8"/>
    <col width="9" customWidth="1" min="9" max="9"/>
    <col width="8" customWidth="1" min="10" max="10"/>
    <col width="8" customWidth="1" min="11" max="11"/>
  </cols>
  <sheetData>
    <row r="1">
      <c r="A1" s="39" t="inlineStr">
        <is>
          <t>조화·물품 통계</t>
        </is>
      </c>
    </row>
    <row r="4">
      <c r="A4" s="18" t="inlineStr">
        <is>
          <t>종류</t>
        </is>
      </c>
      <c r="B4" s="18" t="inlineStr">
        <is>
          <t>개수</t>
        </is>
      </c>
      <c r="C4" s="18" t="inlineStr">
        <is>
          <t>비중</t>
        </is>
      </c>
      <c r="E4" s="18" t="inlineStr">
        <is>
          <t>받은 가족</t>
        </is>
      </c>
      <c r="F4" s="18" t="inlineStr">
        <is>
          <t>근조화환</t>
        </is>
      </c>
      <c r="G4" s="18" t="inlineStr">
        <is>
          <t>근조 바구니</t>
        </is>
      </c>
      <c r="H4" s="18" t="inlineStr">
        <is>
          <t>근조기</t>
        </is>
      </c>
      <c r="I4" s="18" t="inlineStr">
        <is>
          <t>쌀화환</t>
        </is>
      </c>
      <c r="J4" s="18" t="inlineStr">
        <is>
          <t>기타</t>
        </is>
      </c>
      <c r="K4" s="18" t="inlineStr">
        <is>
          <t>합계</t>
        </is>
      </c>
    </row>
    <row r="5">
      <c r="A5" t="inlineStr">
        <is>
          <t>근조화환</t>
        </is>
      </c>
      <c r="B5">
        <f>COUNTIF('근조 화환'!$C$2:$C$501,A5)</f>
        <v/>
      </c>
      <c r="C5" s="40">
        <f>IF(요약!$E$1=0,0,B5/요약!$E$1)</f>
        <v/>
      </c>
      <c r="E5">
        <f>IF('가족 목록'!A2="","",'가족 목록'!A2)</f>
        <v/>
      </c>
      <c r="F5">
        <f>IF($E5="","",COUNTIFS('근조 화환'!$A$2:$A$501,$E5,'근조 화환'!$C$2:$C$501,"근조화환"))</f>
        <v/>
      </c>
      <c r="G5">
        <f>IF($E5="","",COUNTIFS('근조 화환'!$A$2:$A$501,$E5,'근조 화환'!$C$2:$C$501,"근조 바구니"))</f>
        <v/>
      </c>
      <c r="H5">
        <f>IF($E5="","",COUNTIFS('근조 화환'!$A$2:$A$501,$E5,'근조 화환'!$C$2:$C$501,"근조기"))</f>
        <v/>
      </c>
      <c r="I5">
        <f>IF($E5="","",COUNTIFS('근조 화환'!$A$2:$A$501,$E5,'근조 화환'!$C$2:$C$501,"쌀화환"))</f>
        <v/>
      </c>
      <c r="J5">
        <f>IF($E5="","",COUNTIFS('근조 화환'!$A$2:$A$501,$E5,'근조 화환'!$C$2:$C$501,"기타"))</f>
        <v/>
      </c>
      <c r="K5">
        <f>IF($E5="","",COUNTIF('근조 화환'!$A$2:$A$501,$E5))</f>
        <v/>
      </c>
    </row>
    <row r="6">
      <c r="A6" t="inlineStr">
        <is>
          <t>근조 바구니</t>
        </is>
      </c>
      <c r="B6">
        <f>COUNTIF('근조 화환'!$C$2:$C$501,A6)</f>
        <v/>
      </c>
      <c r="C6" s="40">
        <f>IF(요약!$E$1=0,0,B6/요약!$E$1)</f>
        <v/>
      </c>
      <c r="E6">
        <f>IF('가족 목록'!A3="","",'가족 목록'!A3)</f>
        <v/>
      </c>
      <c r="F6">
        <f>IF($E6="","",COUNTIFS('근조 화환'!$A$2:$A$501,$E6,'근조 화환'!$C$2:$C$501,"근조화환"))</f>
        <v/>
      </c>
      <c r="G6">
        <f>IF($E6="","",COUNTIFS('근조 화환'!$A$2:$A$501,$E6,'근조 화환'!$C$2:$C$501,"근조 바구니"))</f>
        <v/>
      </c>
      <c r="H6">
        <f>IF($E6="","",COUNTIFS('근조 화환'!$A$2:$A$501,$E6,'근조 화환'!$C$2:$C$501,"근조기"))</f>
        <v/>
      </c>
      <c r="I6">
        <f>IF($E6="","",COUNTIFS('근조 화환'!$A$2:$A$501,$E6,'근조 화환'!$C$2:$C$501,"쌀화환"))</f>
        <v/>
      </c>
      <c r="J6">
        <f>IF($E6="","",COUNTIFS('근조 화환'!$A$2:$A$501,$E6,'근조 화환'!$C$2:$C$501,"기타"))</f>
        <v/>
      </c>
      <c r="K6">
        <f>IF($E6="","",COUNTIF('근조 화환'!$A$2:$A$501,$E6))</f>
        <v/>
      </c>
    </row>
    <row r="7">
      <c r="A7" t="inlineStr">
        <is>
          <t>근조기</t>
        </is>
      </c>
      <c r="B7">
        <f>COUNTIF('근조 화환'!$C$2:$C$501,A7)</f>
        <v/>
      </c>
      <c r="C7" s="40">
        <f>IF(요약!$E$1=0,0,B7/요약!$E$1)</f>
        <v/>
      </c>
      <c r="E7">
        <f>IF('가족 목록'!A4="","",'가족 목록'!A4)</f>
        <v/>
      </c>
      <c r="F7">
        <f>IF($E7="","",COUNTIFS('근조 화환'!$A$2:$A$501,$E7,'근조 화환'!$C$2:$C$501,"근조화환"))</f>
        <v/>
      </c>
      <c r="G7">
        <f>IF($E7="","",COUNTIFS('근조 화환'!$A$2:$A$501,$E7,'근조 화환'!$C$2:$C$501,"근조 바구니"))</f>
        <v/>
      </c>
      <c r="H7">
        <f>IF($E7="","",COUNTIFS('근조 화환'!$A$2:$A$501,$E7,'근조 화환'!$C$2:$C$501,"근조기"))</f>
        <v/>
      </c>
      <c r="I7">
        <f>IF($E7="","",COUNTIFS('근조 화환'!$A$2:$A$501,$E7,'근조 화환'!$C$2:$C$501,"쌀화환"))</f>
        <v/>
      </c>
      <c r="J7">
        <f>IF($E7="","",COUNTIFS('근조 화환'!$A$2:$A$501,$E7,'근조 화환'!$C$2:$C$501,"기타"))</f>
        <v/>
      </c>
      <c r="K7">
        <f>IF($E7="","",COUNTIF('근조 화환'!$A$2:$A$501,$E7))</f>
        <v/>
      </c>
    </row>
    <row r="8">
      <c r="A8" t="inlineStr">
        <is>
          <t>쌀화환</t>
        </is>
      </c>
      <c r="B8">
        <f>COUNTIF('근조 화환'!$C$2:$C$501,A8)</f>
        <v/>
      </c>
      <c r="C8" s="40">
        <f>IF(요약!$E$1=0,0,B8/요약!$E$1)</f>
        <v/>
      </c>
      <c r="E8">
        <f>IF('가족 목록'!A5="","",'가족 목록'!A5)</f>
        <v/>
      </c>
      <c r="F8">
        <f>IF($E8="","",COUNTIFS('근조 화환'!$A$2:$A$501,$E8,'근조 화환'!$C$2:$C$501,"근조화환"))</f>
        <v/>
      </c>
      <c r="G8">
        <f>IF($E8="","",COUNTIFS('근조 화환'!$A$2:$A$501,$E8,'근조 화환'!$C$2:$C$501,"근조 바구니"))</f>
        <v/>
      </c>
      <c r="H8">
        <f>IF($E8="","",COUNTIFS('근조 화환'!$A$2:$A$501,$E8,'근조 화환'!$C$2:$C$501,"근조기"))</f>
        <v/>
      </c>
      <c r="I8">
        <f>IF($E8="","",COUNTIFS('근조 화환'!$A$2:$A$501,$E8,'근조 화환'!$C$2:$C$501,"쌀화환"))</f>
        <v/>
      </c>
      <c r="J8">
        <f>IF($E8="","",COUNTIFS('근조 화환'!$A$2:$A$501,$E8,'근조 화환'!$C$2:$C$501,"기타"))</f>
        <v/>
      </c>
      <c r="K8">
        <f>IF($E8="","",COUNTIF('근조 화환'!$A$2:$A$501,$E8))</f>
        <v/>
      </c>
    </row>
    <row r="9">
      <c r="A9" t="inlineStr">
        <is>
          <t>기타</t>
        </is>
      </c>
      <c r="B9">
        <f>COUNTIF('근조 화환'!$C$2:$C$501,A9)</f>
        <v/>
      </c>
      <c r="C9" s="40">
        <f>IF(요약!$E$1=0,0,B9/요약!$E$1)</f>
        <v/>
      </c>
      <c r="E9">
        <f>IF('가족 목록'!A6="","",'가족 목록'!A6)</f>
        <v/>
      </c>
      <c r="F9">
        <f>IF($E9="","",COUNTIFS('근조 화환'!$A$2:$A$501,$E9,'근조 화환'!$C$2:$C$501,"근조화환"))</f>
        <v/>
      </c>
      <c r="G9">
        <f>IF($E9="","",COUNTIFS('근조 화환'!$A$2:$A$501,$E9,'근조 화환'!$C$2:$C$501,"근조 바구니"))</f>
        <v/>
      </c>
      <c r="H9">
        <f>IF($E9="","",COUNTIFS('근조 화환'!$A$2:$A$501,$E9,'근조 화환'!$C$2:$C$501,"근조기"))</f>
        <v/>
      </c>
      <c r="I9">
        <f>IF($E9="","",COUNTIFS('근조 화환'!$A$2:$A$501,$E9,'근조 화환'!$C$2:$C$501,"쌀화환"))</f>
        <v/>
      </c>
      <c r="J9">
        <f>IF($E9="","",COUNTIFS('근조 화환'!$A$2:$A$501,$E9,'근조 화환'!$C$2:$C$501,"기타"))</f>
        <v/>
      </c>
      <c r="K9">
        <f>IF($E9="","",COUNTIF('근조 화환'!$A$2:$A$501,$E9))</f>
        <v/>
      </c>
    </row>
    <row r="10">
      <c r="A10" t="inlineStr">
        <is>
          <t>그 밖</t>
        </is>
      </c>
      <c r="B10">
        <f>요약!E1-SUM(B5:B9)</f>
        <v/>
      </c>
      <c r="C10" s="40">
        <f>IF(요약!$E$1=0,0,B10/요약!$E$1)</f>
        <v/>
      </c>
      <c r="E10">
        <f>IF('가족 목록'!A7="","",'가족 목록'!A7)</f>
        <v/>
      </c>
      <c r="F10">
        <f>IF($E10="","",COUNTIFS('근조 화환'!$A$2:$A$501,$E10,'근조 화환'!$C$2:$C$501,"근조화환"))</f>
        <v/>
      </c>
      <c r="G10">
        <f>IF($E10="","",COUNTIFS('근조 화환'!$A$2:$A$501,$E10,'근조 화환'!$C$2:$C$501,"근조 바구니"))</f>
        <v/>
      </c>
      <c r="H10">
        <f>IF($E10="","",COUNTIFS('근조 화환'!$A$2:$A$501,$E10,'근조 화환'!$C$2:$C$501,"근조기"))</f>
        <v/>
      </c>
      <c r="I10">
        <f>IF($E10="","",COUNTIFS('근조 화환'!$A$2:$A$501,$E10,'근조 화환'!$C$2:$C$501,"쌀화환"))</f>
        <v/>
      </c>
      <c r="J10">
        <f>IF($E10="","",COUNTIFS('근조 화환'!$A$2:$A$501,$E10,'근조 화환'!$C$2:$C$501,"기타"))</f>
        <v/>
      </c>
      <c r="K10">
        <f>IF($E10="","",COUNTIF('근조 화환'!$A$2:$A$501,$E10))</f>
        <v/>
      </c>
    </row>
    <row r="11">
      <c r="E11">
        <f>IF('가족 목록'!A8="","",'가족 목록'!A8)</f>
        <v/>
      </c>
      <c r="F11">
        <f>IF($E11="","",COUNTIFS('근조 화환'!$A$2:$A$501,$E11,'근조 화환'!$C$2:$C$501,"근조화환"))</f>
        <v/>
      </c>
      <c r="G11">
        <f>IF($E11="","",COUNTIFS('근조 화환'!$A$2:$A$501,$E11,'근조 화환'!$C$2:$C$501,"근조 바구니"))</f>
        <v/>
      </c>
      <c r="H11">
        <f>IF($E11="","",COUNTIFS('근조 화환'!$A$2:$A$501,$E11,'근조 화환'!$C$2:$C$501,"근조기"))</f>
        <v/>
      </c>
      <c r="I11">
        <f>IF($E11="","",COUNTIFS('근조 화환'!$A$2:$A$501,$E11,'근조 화환'!$C$2:$C$501,"쌀화환"))</f>
        <v/>
      </c>
      <c r="J11">
        <f>IF($E11="","",COUNTIFS('근조 화환'!$A$2:$A$501,$E11,'근조 화환'!$C$2:$C$501,"기타"))</f>
        <v/>
      </c>
      <c r="K11">
        <f>IF($E11="","",COUNTIF('근조 화환'!$A$2:$A$501,$E11))</f>
        <v/>
      </c>
    </row>
    <row r="12">
      <c r="E12">
        <f>IF('가족 목록'!A9="","",'가족 목록'!A9)</f>
        <v/>
      </c>
      <c r="F12">
        <f>IF($E12="","",COUNTIFS('근조 화환'!$A$2:$A$501,$E12,'근조 화환'!$C$2:$C$501,"근조화환"))</f>
        <v/>
      </c>
      <c r="G12">
        <f>IF($E12="","",COUNTIFS('근조 화환'!$A$2:$A$501,$E12,'근조 화환'!$C$2:$C$501,"근조 바구니"))</f>
        <v/>
      </c>
      <c r="H12">
        <f>IF($E12="","",COUNTIFS('근조 화환'!$A$2:$A$501,$E12,'근조 화환'!$C$2:$C$501,"근조기"))</f>
        <v/>
      </c>
      <c r="I12">
        <f>IF($E12="","",COUNTIFS('근조 화환'!$A$2:$A$501,$E12,'근조 화환'!$C$2:$C$501,"쌀화환"))</f>
        <v/>
      </c>
      <c r="J12">
        <f>IF($E12="","",COUNTIFS('근조 화환'!$A$2:$A$501,$E12,'근조 화환'!$C$2:$C$501,"기타"))</f>
        <v/>
      </c>
      <c r="K12">
        <f>IF($E12="","",COUNTIF('근조 화환'!$A$2:$A$501,$E12))</f>
        <v/>
      </c>
    </row>
    <row r="13">
      <c r="E13">
        <f>IF('가족 목록'!A10="","",'가족 목록'!A10)</f>
        <v/>
      </c>
      <c r="F13">
        <f>IF($E13="","",COUNTIFS('근조 화환'!$A$2:$A$501,$E13,'근조 화환'!$C$2:$C$501,"근조화환"))</f>
        <v/>
      </c>
      <c r="G13">
        <f>IF($E13="","",COUNTIFS('근조 화환'!$A$2:$A$501,$E13,'근조 화환'!$C$2:$C$501,"근조 바구니"))</f>
        <v/>
      </c>
      <c r="H13">
        <f>IF($E13="","",COUNTIFS('근조 화환'!$A$2:$A$501,$E13,'근조 화환'!$C$2:$C$501,"근조기"))</f>
        <v/>
      </c>
      <c r="I13">
        <f>IF($E13="","",COUNTIFS('근조 화환'!$A$2:$A$501,$E13,'근조 화환'!$C$2:$C$501,"쌀화환"))</f>
        <v/>
      </c>
      <c r="J13">
        <f>IF($E13="","",COUNTIFS('근조 화환'!$A$2:$A$501,$E13,'근조 화환'!$C$2:$C$501,"기타"))</f>
        <v/>
      </c>
      <c r="K13">
        <f>IF($E13="","",COUNTIF('근조 화환'!$A$2:$A$501,$E13))</f>
        <v/>
      </c>
    </row>
    <row r="14">
      <c r="E14">
        <f>IF('가족 목록'!A11="","",'가족 목록'!A11)</f>
        <v/>
      </c>
      <c r="F14">
        <f>IF($E14="","",COUNTIFS('근조 화환'!$A$2:$A$501,$E14,'근조 화환'!$C$2:$C$501,"근조화환"))</f>
        <v/>
      </c>
      <c r="G14">
        <f>IF($E14="","",COUNTIFS('근조 화환'!$A$2:$A$501,$E14,'근조 화환'!$C$2:$C$501,"근조 바구니"))</f>
        <v/>
      </c>
      <c r="H14">
        <f>IF($E14="","",COUNTIFS('근조 화환'!$A$2:$A$501,$E14,'근조 화환'!$C$2:$C$501,"근조기"))</f>
        <v/>
      </c>
      <c r="I14">
        <f>IF($E14="","",COUNTIFS('근조 화환'!$A$2:$A$501,$E14,'근조 화환'!$C$2:$C$501,"쌀화환"))</f>
        <v/>
      </c>
      <c r="J14">
        <f>IF($E14="","",COUNTIFS('근조 화환'!$A$2:$A$501,$E14,'근조 화환'!$C$2:$C$501,"기타"))</f>
        <v/>
      </c>
      <c r="K14">
        <f>IF($E14="","",COUNTIF('근조 화환'!$A$2:$A$501,$E14))</f>
        <v/>
      </c>
    </row>
    <row r="15">
      <c r="E15">
        <f>IF('가족 목록'!A12="","",'가족 목록'!A12)</f>
        <v/>
      </c>
      <c r="F15">
        <f>IF($E15="","",COUNTIFS('근조 화환'!$A$2:$A$501,$E15,'근조 화환'!$C$2:$C$501,"근조화환"))</f>
        <v/>
      </c>
      <c r="G15">
        <f>IF($E15="","",COUNTIFS('근조 화환'!$A$2:$A$501,$E15,'근조 화환'!$C$2:$C$501,"근조 바구니"))</f>
        <v/>
      </c>
      <c r="H15">
        <f>IF($E15="","",COUNTIFS('근조 화환'!$A$2:$A$501,$E15,'근조 화환'!$C$2:$C$501,"근조기"))</f>
        <v/>
      </c>
      <c r="I15">
        <f>IF($E15="","",COUNTIFS('근조 화환'!$A$2:$A$501,$E15,'근조 화환'!$C$2:$C$501,"쌀화환"))</f>
        <v/>
      </c>
      <c r="J15">
        <f>IF($E15="","",COUNTIFS('근조 화환'!$A$2:$A$501,$E15,'근조 화환'!$C$2:$C$501,"기타"))</f>
        <v/>
      </c>
      <c r="K15">
        <f>IF($E15="","",COUNTIF('근조 화환'!$A$2:$A$501,$E15))</f>
        <v/>
      </c>
    </row>
    <row r="16">
      <c r="E16">
        <f>IF('가족 목록'!A13="","",'가족 목록'!A13)</f>
        <v/>
      </c>
      <c r="F16">
        <f>IF($E16="","",COUNTIFS('근조 화환'!$A$2:$A$501,$E16,'근조 화환'!$C$2:$C$501,"근조화환"))</f>
        <v/>
      </c>
      <c r="G16">
        <f>IF($E16="","",COUNTIFS('근조 화환'!$A$2:$A$501,$E16,'근조 화환'!$C$2:$C$501,"근조 바구니"))</f>
        <v/>
      </c>
      <c r="H16">
        <f>IF($E16="","",COUNTIFS('근조 화환'!$A$2:$A$501,$E16,'근조 화환'!$C$2:$C$501,"근조기"))</f>
        <v/>
      </c>
      <c r="I16">
        <f>IF($E16="","",COUNTIFS('근조 화환'!$A$2:$A$501,$E16,'근조 화환'!$C$2:$C$501,"쌀화환"))</f>
        <v/>
      </c>
      <c r="J16">
        <f>IF($E16="","",COUNTIFS('근조 화환'!$A$2:$A$501,$E16,'근조 화환'!$C$2:$C$501,"기타"))</f>
        <v/>
      </c>
      <c r="K16">
        <f>IF($E16="","",COUNTIF('근조 화환'!$A$2:$A$501,$E16))</f>
        <v/>
      </c>
    </row>
    <row r="17">
      <c r="E17">
        <f>IF('가족 목록'!A14="","",'가족 목록'!A14)</f>
        <v/>
      </c>
      <c r="F17">
        <f>IF($E17="","",COUNTIFS('근조 화환'!$A$2:$A$501,$E17,'근조 화환'!$C$2:$C$501,"근조화환"))</f>
        <v/>
      </c>
      <c r="G17">
        <f>IF($E17="","",COUNTIFS('근조 화환'!$A$2:$A$501,$E17,'근조 화환'!$C$2:$C$501,"근조 바구니"))</f>
        <v/>
      </c>
      <c r="H17">
        <f>IF($E17="","",COUNTIFS('근조 화환'!$A$2:$A$501,$E17,'근조 화환'!$C$2:$C$501,"근조기"))</f>
        <v/>
      </c>
      <c r="I17">
        <f>IF($E17="","",COUNTIFS('근조 화환'!$A$2:$A$501,$E17,'근조 화환'!$C$2:$C$501,"쌀화환"))</f>
        <v/>
      </c>
      <c r="J17">
        <f>IF($E17="","",COUNTIFS('근조 화환'!$A$2:$A$501,$E17,'근조 화환'!$C$2:$C$501,"기타"))</f>
        <v/>
      </c>
      <c r="K17">
        <f>IF($E17="","",COUNTIF('근조 화환'!$A$2:$A$501,$E17))</f>
        <v/>
      </c>
    </row>
    <row r="18">
      <c r="E18">
        <f>IF('가족 목록'!A15="","",'가족 목록'!A15)</f>
        <v/>
      </c>
      <c r="F18">
        <f>IF($E18="","",COUNTIFS('근조 화환'!$A$2:$A$501,$E18,'근조 화환'!$C$2:$C$501,"근조화환"))</f>
        <v/>
      </c>
      <c r="G18">
        <f>IF($E18="","",COUNTIFS('근조 화환'!$A$2:$A$501,$E18,'근조 화환'!$C$2:$C$501,"근조 바구니"))</f>
        <v/>
      </c>
      <c r="H18">
        <f>IF($E18="","",COUNTIFS('근조 화환'!$A$2:$A$501,$E18,'근조 화환'!$C$2:$C$501,"근조기"))</f>
        <v/>
      </c>
      <c r="I18">
        <f>IF($E18="","",COUNTIFS('근조 화환'!$A$2:$A$501,$E18,'근조 화환'!$C$2:$C$501,"쌀화환"))</f>
        <v/>
      </c>
      <c r="J18">
        <f>IF($E18="","",COUNTIFS('근조 화환'!$A$2:$A$501,$E18,'근조 화환'!$C$2:$C$501,"기타"))</f>
        <v/>
      </c>
      <c r="K18">
        <f>IF($E18="","",COUNTIF('근조 화환'!$A$2:$A$501,$E18))</f>
        <v/>
      </c>
    </row>
    <row r="19">
      <c r="E19">
        <f>IF('가족 목록'!A16="","",'가족 목록'!A16)</f>
        <v/>
      </c>
      <c r="F19">
        <f>IF($E19="","",COUNTIFS('근조 화환'!$A$2:$A$501,$E19,'근조 화환'!$C$2:$C$501,"근조화환"))</f>
        <v/>
      </c>
      <c r="G19">
        <f>IF($E19="","",COUNTIFS('근조 화환'!$A$2:$A$501,$E19,'근조 화환'!$C$2:$C$501,"근조 바구니"))</f>
        <v/>
      </c>
      <c r="H19">
        <f>IF($E19="","",COUNTIFS('근조 화환'!$A$2:$A$501,$E19,'근조 화환'!$C$2:$C$501,"근조기"))</f>
        <v/>
      </c>
      <c r="I19">
        <f>IF($E19="","",COUNTIFS('근조 화환'!$A$2:$A$501,$E19,'근조 화환'!$C$2:$C$501,"쌀화환"))</f>
        <v/>
      </c>
      <c r="J19">
        <f>IF($E19="","",COUNTIFS('근조 화환'!$A$2:$A$501,$E19,'근조 화환'!$C$2:$C$501,"기타"))</f>
        <v/>
      </c>
      <c r="K19">
        <f>IF($E19="","",COUNTIF('근조 화환'!$A$2:$A$501,$E19))</f>
        <v/>
      </c>
    </row>
    <row r="20">
      <c r="E20">
        <f>IF('가족 목록'!A17="","",'가족 목록'!A17)</f>
        <v/>
      </c>
      <c r="F20">
        <f>IF($E20="","",COUNTIFS('근조 화환'!$A$2:$A$501,$E20,'근조 화환'!$C$2:$C$501,"근조화환"))</f>
        <v/>
      </c>
      <c r="G20">
        <f>IF($E20="","",COUNTIFS('근조 화환'!$A$2:$A$501,$E20,'근조 화환'!$C$2:$C$501,"근조 바구니"))</f>
        <v/>
      </c>
      <c r="H20">
        <f>IF($E20="","",COUNTIFS('근조 화환'!$A$2:$A$501,$E20,'근조 화환'!$C$2:$C$501,"근조기"))</f>
        <v/>
      </c>
      <c r="I20">
        <f>IF($E20="","",COUNTIFS('근조 화환'!$A$2:$A$501,$E20,'근조 화환'!$C$2:$C$501,"쌀화환"))</f>
        <v/>
      </c>
      <c r="J20">
        <f>IF($E20="","",COUNTIFS('근조 화환'!$A$2:$A$501,$E20,'근조 화환'!$C$2:$C$501,"기타"))</f>
        <v/>
      </c>
      <c r="K20">
        <f>IF($E20="","",COUNTIF('근조 화환'!$A$2:$A$501,$E20))</f>
        <v/>
      </c>
    </row>
    <row r="21">
      <c r="E21">
        <f>IF('가족 목록'!A18="","",'가족 목록'!A18)</f>
        <v/>
      </c>
      <c r="F21">
        <f>IF($E21="","",COUNTIFS('근조 화환'!$A$2:$A$501,$E21,'근조 화환'!$C$2:$C$501,"근조화환"))</f>
        <v/>
      </c>
      <c r="G21">
        <f>IF($E21="","",COUNTIFS('근조 화환'!$A$2:$A$501,$E21,'근조 화환'!$C$2:$C$501,"근조 바구니"))</f>
        <v/>
      </c>
      <c r="H21">
        <f>IF($E21="","",COUNTIFS('근조 화환'!$A$2:$A$501,$E21,'근조 화환'!$C$2:$C$501,"근조기"))</f>
        <v/>
      </c>
      <c r="I21">
        <f>IF($E21="","",COUNTIFS('근조 화환'!$A$2:$A$501,$E21,'근조 화환'!$C$2:$C$501,"쌀화환"))</f>
        <v/>
      </c>
      <c r="J21">
        <f>IF($E21="","",COUNTIFS('근조 화환'!$A$2:$A$501,$E21,'근조 화환'!$C$2:$C$501,"기타"))</f>
        <v/>
      </c>
      <c r="K21">
        <f>IF($E21="","",COUNTIF('근조 화환'!$A$2:$A$501,$E21))</f>
        <v/>
      </c>
    </row>
    <row r="22">
      <c r="E22">
        <f>IF('가족 목록'!A19="","",'가족 목록'!A19)</f>
        <v/>
      </c>
      <c r="F22">
        <f>IF($E22="","",COUNTIFS('근조 화환'!$A$2:$A$501,$E22,'근조 화환'!$C$2:$C$501,"근조화환"))</f>
        <v/>
      </c>
      <c r="G22">
        <f>IF($E22="","",COUNTIFS('근조 화환'!$A$2:$A$501,$E22,'근조 화환'!$C$2:$C$501,"근조 바구니"))</f>
        <v/>
      </c>
      <c r="H22">
        <f>IF($E22="","",COUNTIFS('근조 화환'!$A$2:$A$501,$E22,'근조 화환'!$C$2:$C$501,"근조기"))</f>
        <v/>
      </c>
      <c r="I22">
        <f>IF($E22="","",COUNTIFS('근조 화환'!$A$2:$A$501,$E22,'근조 화환'!$C$2:$C$501,"쌀화환"))</f>
        <v/>
      </c>
      <c r="J22">
        <f>IF($E22="","",COUNTIFS('근조 화환'!$A$2:$A$501,$E22,'근조 화환'!$C$2:$C$501,"기타"))</f>
        <v/>
      </c>
      <c r="K22">
        <f>IF($E22="","",COUNTIF('근조 화환'!$A$2:$A$501,$E22))</f>
        <v/>
      </c>
    </row>
    <row r="23">
      <c r="E23">
        <f>IF('가족 목록'!A20="","",'가족 목록'!A20)</f>
        <v/>
      </c>
      <c r="F23">
        <f>IF($E23="","",COUNTIFS('근조 화환'!$A$2:$A$501,$E23,'근조 화환'!$C$2:$C$501,"근조화환"))</f>
        <v/>
      </c>
      <c r="G23">
        <f>IF($E23="","",COUNTIFS('근조 화환'!$A$2:$A$501,$E23,'근조 화환'!$C$2:$C$501,"근조 바구니"))</f>
        <v/>
      </c>
      <c r="H23">
        <f>IF($E23="","",COUNTIFS('근조 화환'!$A$2:$A$501,$E23,'근조 화환'!$C$2:$C$501,"근조기"))</f>
        <v/>
      </c>
      <c r="I23">
        <f>IF($E23="","",COUNTIFS('근조 화환'!$A$2:$A$501,$E23,'근조 화환'!$C$2:$C$501,"쌀화환"))</f>
        <v/>
      </c>
      <c r="J23">
        <f>IF($E23="","",COUNTIFS('근조 화환'!$A$2:$A$501,$E23,'근조 화환'!$C$2:$C$501,"기타"))</f>
        <v/>
      </c>
      <c r="K23">
        <f>IF($E23="","",COUNTIF('근조 화환'!$A$2:$A$501,$E23))</f>
        <v/>
      </c>
    </row>
    <row r="24">
      <c r="E24">
        <f>IF('가족 목록'!A21="","",'가족 목록'!A21)</f>
        <v/>
      </c>
      <c r="F24">
        <f>IF($E24="","",COUNTIFS('근조 화환'!$A$2:$A$501,$E24,'근조 화환'!$C$2:$C$501,"근조화환"))</f>
        <v/>
      </c>
      <c r="G24">
        <f>IF($E24="","",COUNTIFS('근조 화환'!$A$2:$A$501,$E24,'근조 화환'!$C$2:$C$501,"근조 바구니"))</f>
        <v/>
      </c>
      <c r="H24">
        <f>IF($E24="","",COUNTIFS('근조 화환'!$A$2:$A$501,$E24,'근조 화환'!$C$2:$C$501,"근조기"))</f>
        <v/>
      </c>
      <c r="I24">
        <f>IF($E24="","",COUNTIFS('근조 화환'!$A$2:$A$501,$E24,'근조 화환'!$C$2:$C$501,"쌀화환"))</f>
        <v/>
      </c>
      <c r="J24">
        <f>IF($E24="","",COUNTIFS('근조 화환'!$A$2:$A$501,$E24,'근조 화환'!$C$2:$C$501,"기타"))</f>
        <v/>
      </c>
      <c r="K24">
        <f>IF($E24="","",COUNTIF('근조 화환'!$A$2:$A$501,$E24))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4B342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3" customWidth="1" min="3" max="3"/>
    <col width="80" customWidth="1" min="4" max="4"/>
  </cols>
  <sheetData>
    <row r="1">
      <c r="A1" s="18" t="inlineStr">
        <is>
          <t>받은 가족</t>
        </is>
      </c>
      <c r="B1" s="18" t="inlineStr">
        <is>
          <t>정산 참여</t>
        </is>
      </c>
      <c r="D1" s="9" t="inlineStr">
        <is>
          <t>부의금·화환을 받는 가족 이름을 적으세요. 여기 적은 이름이 드롭다운과 요약에 나옵니다.</t>
        </is>
      </c>
    </row>
    <row r="2">
      <c r="A2" s="41" t="n"/>
      <c r="B2" s="42" t="n"/>
      <c r="D2" s="9" t="inlineStr">
        <is>
          <t>정산 참여: 장례 비용을 나눠 낼 가족은 비워 두거나 O, 빠질 가족(예: 손주)은 X.</t>
        </is>
      </c>
    </row>
    <row r="3">
      <c r="A3" s="41" t="n"/>
      <c r="B3" s="42" t="n"/>
    </row>
    <row r="4">
      <c r="A4" s="41" t="n"/>
      <c r="B4" s="42" t="n"/>
    </row>
    <row r="5">
      <c r="A5" s="41" t="n"/>
      <c r="B5" s="42" t="n"/>
    </row>
    <row r="6">
      <c r="A6" s="41" t="n"/>
      <c r="B6" s="42" t="n"/>
    </row>
    <row r="7">
      <c r="A7" s="41" t="n"/>
      <c r="B7" s="42" t="n"/>
    </row>
    <row r="8">
      <c r="A8" s="41" t="n"/>
      <c r="B8" s="42" t="n"/>
    </row>
    <row r="9">
      <c r="A9" s="41" t="n"/>
      <c r="B9" s="42" t="n"/>
    </row>
    <row r="10">
      <c r="A10" s="41" t="n"/>
      <c r="B10" s="42" t="n"/>
    </row>
    <row r="11">
      <c r="A11" s="41" t="n"/>
      <c r="B11" s="42" t="n"/>
    </row>
    <row r="12">
      <c r="A12" s="41" t="n"/>
      <c r="B12" s="42" t="n"/>
    </row>
    <row r="13">
      <c r="A13" s="41" t="n"/>
      <c r="B13" s="42" t="n"/>
    </row>
    <row r="14">
      <c r="A14" s="41" t="n"/>
      <c r="B14" s="42" t="n"/>
    </row>
    <row r="15">
      <c r="A15" s="41" t="n"/>
      <c r="B15" s="42" t="n"/>
    </row>
    <row r="16">
      <c r="A16" s="41" t="n"/>
      <c r="B16" s="42" t="n"/>
    </row>
    <row r="17">
      <c r="A17" s="41" t="n"/>
      <c r="B17" s="42" t="n"/>
    </row>
    <row r="18">
      <c r="A18" s="41" t="n"/>
      <c r="B18" s="42" t="n"/>
    </row>
    <row r="19">
      <c r="A19" s="41" t="n"/>
      <c r="B19" s="42" t="n"/>
    </row>
    <row r="20">
      <c r="A20" s="41" t="n"/>
      <c r="B20" s="42" t="n"/>
    </row>
    <row r="21">
      <c r="A21" s="41" t="n"/>
      <c r="B21" s="42" t="n"/>
    </row>
  </sheetData>
  <dataValidations count="1">
    <dataValidation sqref="B2:B21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4B342"/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20" customWidth="1" min="4" max="4"/>
    <col width="18" customWidth="1" min="5" max="5"/>
    <col width="22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</cols>
  <sheetData>
    <row r="1">
      <c r="A1" s="18" t="inlineStr">
        <is>
          <t>받은 가족</t>
        </is>
      </c>
      <c r="B1" s="18" t="inlineStr">
        <is>
          <t>이름</t>
        </is>
      </c>
      <c r="C1" s="18" t="inlineStr">
        <is>
          <t>금액</t>
        </is>
      </c>
      <c r="D1" s="18" t="inlineStr">
        <is>
          <t>소속·관계</t>
        </is>
      </c>
      <c r="E1" s="18" t="inlineStr">
        <is>
          <t>메모</t>
        </is>
      </c>
      <c r="F1" s="43" t="inlineStr">
        <is>
          <t>확인 필요</t>
        </is>
      </c>
      <c r="G1" s="43" t="inlineStr">
        <is>
          <t>일차 (자동)</t>
        </is>
      </c>
      <c r="H1" s="43" t="inlineStr">
        <is>
          <t>가족별 순번</t>
        </is>
      </c>
      <c r="I1" s="43" t="inlineStr">
        <is>
          <t>소계 번호</t>
        </is>
      </c>
      <c r="J1" s="43" t="inlineStr">
        <is>
          <t>확인 표시</t>
        </is>
      </c>
    </row>
    <row r="2">
      <c r="A2" s="41" t="n"/>
      <c r="B2" s="41" t="n"/>
      <c r="C2" s="24" t="n"/>
      <c r="D2" s="41" t="n"/>
      <c r="E2" s="41" t="n"/>
      <c r="F2" s="19">
        <f>IF(COUNTA(A2:E2)=0,"",IF(OR(ISNUMBER(SEARCH("소계",B2)),ISNUMBER(SEARCH("합계",B2))),"",TRIM(IF(B2="","이름 없음 ","")&amp;IF(A2="","받은 가족 없음 ","")&amp;IF(C2="","금액 없음 ",IF(ISNUMBER(C2),IF(C2&lt;1000,"금액 확인 ",""),"금액 확인 "))&amp;IF(AND(B2&lt;&gt;"",COUNTIFS($A$2:$A$1001,A2,$B$2:$B$1001,B2,$C$2:$C$1001,C2)&gt;1),"중복 의심",""))))</f>
        <v/>
      </c>
      <c r="G2" s="25">
        <f>IF(OR(COUNTA(A2:E2)=0,OR(ISNUMBER(SEARCH("소계",B2)),ISNUMBER(SEARCH("합계",B2)))),"",1+COUNTIF($B$1:B1,"*소계*"))</f>
        <v/>
      </c>
      <c r="H2">
        <f>IF(AND(A2&lt;&gt;"",A2=가족별!$B$1,G2&lt;&gt;""),COUNTIFS($A$2:A2,가족별!$B$1,$G$2:G2,"&gt;0"),"")</f>
        <v/>
      </c>
      <c r="I2">
        <f>IF(ISNUMBER(SEARCH("소계",B2)),COUNTIF($B$2:B2,"*소계*"),"")</f>
        <v/>
      </c>
      <c r="J2">
        <f>IF(F2="",0,1)</f>
        <v/>
      </c>
    </row>
    <row r="3">
      <c r="A3" s="41" t="n"/>
      <c r="B3" s="41" t="n"/>
      <c r="C3" s="24" t="n"/>
      <c r="D3" s="41" t="n"/>
      <c r="E3" s="41" t="n"/>
      <c r="F3" s="19">
        <f>IF(COUNTA(A3:E3)=0,"",IF(OR(ISNUMBER(SEARCH("소계",B3)),ISNUMBER(SEARCH("합계",B3))),"",TRIM(IF(B3="","이름 없음 ","")&amp;IF(A3="","받은 가족 없음 ","")&amp;IF(C3="","금액 없음 ",IF(ISNUMBER(C3),IF(C3&lt;1000,"금액 확인 ",""),"금액 확인 "))&amp;IF(AND(B3&lt;&gt;"",COUNTIFS($A$2:$A$1001,A3,$B$2:$B$1001,B3,$C$2:$C$1001,C3)&gt;1),"중복 의심",""))))</f>
        <v/>
      </c>
      <c r="G3" s="25">
        <f>IF(OR(COUNTA(A3:E3)=0,OR(ISNUMBER(SEARCH("소계",B3)),ISNUMBER(SEARCH("합계",B3)))),"",1+COUNTIF($B$1:B2,"*소계*"))</f>
        <v/>
      </c>
      <c r="H3">
        <f>IF(AND(A3&lt;&gt;"",A3=가족별!$B$1,G3&lt;&gt;""),COUNTIFS($A$2:A3,가족별!$B$1,$G$2:G3,"&gt;0"),"")</f>
        <v/>
      </c>
      <c r="I3">
        <f>IF(ISNUMBER(SEARCH("소계",B3)),COUNTIF($B$2:B3,"*소계*"),"")</f>
        <v/>
      </c>
      <c r="J3">
        <f>IF(F3="",0,1)</f>
        <v/>
      </c>
    </row>
    <row r="4">
      <c r="A4" s="41" t="n"/>
      <c r="B4" s="41" t="n"/>
      <c r="C4" s="24" t="n"/>
      <c r="D4" s="41" t="n"/>
      <c r="E4" s="41" t="n"/>
      <c r="F4" s="19">
        <f>IF(COUNTA(A4:E4)=0,"",IF(OR(ISNUMBER(SEARCH("소계",B4)),ISNUMBER(SEARCH("합계",B4))),"",TRIM(IF(B4="","이름 없음 ","")&amp;IF(A4="","받은 가족 없음 ","")&amp;IF(C4="","금액 없음 ",IF(ISNUMBER(C4),IF(C4&lt;1000,"금액 확인 ",""),"금액 확인 "))&amp;IF(AND(B4&lt;&gt;"",COUNTIFS($A$2:$A$1001,A4,$B$2:$B$1001,B4,$C$2:$C$1001,C4)&gt;1),"중복 의심",""))))</f>
        <v/>
      </c>
      <c r="G4" s="25">
        <f>IF(OR(COUNTA(A4:E4)=0,OR(ISNUMBER(SEARCH("소계",B4)),ISNUMBER(SEARCH("합계",B4)))),"",1+COUNTIF($B$1:B3,"*소계*"))</f>
        <v/>
      </c>
      <c r="H4">
        <f>IF(AND(A4&lt;&gt;"",A4=가족별!$B$1,G4&lt;&gt;""),COUNTIFS($A$2:A4,가족별!$B$1,$G$2:G4,"&gt;0"),"")</f>
        <v/>
      </c>
      <c r="I4">
        <f>IF(ISNUMBER(SEARCH("소계",B4)),COUNTIF($B$2:B4,"*소계*"),"")</f>
        <v/>
      </c>
      <c r="J4">
        <f>IF(F4="",0,1)</f>
        <v/>
      </c>
    </row>
    <row r="5">
      <c r="A5" s="41" t="n"/>
      <c r="B5" s="41" t="n"/>
      <c r="C5" s="24" t="n"/>
      <c r="D5" s="41" t="n"/>
      <c r="E5" s="41" t="n"/>
      <c r="F5" s="19">
        <f>IF(COUNTA(A5:E5)=0,"",IF(OR(ISNUMBER(SEARCH("소계",B5)),ISNUMBER(SEARCH("합계",B5))),"",TRIM(IF(B5="","이름 없음 ","")&amp;IF(A5="","받은 가족 없음 ","")&amp;IF(C5="","금액 없음 ",IF(ISNUMBER(C5),IF(C5&lt;1000,"금액 확인 ",""),"금액 확인 "))&amp;IF(AND(B5&lt;&gt;"",COUNTIFS($A$2:$A$1001,A5,$B$2:$B$1001,B5,$C$2:$C$1001,C5)&gt;1),"중복 의심",""))))</f>
        <v/>
      </c>
      <c r="G5" s="25">
        <f>IF(OR(COUNTA(A5:E5)=0,OR(ISNUMBER(SEARCH("소계",B5)),ISNUMBER(SEARCH("합계",B5)))),"",1+COUNTIF($B$1:B4,"*소계*"))</f>
        <v/>
      </c>
      <c r="H5">
        <f>IF(AND(A5&lt;&gt;"",A5=가족별!$B$1,G5&lt;&gt;""),COUNTIFS($A$2:A5,가족별!$B$1,$G$2:G5,"&gt;0"),"")</f>
        <v/>
      </c>
      <c r="I5">
        <f>IF(ISNUMBER(SEARCH("소계",B5)),COUNTIF($B$2:B5,"*소계*"),"")</f>
        <v/>
      </c>
      <c r="J5">
        <f>IF(F5="",0,1)</f>
        <v/>
      </c>
    </row>
    <row r="6">
      <c r="A6" s="41" t="n"/>
      <c r="B6" s="41" t="n"/>
      <c r="C6" s="24" t="n"/>
      <c r="D6" s="41" t="n"/>
      <c r="E6" s="41" t="n"/>
      <c r="F6" s="19">
        <f>IF(COUNTA(A6:E6)=0,"",IF(OR(ISNUMBER(SEARCH("소계",B6)),ISNUMBER(SEARCH("합계",B6))),"",TRIM(IF(B6="","이름 없음 ","")&amp;IF(A6="","받은 가족 없음 ","")&amp;IF(C6="","금액 없음 ",IF(ISNUMBER(C6),IF(C6&lt;1000,"금액 확인 ",""),"금액 확인 "))&amp;IF(AND(B6&lt;&gt;"",COUNTIFS($A$2:$A$1001,A6,$B$2:$B$1001,B6,$C$2:$C$1001,C6)&gt;1),"중복 의심",""))))</f>
        <v/>
      </c>
      <c r="G6" s="25">
        <f>IF(OR(COUNTA(A6:E6)=0,OR(ISNUMBER(SEARCH("소계",B6)),ISNUMBER(SEARCH("합계",B6)))),"",1+COUNTIF($B$1:B5,"*소계*"))</f>
        <v/>
      </c>
      <c r="H6">
        <f>IF(AND(A6&lt;&gt;"",A6=가족별!$B$1,G6&lt;&gt;""),COUNTIFS($A$2:A6,가족별!$B$1,$G$2:G6,"&gt;0"),"")</f>
        <v/>
      </c>
      <c r="I6">
        <f>IF(ISNUMBER(SEARCH("소계",B6)),COUNTIF($B$2:B6,"*소계*"),"")</f>
        <v/>
      </c>
      <c r="J6">
        <f>IF(F6="",0,1)</f>
        <v/>
      </c>
    </row>
    <row r="7">
      <c r="A7" s="41" t="n"/>
      <c r="B7" s="41" t="n"/>
      <c r="C7" s="24" t="n"/>
      <c r="D7" s="41" t="n"/>
      <c r="E7" s="41" t="n"/>
      <c r="F7" s="19">
        <f>IF(COUNTA(A7:E7)=0,"",IF(OR(ISNUMBER(SEARCH("소계",B7)),ISNUMBER(SEARCH("합계",B7))),"",TRIM(IF(B7="","이름 없음 ","")&amp;IF(A7="","받은 가족 없음 ","")&amp;IF(C7="","금액 없음 ",IF(ISNUMBER(C7),IF(C7&lt;1000,"금액 확인 ",""),"금액 확인 "))&amp;IF(AND(B7&lt;&gt;"",COUNTIFS($A$2:$A$1001,A7,$B$2:$B$1001,B7,$C$2:$C$1001,C7)&gt;1),"중복 의심",""))))</f>
        <v/>
      </c>
      <c r="G7" s="25">
        <f>IF(OR(COUNTA(A7:E7)=0,OR(ISNUMBER(SEARCH("소계",B7)),ISNUMBER(SEARCH("합계",B7)))),"",1+COUNTIF($B$1:B6,"*소계*"))</f>
        <v/>
      </c>
      <c r="H7">
        <f>IF(AND(A7&lt;&gt;"",A7=가족별!$B$1,G7&lt;&gt;""),COUNTIFS($A$2:A7,가족별!$B$1,$G$2:G7,"&gt;0"),"")</f>
        <v/>
      </c>
      <c r="I7">
        <f>IF(ISNUMBER(SEARCH("소계",B7)),COUNTIF($B$2:B7,"*소계*"),"")</f>
        <v/>
      </c>
      <c r="J7">
        <f>IF(F7="",0,1)</f>
        <v/>
      </c>
    </row>
    <row r="8">
      <c r="A8" s="41" t="n"/>
      <c r="B8" s="41" t="n"/>
      <c r="C8" s="24" t="n"/>
      <c r="D8" s="41" t="n"/>
      <c r="E8" s="41" t="n"/>
      <c r="F8" s="19">
        <f>IF(COUNTA(A8:E8)=0,"",IF(OR(ISNUMBER(SEARCH("소계",B8)),ISNUMBER(SEARCH("합계",B8))),"",TRIM(IF(B8="","이름 없음 ","")&amp;IF(A8="","받은 가족 없음 ","")&amp;IF(C8="","금액 없음 ",IF(ISNUMBER(C8),IF(C8&lt;1000,"금액 확인 ",""),"금액 확인 "))&amp;IF(AND(B8&lt;&gt;"",COUNTIFS($A$2:$A$1001,A8,$B$2:$B$1001,B8,$C$2:$C$1001,C8)&gt;1),"중복 의심",""))))</f>
        <v/>
      </c>
      <c r="G8" s="25">
        <f>IF(OR(COUNTA(A8:E8)=0,OR(ISNUMBER(SEARCH("소계",B8)),ISNUMBER(SEARCH("합계",B8)))),"",1+COUNTIF($B$1:B7,"*소계*"))</f>
        <v/>
      </c>
      <c r="H8">
        <f>IF(AND(A8&lt;&gt;"",A8=가족별!$B$1,G8&lt;&gt;""),COUNTIFS($A$2:A8,가족별!$B$1,$G$2:G8,"&gt;0"),"")</f>
        <v/>
      </c>
      <c r="I8">
        <f>IF(ISNUMBER(SEARCH("소계",B8)),COUNTIF($B$2:B8,"*소계*"),"")</f>
        <v/>
      </c>
      <c r="J8">
        <f>IF(F8="",0,1)</f>
        <v/>
      </c>
    </row>
    <row r="9">
      <c r="A9" s="41" t="n"/>
      <c r="B9" s="41" t="n"/>
      <c r="C9" s="24" t="n"/>
      <c r="D9" s="41" t="n"/>
      <c r="E9" s="41" t="n"/>
      <c r="F9" s="19">
        <f>IF(COUNTA(A9:E9)=0,"",IF(OR(ISNUMBER(SEARCH("소계",B9)),ISNUMBER(SEARCH("합계",B9))),"",TRIM(IF(B9="","이름 없음 ","")&amp;IF(A9="","받은 가족 없음 ","")&amp;IF(C9="","금액 없음 ",IF(ISNUMBER(C9),IF(C9&lt;1000,"금액 확인 ",""),"금액 확인 "))&amp;IF(AND(B9&lt;&gt;"",COUNTIFS($A$2:$A$1001,A9,$B$2:$B$1001,B9,$C$2:$C$1001,C9)&gt;1),"중복 의심",""))))</f>
        <v/>
      </c>
      <c r="G9" s="25">
        <f>IF(OR(COUNTA(A9:E9)=0,OR(ISNUMBER(SEARCH("소계",B9)),ISNUMBER(SEARCH("합계",B9)))),"",1+COUNTIF($B$1:B8,"*소계*"))</f>
        <v/>
      </c>
      <c r="H9">
        <f>IF(AND(A9&lt;&gt;"",A9=가족별!$B$1,G9&lt;&gt;""),COUNTIFS($A$2:A9,가족별!$B$1,$G$2:G9,"&gt;0"),"")</f>
        <v/>
      </c>
      <c r="I9">
        <f>IF(ISNUMBER(SEARCH("소계",B9)),COUNTIF($B$2:B9,"*소계*"),"")</f>
        <v/>
      </c>
      <c r="J9">
        <f>IF(F9="",0,1)</f>
        <v/>
      </c>
    </row>
    <row r="10">
      <c r="A10" s="41" t="n"/>
      <c r="B10" s="41" t="n"/>
      <c r="C10" s="24" t="n"/>
      <c r="D10" s="41" t="n"/>
      <c r="E10" s="41" t="n"/>
      <c r="F10" s="19">
        <f>IF(COUNTA(A10:E10)=0,"",IF(OR(ISNUMBER(SEARCH("소계",B10)),ISNUMBER(SEARCH("합계",B10))),"",TRIM(IF(B10="","이름 없음 ","")&amp;IF(A10="","받은 가족 없음 ","")&amp;IF(C10="","금액 없음 ",IF(ISNUMBER(C10),IF(C10&lt;1000,"금액 확인 ",""),"금액 확인 "))&amp;IF(AND(B10&lt;&gt;"",COUNTIFS($A$2:$A$1001,A10,$B$2:$B$1001,B10,$C$2:$C$1001,C10)&gt;1),"중복 의심",""))))</f>
        <v/>
      </c>
      <c r="G10" s="25">
        <f>IF(OR(COUNTA(A10:E10)=0,OR(ISNUMBER(SEARCH("소계",B10)),ISNUMBER(SEARCH("합계",B10)))),"",1+COUNTIF($B$1:B9,"*소계*"))</f>
        <v/>
      </c>
      <c r="H10">
        <f>IF(AND(A10&lt;&gt;"",A10=가족별!$B$1,G10&lt;&gt;""),COUNTIFS($A$2:A10,가족별!$B$1,$G$2:G10,"&gt;0"),"")</f>
        <v/>
      </c>
      <c r="I10">
        <f>IF(ISNUMBER(SEARCH("소계",B10)),COUNTIF($B$2:B10,"*소계*"),"")</f>
        <v/>
      </c>
      <c r="J10">
        <f>IF(F10="",0,1)</f>
        <v/>
      </c>
    </row>
    <row r="11">
      <c r="A11" s="41" t="n"/>
      <c r="B11" s="41" t="n"/>
      <c r="C11" s="24" t="n"/>
      <c r="D11" s="41" t="n"/>
      <c r="E11" s="41" t="n"/>
      <c r="F11" s="19">
        <f>IF(COUNTA(A11:E11)=0,"",IF(OR(ISNUMBER(SEARCH("소계",B11)),ISNUMBER(SEARCH("합계",B11))),"",TRIM(IF(B11="","이름 없음 ","")&amp;IF(A11="","받은 가족 없음 ","")&amp;IF(C11="","금액 없음 ",IF(ISNUMBER(C11),IF(C11&lt;1000,"금액 확인 ",""),"금액 확인 "))&amp;IF(AND(B11&lt;&gt;"",COUNTIFS($A$2:$A$1001,A11,$B$2:$B$1001,B11,$C$2:$C$1001,C11)&gt;1),"중복 의심",""))))</f>
        <v/>
      </c>
      <c r="G11" s="25">
        <f>IF(OR(COUNTA(A11:E11)=0,OR(ISNUMBER(SEARCH("소계",B11)),ISNUMBER(SEARCH("합계",B11)))),"",1+COUNTIF($B$1:B10,"*소계*"))</f>
        <v/>
      </c>
      <c r="H11">
        <f>IF(AND(A11&lt;&gt;"",A11=가족별!$B$1,G11&lt;&gt;""),COUNTIFS($A$2:A11,가족별!$B$1,$G$2:G11,"&gt;0"),"")</f>
        <v/>
      </c>
      <c r="I11">
        <f>IF(ISNUMBER(SEARCH("소계",B11)),COUNTIF($B$2:B11,"*소계*"),"")</f>
        <v/>
      </c>
      <c r="J11">
        <f>IF(F11="",0,1)</f>
        <v/>
      </c>
    </row>
    <row r="12">
      <c r="A12" s="41" t="n"/>
      <c r="B12" s="41" t="n"/>
      <c r="C12" s="24" t="n"/>
      <c r="D12" s="41" t="n"/>
      <c r="E12" s="41" t="n"/>
      <c r="F12" s="19">
        <f>IF(COUNTA(A12:E12)=0,"",IF(OR(ISNUMBER(SEARCH("소계",B12)),ISNUMBER(SEARCH("합계",B12))),"",TRIM(IF(B12="","이름 없음 ","")&amp;IF(A12="","받은 가족 없음 ","")&amp;IF(C12="","금액 없음 ",IF(ISNUMBER(C12),IF(C12&lt;1000,"금액 확인 ",""),"금액 확인 "))&amp;IF(AND(B12&lt;&gt;"",COUNTIFS($A$2:$A$1001,A12,$B$2:$B$1001,B12,$C$2:$C$1001,C12)&gt;1),"중복 의심",""))))</f>
        <v/>
      </c>
      <c r="G12" s="25">
        <f>IF(OR(COUNTA(A12:E12)=0,OR(ISNUMBER(SEARCH("소계",B12)),ISNUMBER(SEARCH("합계",B12)))),"",1+COUNTIF($B$1:B11,"*소계*"))</f>
        <v/>
      </c>
      <c r="H12">
        <f>IF(AND(A12&lt;&gt;"",A12=가족별!$B$1,G12&lt;&gt;""),COUNTIFS($A$2:A12,가족별!$B$1,$G$2:G12,"&gt;0"),"")</f>
        <v/>
      </c>
      <c r="I12">
        <f>IF(ISNUMBER(SEARCH("소계",B12)),COUNTIF($B$2:B12,"*소계*"),"")</f>
        <v/>
      </c>
      <c r="J12">
        <f>IF(F12="",0,1)</f>
        <v/>
      </c>
    </row>
    <row r="13">
      <c r="A13" s="41" t="n"/>
      <c r="B13" s="41" t="n"/>
      <c r="C13" s="24" t="n"/>
      <c r="D13" s="41" t="n"/>
      <c r="E13" s="41" t="n"/>
      <c r="F13" s="19">
        <f>IF(COUNTA(A13:E13)=0,"",IF(OR(ISNUMBER(SEARCH("소계",B13)),ISNUMBER(SEARCH("합계",B13))),"",TRIM(IF(B13="","이름 없음 ","")&amp;IF(A13="","받은 가족 없음 ","")&amp;IF(C13="","금액 없음 ",IF(ISNUMBER(C13),IF(C13&lt;1000,"금액 확인 ",""),"금액 확인 "))&amp;IF(AND(B13&lt;&gt;"",COUNTIFS($A$2:$A$1001,A13,$B$2:$B$1001,B13,$C$2:$C$1001,C13)&gt;1),"중복 의심",""))))</f>
        <v/>
      </c>
      <c r="G13" s="25">
        <f>IF(OR(COUNTA(A13:E13)=0,OR(ISNUMBER(SEARCH("소계",B13)),ISNUMBER(SEARCH("합계",B13)))),"",1+COUNTIF($B$1:B12,"*소계*"))</f>
        <v/>
      </c>
      <c r="H13">
        <f>IF(AND(A13&lt;&gt;"",A13=가족별!$B$1,G13&lt;&gt;""),COUNTIFS($A$2:A13,가족별!$B$1,$G$2:G13,"&gt;0"),"")</f>
        <v/>
      </c>
      <c r="I13">
        <f>IF(ISNUMBER(SEARCH("소계",B13)),COUNTIF($B$2:B13,"*소계*"),"")</f>
        <v/>
      </c>
      <c r="J13">
        <f>IF(F13="",0,1)</f>
        <v/>
      </c>
    </row>
    <row r="14">
      <c r="A14" s="41" t="n"/>
      <c r="B14" s="41" t="n"/>
      <c r="C14" s="24" t="n"/>
      <c r="D14" s="41" t="n"/>
      <c r="E14" s="41" t="n"/>
      <c r="F14" s="19">
        <f>IF(COUNTA(A14:E14)=0,"",IF(OR(ISNUMBER(SEARCH("소계",B14)),ISNUMBER(SEARCH("합계",B14))),"",TRIM(IF(B14="","이름 없음 ","")&amp;IF(A14="","받은 가족 없음 ","")&amp;IF(C14="","금액 없음 ",IF(ISNUMBER(C14),IF(C14&lt;1000,"금액 확인 ",""),"금액 확인 "))&amp;IF(AND(B14&lt;&gt;"",COUNTIFS($A$2:$A$1001,A14,$B$2:$B$1001,B14,$C$2:$C$1001,C14)&gt;1),"중복 의심",""))))</f>
        <v/>
      </c>
      <c r="G14" s="25">
        <f>IF(OR(COUNTA(A14:E14)=0,OR(ISNUMBER(SEARCH("소계",B14)),ISNUMBER(SEARCH("합계",B14)))),"",1+COUNTIF($B$1:B13,"*소계*"))</f>
        <v/>
      </c>
      <c r="H14">
        <f>IF(AND(A14&lt;&gt;"",A14=가족별!$B$1,G14&lt;&gt;""),COUNTIFS($A$2:A14,가족별!$B$1,$G$2:G14,"&gt;0"),"")</f>
        <v/>
      </c>
      <c r="I14">
        <f>IF(ISNUMBER(SEARCH("소계",B14)),COUNTIF($B$2:B14,"*소계*"),"")</f>
        <v/>
      </c>
      <c r="J14">
        <f>IF(F14="",0,1)</f>
        <v/>
      </c>
    </row>
    <row r="15">
      <c r="A15" s="41" t="n"/>
      <c r="B15" s="41" t="n"/>
      <c r="C15" s="24" t="n"/>
      <c r="D15" s="41" t="n"/>
      <c r="E15" s="41" t="n"/>
      <c r="F15" s="19">
        <f>IF(COUNTA(A15:E15)=0,"",IF(OR(ISNUMBER(SEARCH("소계",B15)),ISNUMBER(SEARCH("합계",B15))),"",TRIM(IF(B15="","이름 없음 ","")&amp;IF(A15="","받은 가족 없음 ","")&amp;IF(C15="","금액 없음 ",IF(ISNUMBER(C15),IF(C15&lt;1000,"금액 확인 ",""),"금액 확인 "))&amp;IF(AND(B15&lt;&gt;"",COUNTIFS($A$2:$A$1001,A15,$B$2:$B$1001,B15,$C$2:$C$1001,C15)&gt;1),"중복 의심",""))))</f>
        <v/>
      </c>
      <c r="G15" s="25">
        <f>IF(OR(COUNTA(A15:E15)=0,OR(ISNUMBER(SEARCH("소계",B15)),ISNUMBER(SEARCH("합계",B15)))),"",1+COUNTIF($B$1:B14,"*소계*"))</f>
        <v/>
      </c>
      <c r="H15">
        <f>IF(AND(A15&lt;&gt;"",A15=가족별!$B$1,G15&lt;&gt;""),COUNTIFS($A$2:A15,가족별!$B$1,$G$2:G15,"&gt;0"),"")</f>
        <v/>
      </c>
      <c r="I15">
        <f>IF(ISNUMBER(SEARCH("소계",B15)),COUNTIF($B$2:B15,"*소계*"),"")</f>
        <v/>
      </c>
      <c r="J15">
        <f>IF(F15="",0,1)</f>
        <v/>
      </c>
    </row>
    <row r="16">
      <c r="A16" s="41" t="n"/>
      <c r="B16" s="41" t="n"/>
      <c r="C16" s="24" t="n"/>
      <c r="D16" s="41" t="n"/>
      <c r="E16" s="41" t="n"/>
      <c r="F16" s="19">
        <f>IF(COUNTA(A16:E16)=0,"",IF(OR(ISNUMBER(SEARCH("소계",B16)),ISNUMBER(SEARCH("합계",B16))),"",TRIM(IF(B16="","이름 없음 ","")&amp;IF(A16="","받은 가족 없음 ","")&amp;IF(C16="","금액 없음 ",IF(ISNUMBER(C16),IF(C16&lt;1000,"금액 확인 ",""),"금액 확인 "))&amp;IF(AND(B16&lt;&gt;"",COUNTIFS($A$2:$A$1001,A16,$B$2:$B$1001,B16,$C$2:$C$1001,C16)&gt;1),"중복 의심",""))))</f>
        <v/>
      </c>
      <c r="G16" s="25">
        <f>IF(OR(COUNTA(A16:E16)=0,OR(ISNUMBER(SEARCH("소계",B16)),ISNUMBER(SEARCH("합계",B16)))),"",1+COUNTIF($B$1:B15,"*소계*"))</f>
        <v/>
      </c>
      <c r="H16">
        <f>IF(AND(A16&lt;&gt;"",A16=가족별!$B$1,G16&lt;&gt;""),COUNTIFS($A$2:A16,가족별!$B$1,$G$2:G16,"&gt;0"),"")</f>
        <v/>
      </c>
      <c r="I16">
        <f>IF(ISNUMBER(SEARCH("소계",B16)),COUNTIF($B$2:B16,"*소계*"),"")</f>
        <v/>
      </c>
      <c r="J16">
        <f>IF(F16="",0,1)</f>
        <v/>
      </c>
    </row>
    <row r="17">
      <c r="A17" s="41" t="n"/>
      <c r="B17" s="41" t="n"/>
      <c r="C17" s="24" t="n"/>
      <c r="D17" s="41" t="n"/>
      <c r="E17" s="41" t="n"/>
      <c r="F17" s="19">
        <f>IF(COUNTA(A17:E17)=0,"",IF(OR(ISNUMBER(SEARCH("소계",B17)),ISNUMBER(SEARCH("합계",B17))),"",TRIM(IF(B17="","이름 없음 ","")&amp;IF(A17="","받은 가족 없음 ","")&amp;IF(C17="","금액 없음 ",IF(ISNUMBER(C17),IF(C17&lt;1000,"금액 확인 ",""),"금액 확인 "))&amp;IF(AND(B17&lt;&gt;"",COUNTIFS($A$2:$A$1001,A17,$B$2:$B$1001,B17,$C$2:$C$1001,C17)&gt;1),"중복 의심",""))))</f>
        <v/>
      </c>
      <c r="G17" s="25">
        <f>IF(OR(COUNTA(A17:E17)=0,OR(ISNUMBER(SEARCH("소계",B17)),ISNUMBER(SEARCH("합계",B17)))),"",1+COUNTIF($B$1:B16,"*소계*"))</f>
        <v/>
      </c>
      <c r="H17">
        <f>IF(AND(A17&lt;&gt;"",A17=가족별!$B$1,G17&lt;&gt;""),COUNTIFS($A$2:A17,가족별!$B$1,$G$2:G17,"&gt;0"),"")</f>
        <v/>
      </c>
      <c r="I17">
        <f>IF(ISNUMBER(SEARCH("소계",B17)),COUNTIF($B$2:B17,"*소계*"),"")</f>
        <v/>
      </c>
      <c r="J17">
        <f>IF(F17="",0,1)</f>
        <v/>
      </c>
    </row>
    <row r="18">
      <c r="A18" s="41" t="n"/>
      <c r="B18" s="41" t="n"/>
      <c r="C18" s="24" t="n"/>
      <c r="D18" s="41" t="n"/>
      <c r="E18" s="41" t="n"/>
      <c r="F18" s="19">
        <f>IF(COUNTA(A18:E18)=0,"",IF(OR(ISNUMBER(SEARCH("소계",B18)),ISNUMBER(SEARCH("합계",B18))),"",TRIM(IF(B18="","이름 없음 ","")&amp;IF(A18="","받은 가족 없음 ","")&amp;IF(C18="","금액 없음 ",IF(ISNUMBER(C18),IF(C18&lt;1000,"금액 확인 ",""),"금액 확인 "))&amp;IF(AND(B18&lt;&gt;"",COUNTIFS($A$2:$A$1001,A18,$B$2:$B$1001,B18,$C$2:$C$1001,C18)&gt;1),"중복 의심",""))))</f>
        <v/>
      </c>
      <c r="G18" s="25">
        <f>IF(OR(COUNTA(A18:E18)=0,OR(ISNUMBER(SEARCH("소계",B18)),ISNUMBER(SEARCH("합계",B18)))),"",1+COUNTIF($B$1:B17,"*소계*"))</f>
        <v/>
      </c>
      <c r="H18">
        <f>IF(AND(A18&lt;&gt;"",A18=가족별!$B$1,G18&lt;&gt;""),COUNTIFS($A$2:A18,가족별!$B$1,$G$2:G18,"&gt;0"),"")</f>
        <v/>
      </c>
      <c r="I18">
        <f>IF(ISNUMBER(SEARCH("소계",B18)),COUNTIF($B$2:B18,"*소계*"),"")</f>
        <v/>
      </c>
      <c r="J18">
        <f>IF(F18="",0,1)</f>
        <v/>
      </c>
    </row>
    <row r="19">
      <c r="A19" s="41" t="n"/>
      <c r="B19" s="41" t="n"/>
      <c r="C19" s="24" t="n"/>
      <c r="D19" s="41" t="n"/>
      <c r="E19" s="41" t="n"/>
      <c r="F19" s="19">
        <f>IF(COUNTA(A19:E19)=0,"",IF(OR(ISNUMBER(SEARCH("소계",B19)),ISNUMBER(SEARCH("합계",B19))),"",TRIM(IF(B19="","이름 없음 ","")&amp;IF(A19="","받은 가족 없음 ","")&amp;IF(C19="","금액 없음 ",IF(ISNUMBER(C19),IF(C19&lt;1000,"금액 확인 ",""),"금액 확인 "))&amp;IF(AND(B19&lt;&gt;"",COUNTIFS($A$2:$A$1001,A19,$B$2:$B$1001,B19,$C$2:$C$1001,C19)&gt;1),"중복 의심",""))))</f>
        <v/>
      </c>
      <c r="G19" s="25">
        <f>IF(OR(COUNTA(A19:E19)=0,OR(ISNUMBER(SEARCH("소계",B19)),ISNUMBER(SEARCH("합계",B19)))),"",1+COUNTIF($B$1:B18,"*소계*"))</f>
        <v/>
      </c>
      <c r="H19">
        <f>IF(AND(A19&lt;&gt;"",A19=가족별!$B$1,G19&lt;&gt;""),COUNTIFS($A$2:A19,가족별!$B$1,$G$2:G19,"&gt;0"),"")</f>
        <v/>
      </c>
      <c r="I19">
        <f>IF(ISNUMBER(SEARCH("소계",B19)),COUNTIF($B$2:B19,"*소계*"),"")</f>
        <v/>
      </c>
      <c r="J19">
        <f>IF(F19="",0,1)</f>
        <v/>
      </c>
    </row>
    <row r="20">
      <c r="A20" s="41" t="n"/>
      <c r="B20" s="41" t="n"/>
      <c r="C20" s="24" t="n"/>
      <c r="D20" s="41" t="n"/>
      <c r="E20" s="41" t="n"/>
      <c r="F20" s="19">
        <f>IF(COUNTA(A20:E20)=0,"",IF(OR(ISNUMBER(SEARCH("소계",B20)),ISNUMBER(SEARCH("합계",B20))),"",TRIM(IF(B20="","이름 없음 ","")&amp;IF(A20="","받은 가족 없음 ","")&amp;IF(C20="","금액 없음 ",IF(ISNUMBER(C20),IF(C20&lt;1000,"금액 확인 ",""),"금액 확인 "))&amp;IF(AND(B20&lt;&gt;"",COUNTIFS($A$2:$A$1001,A20,$B$2:$B$1001,B20,$C$2:$C$1001,C20)&gt;1),"중복 의심",""))))</f>
        <v/>
      </c>
      <c r="G20" s="25">
        <f>IF(OR(COUNTA(A20:E20)=0,OR(ISNUMBER(SEARCH("소계",B20)),ISNUMBER(SEARCH("합계",B20)))),"",1+COUNTIF($B$1:B19,"*소계*"))</f>
        <v/>
      </c>
      <c r="H20">
        <f>IF(AND(A20&lt;&gt;"",A20=가족별!$B$1,G20&lt;&gt;""),COUNTIFS($A$2:A20,가족별!$B$1,$G$2:G20,"&gt;0"),"")</f>
        <v/>
      </c>
      <c r="I20">
        <f>IF(ISNUMBER(SEARCH("소계",B20)),COUNTIF($B$2:B20,"*소계*"),"")</f>
        <v/>
      </c>
      <c r="J20">
        <f>IF(F20="",0,1)</f>
        <v/>
      </c>
    </row>
    <row r="21">
      <c r="A21" s="41" t="n"/>
      <c r="B21" s="41" t="n"/>
      <c r="C21" s="24" t="n"/>
      <c r="D21" s="41" t="n"/>
      <c r="E21" s="41" t="n"/>
      <c r="F21" s="19">
        <f>IF(COUNTA(A21:E21)=0,"",IF(OR(ISNUMBER(SEARCH("소계",B21)),ISNUMBER(SEARCH("합계",B21))),"",TRIM(IF(B21="","이름 없음 ","")&amp;IF(A21="","받은 가족 없음 ","")&amp;IF(C21="","금액 없음 ",IF(ISNUMBER(C21),IF(C21&lt;1000,"금액 확인 ",""),"금액 확인 "))&amp;IF(AND(B21&lt;&gt;"",COUNTIFS($A$2:$A$1001,A21,$B$2:$B$1001,B21,$C$2:$C$1001,C21)&gt;1),"중복 의심",""))))</f>
        <v/>
      </c>
      <c r="G21" s="25">
        <f>IF(OR(COUNTA(A21:E21)=0,OR(ISNUMBER(SEARCH("소계",B21)),ISNUMBER(SEARCH("합계",B21)))),"",1+COUNTIF($B$1:B20,"*소계*"))</f>
        <v/>
      </c>
      <c r="H21">
        <f>IF(AND(A21&lt;&gt;"",A21=가족별!$B$1,G21&lt;&gt;""),COUNTIFS($A$2:A21,가족별!$B$1,$G$2:G21,"&gt;0"),"")</f>
        <v/>
      </c>
      <c r="I21">
        <f>IF(ISNUMBER(SEARCH("소계",B21)),COUNTIF($B$2:B21,"*소계*"),"")</f>
        <v/>
      </c>
      <c r="J21">
        <f>IF(F21="",0,1)</f>
        <v/>
      </c>
    </row>
    <row r="22">
      <c r="A22" s="41" t="n"/>
      <c r="B22" s="41" t="n"/>
      <c r="C22" s="24" t="n"/>
      <c r="D22" s="41" t="n"/>
      <c r="E22" s="41" t="n"/>
      <c r="F22" s="19">
        <f>IF(COUNTA(A22:E22)=0,"",IF(OR(ISNUMBER(SEARCH("소계",B22)),ISNUMBER(SEARCH("합계",B22))),"",TRIM(IF(B22="","이름 없음 ","")&amp;IF(A22="","받은 가족 없음 ","")&amp;IF(C22="","금액 없음 ",IF(ISNUMBER(C22),IF(C22&lt;1000,"금액 확인 ",""),"금액 확인 "))&amp;IF(AND(B22&lt;&gt;"",COUNTIFS($A$2:$A$1001,A22,$B$2:$B$1001,B22,$C$2:$C$1001,C22)&gt;1),"중복 의심",""))))</f>
        <v/>
      </c>
      <c r="G22" s="25">
        <f>IF(OR(COUNTA(A22:E22)=0,OR(ISNUMBER(SEARCH("소계",B22)),ISNUMBER(SEARCH("합계",B22)))),"",1+COUNTIF($B$1:B21,"*소계*"))</f>
        <v/>
      </c>
      <c r="H22">
        <f>IF(AND(A22&lt;&gt;"",A22=가족별!$B$1,G22&lt;&gt;""),COUNTIFS($A$2:A22,가족별!$B$1,$G$2:G22,"&gt;0"),"")</f>
        <v/>
      </c>
      <c r="I22">
        <f>IF(ISNUMBER(SEARCH("소계",B22)),COUNTIF($B$2:B22,"*소계*"),"")</f>
        <v/>
      </c>
      <c r="J22">
        <f>IF(F22="",0,1)</f>
        <v/>
      </c>
    </row>
    <row r="23">
      <c r="A23" s="41" t="n"/>
      <c r="B23" s="41" t="n"/>
      <c r="C23" s="24" t="n"/>
      <c r="D23" s="41" t="n"/>
      <c r="E23" s="41" t="n"/>
      <c r="F23" s="19">
        <f>IF(COUNTA(A23:E23)=0,"",IF(OR(ISNUMBER(SEARCH("소계",B23)),ISNUMBER(SEARCH("합계",B23))),"",TRIM(IF(B23="","이름 없음 ","")&amp;IF(A23="","받은 가족 없음 ","")&amp;IF(C23="","금액 없음 ",IF(ISNUMBER(C23),IF(C23&lt;1000,"금액 확인 ",""),"금액 확인 "))&amp;IF(AND(B23&lt;&gt;"",COUNTIFS($A$2:$A$1001,A23,$B$2:$B$1001,B23,$C$2:$C$1001,C23)&gt;1),"중복 의심",""))))</f>
        <v/>
      </c>
      <c r="G23" s="25">
        <f>IF(OR(COUNTA(A23:E23)=0,OR(ISNUMBER(SEARCH("소계",B23)),ISNUMBER(SEARCH("합계",B23)))),"",1+COUNTIF($B$1:B22,"*소계*"))</f>
        <v/>
      </c>
      <c r="H23">
        <f>IF(AND(A23&lt;&gt;"",A23=가족별!$B$1,G23&lt;&gt;""),COUNTIFS($A$2:A23,가족별!$B$1,$G$2:G23,"&gt;0"),"")</f>
        <v/>
      </c>
      <c r="I23">
        <f>IF(ISNUMBER(SEARCH("소계",B23)),COUNTIF($B$2:B23,"*소계*"),"")</f>
        <v/>
      </c>
      <c r="J23">
        <f>IF(F23="",0,1)</f>
        <v/>
      </c>
    </row>
    <row r="24">
      <c r="A24" s="41" t="n"/>
      <c r="B24" s="41" t="n"/>
      <c r="C24" s="24" t="n"/>
      <c r="D24" s="41" t="n"/>
      <c r="E24" s="41" t="n"/>
      <c r="F24" s="19">
        <f>IF(COUNTA(A24:E24)=0,"",IF(OR(ISNUMBER(SEARCH("소계",B24)),ISNUMBER(SEARCH("합계",B24))),"",TRIM(IF(B24="","이름 없음 ","")&amp;IF(A24="","받은 가족 없음 ","")&amp;IF(C24="","금액 없음 ",IF(ISNUMBER(C24),IF(C24&lt;1000,"금액 확인 ",""),"금액 확인 "))&amp;IF(AND(B24&lt;&gt;"",COUNTIFS($A$2:$A$1001,A24,$B$2:$B$1001,B24,$C$2:$C$1001,C24)&gt;1),"중복 의심",""))))</f>
        <v/>
      </c>
      <c r="G24" s="25">
        <f>IF(OR(COUNTA(A24:E24)=0,OR(ISNUMBER(SEARCH("소계",B24)),ISNUMBER(SEARCH("합계",B24)))),"",1+COUNTIF($B$1:B23,"*소계*"))</f>
        <v/>
      </c>
      <c r="H24">
        <f>IF(AND(A24&lt;&gt;"",A24=가족별!$B$1,G24&lt;&gt;""),COUNTIFS($A$2:A24,가족별!$B$1,$G$2:G24,"&gt;0"),"")</f>
        <v/>
      </c>
      <c r="I24">
        <f>IF(ISNUMBER(SEARCH("소계",B24)),COUNTIF($B$2:B24,"*소계*"),"")</f>
        <v/>
      </c>
      <c r="J24">
        <f>IF(F24="",0,1)</f>
        <v/>
      </c>
    </row>
    <row r="25">
      <c r="A25" s="41" t="n"/>
      <c r="B25" s="41" t="n"/>
      <c r="C25" s="24" t="n"/>
      <c r="D25" s="41" t="n"/>
      <c r="E25" s="41" t="n"/>
      <c r="F25" s="19">
        <f>IF(COUNTA(A25:E25)=0,"",IF(OR(ISNUMBER(SEARCH("소계",B25)),ISNUMBER(SEARCH("합계",B25))),"",TRIM(IF(B25="","이름 없음 ","")&amp;IF(A25="","받은 가족 없음 ","")&amp;IF(C25="","금액 없음 ",IF(ISNUMBER(C25),IF(C25&lt;1000,"금액 확인 ",""),"금액 확인 "))&amp;IF(AND(B25&lt;&gt;"",COUNTIFS($A$2:$A$1001,A25,$B$2:$B$1001,B25,$C$2:$C$1001,C25)&gt;1),"중복 의심",""))))</f>
        <v/>
      </c>
      <c r="G25" s="25">
        <f>IF(OR(COUNTA(A25:E25)=0,OR(ISNUMBER(SEARCH("소계",B25)),ISNUMBER(SEARCH("합계",B25)))),"",1+COUNTIF($B$1:B24,"*소계*"))</f>
        <v/>
      </c>
      <c r="H25">
        <f>IF(AND(A25&lt;&gt;"",A25=가족별!$B$1,G25&lt;&gt;""),COUNTIFS($A$2:A25,가족별!$B$1,$G$2:G25,"&gt;0"),"")</f>
        <v/>
      </c>
      <c r="I25">
        <f>IF(ISNUMBER(SEARCH("소계",B25)),COUNTIF($B$2:B25,"*소계*"),"")</f>
        <v/>
      </c>
      <c r="J25">
        <f>IF(F25="",0,1)</f>
        <v/>
      </c>
    </row>
    <row r="26">
      <c r="A26" s="41" t="n"/>
      <c r="B26" s="41" t="n"/>
      <c r="C26" s="24" t="n"/>
      <c r="D26" s="41" t="n"/>
      <c r="E26" s="41" t="n"/>
      <c r="F26" s="19">
        <f>IF(COUNTA(A26:E26)=0,"",IF(OR(ISNUMBER(SEARCH("소계",B26)),ISNUMBER(SEARCH("합계",B26))),"",TRIM(IF(B26="","이름 없음 ","")&amp;IF(A26="","받은 가족 없음 ","")&amp;IF(C26="","금액 없음 ",IF(ISNUMBER(C26),IF(C26&lt;1000,"금액 확인 ",""),"금액 확인 "))&amp;IF(AND(B26&lt;&gt;"",COUNTIFS($A$2:$A$1001,A26,$B$2:$B$1001,B26,$C$2:$C$1001,C26)&gt;1),"중복 의심",""))))</f>
        <v/>
      </c>
      <c r="G26" s="25">
        <f>IF(OR(COUNTA(A26:E26)=0,OR(ISNUMBER(SEARCH("소계",B26)),ISNUMBER(SEARCH("합계",B26)))),"",1+COUNTIF($B$1:B25,"*소계*"))</f>
        <v/>
      </c>
      <c r="H26">
        <f>IF(AND(A26&lt;&gt;"",A26=가족별!$B$1,G26&lt;&gt;""),COUNTIFS($A$2:A26,가족별!$B$1,$G$2:G26,"&gt;0"),"")</f>
        <v/>
      </c>
      <c r="I26">
        <f>IF(ISNUMBER(SEARCH("소계",B26)),COUNTIF($B$2:B26,"*소계*"),"")</f>
        <v/>
      </c>
      <c r="J26">
        <f>IF(F26="",0,1)</f>
        <v/>
      </c>
    </row>
    <row r="27">
      <c r="A27" s="41" t="n"/>
      <c r="B27" s="41" t="n"/>
      <c r="C27" s="24" t="n"/>
      <c r="D27" s="41" t="n"/>
      <c r="E27" s="41" t="n"/>
      <c r="F27" s="19">
        <f>IF(COUNTA(A27:E27)=0,"",IF(OR(ISNUMBER(SEARCH("소계",B27)),ISNUMBER(SEARCH("합계",B27))),"",TRIM(IF(B27="","이름 없음 ","")&amp;IF(A27="","받은 가족 없음 ","")&amp;IF(C27="","금액 없음 ",IF(ISNUMBER(C27),IF(C27&lt;1000,"금액 확인 ",""),"금액 확인 "))&amp;IF(AND(B27&lt;&gt;"",COUNTIFS($A$2:$A$1001,A27,$B$2:$B$1001,B27,$C$2:$C$1001,C27)&gt;1),"중복 의심",""))))</f>
        <v/>
      </c>
      <c r="G27" s="25">
        <f>IF(OR(COUNTA(A27:E27)=0,OR(ISNUMBER(SEARCH("소계",B27)),ISNUMBER(SEARCH("합계",B27)))),"",1+COUNTIF($B$1:B26,"*소계*"))</f>
        <v/>
      </c>
      <c r="H27">
        <f>IF(AND(A27&lt;&gt;"",A27=가족별!$B$1,G27&lt;&gt;""),COUNTIFS($A$2:A27,가족별!$B$1,$G$2:G27,"&gt;0"),"")</f>
        <v/>
      </c>
      <c r="I27">
        <f>IF(ISNUMBER(SEARCH("소계",B27)),COUNTIF($B$2:B27,"*소계*"),"")</f>
        <v/>
      </c>
      <c r="J27">
        <f>IF(F27="",0,1)</f>
        <v/>
      </c>
    </row>
    <row r="28">
      <c r="A28" s="41" t="n"/>
      <c r="B28" s="41" t="n"/>
      <c r="C28" s="24" t="n"/>
      <c r="D28" s="41" t="n"/>
      <c r="E28" s="41" t="n"/>
      <c r="F28" s="19">
        <f>IF(COUNTA(A28:E28)=0,"",IF(OR(ISNUMBER(SEARCH("소계",B28)),ISNUMBER(SEARCH("합계",B28))),"",TRIM(IF(B28="","이름 없음 ","")&amp;IF(A28="","받은 가족 없음 ","")&amp;IF(C28="","금액 없음 ",IF(ISNUMBER(C28),IF(C28&lt;1000,"금액 확인 ",""),"금액 확인 "))&amp;IF(AND(B28&lt;&gt;"",COUNTIFS($A$2:$A$1001,A28,$B$2:$B$1001,B28,$C$2:$C$1001,C28)&gt;1),"중복 의심",""))))</f>
        <v/>
      </c>
      <c r="G28" s="25">
        <f>IF(OR(COUNTA(A28:E28)=0,OR(ISNUMBER(SEARCH("소계",B28)),ISNUMBER(SEARCH("합계",B28)))),"",1+COUNTIF($B$1:B27,"*소계*"))</f>
        <v/>
      </c>
      <c r="H28">
        <f>IF(AND(A28&lt;&gt;"",A28=가족별!$B$1,G28&lt;&gt;""),COUNTIFS($A$2:A28,가족별!$B$1,$G$2:G28,"&gt;0"),"")</f>
        <v/>
      </c>
      <c r="I28">
        <f>IF(ISNUMBER(SEARCH("소계",B28)),COUNTIF($B$2:B28,"*소계*"),"")</f>
        <v/>
      </c>
      <c r="J28">
        <f>IF(F28="",0,1)</f>
        <v/>
      </c>
    </row>
    <row r="29">
      <c r="A29" s="41" t="n"/>
      <c r="B29" s="41" t="n"/>
      <c r="C29" s="24" t="n"/>
      <c r="D29" s="41" t="n"/>
      <c r="E29" s="41" t="n"/>
      <c r="F29" s="19">
        <f>IF(COUNTA(A29:E29)=0,"",IF(OR(ISNUMBER(SEARCH("소계",B29)),ISNUMBER(SEARCH("합계",B29))),"",TRIM(IF(B29="","이름 없음 ","")&amp;IF(A29="","받은 가족 없음 ","")&amp;IF(C29="","금액 없음 ",IF(ISNUMBER(C29),IF(C29&lt;1000,"금액 확인 ",""),"금액 확인 "))&amp;IF(AND(B29&lt;&gt;"",COUNTIFS($A$2:$A$1001,A29,$B$2:$B$1001,B29,$C$2:$C$1001,C29)&gt;1),"중복 의심",""))))</f>
        <v/>
      </c>
      <c r="G29" s="25">
        <f>IF(OR(COUNTA(A29:E29)=0,OR(ISNUMBER(SEARCH("소계",B29)),ISNUMBER(SEARCH("합계",B29)))),"",1+COUNTIF($B$1:B28,"*소계*"))</f>
        <v/>
      </c>
      <c r="H29">
        <f>IF(AND(A29&lt;&gt;"",A29=가족별!$B$1,G29&lt;&gt;""),COUNTIFS($A$2:A29,가족별!$B$1,$G$2:G29,"&gt;0"),"")</f>
        <v/>
      </c>
      <c r="I29">
        <f>IF(ISNUMBER(SEARCH("소계",B29)),COUNTIF($B$2:B29,"*소계*"),"")</f>
        <v/>
      </c>
      <c r="J29">
        <f>IF(F29="",0,1)</f>
        <v/>
      </c>
    </row>
    <row r="30">
      <c r="A30" s="41" t="n"/>
      <c r="B30" s="41" t="n"/>
      <c r="C30" s="24" t="n"/>
      <c r="D30" s="41" t="n"/>
      <c r="E30" s="41" t="n"/>
      <c r="F30" s="19">
        <f>IF(COUNTA(A30:E30)=0,"",IF(OR(ISNUMBER(SEARCH("소계",B30)),ISNUMBER(SEARCH("합계",B30))),"",TRIM(IF(B30="","이름 없음 ","")&amp;IF(A30="","받은 가족 없음 ","")&amp;IF(C30="","금액 없음 ",IF(ISNUMBER(C30),IF(C30&lt;1000,"금액 확인 ",""),"금액 확인 "))&amp;IF(AND(B30&lt;&gt;"",COUNTIFS($A$2:$A$1001,A30,$B$2:$B$1001,B30,$C$2:$C$1001,C30)&gt;1),"중복 의심",""))))</f>
        <v/>
      </c>
      <c r="G30" s="25">
        <f>IF(OR(COUNTA(A30:E30)=0,OR(ISNUMBER(SEARCH("소계",B30)),ISNUMBER(SEARCH("합계",B30)))),"",1+COUNTIF($B$1:B29,"*소계*"))</f>
        <v/>
      </c>
      <c r="H30">
        <f>IF(AND(A30&lt;&gt;"",A30=가족별!$B$1,G30&lt;&gt;""),COUNTIFS($A$2:A30,가족별!$B$1,$G$2:G30,"&gt;0"),"")</f>
        <v/>
      </c>
      <c r="I30">
        <f>IF(ISNUMBER(SEARCH("소계",B30)),COUNTIF($B$2:B30,"*소계*"),"")</f>
        <v/>
      </c>
      <c r="J30">
        <f>IF(F30="",0,1)</f>
        <v/>
      </c>
    </row>
    <row r="31">
      <c r="A31" s="41" t="n"/>
      <c r="B31" s="41" t="n"/>
      <c r="C31" s="24" t="n"/>
      <c r="D31" s="41" t="n"/>
      <c r="E31" s="41" t="n"/>
      <c r="F31" s="19">
        <f>IF(COUNTA(A31:E31)=0,"",IF(OR(ISNUMBER(SEARCH("소계",B31)),ISNUMBER(SEARCH("합계",B31))),"",TRIM(IF(B31="","이름 없음 ","")&amp;IF(A31="","받은 가족 없음 ","")&amp;IF(C31="","금액 없음 ",IF(ISNUMBER(C31),IF(C31&lt;1000,"금액 확인 ",""),"금액 확인 "))&amp;IF(AND(B31&lt;&gt;"",COUNTIFS($A$2:$A$1001,A31,$B$2:$B$1001,B31,$C$2:$C$1001,C31)&gt;1),"중복 의심",""))))</f>
        <v/>
      </c>
      <c r="G31" s="25">
        <f>IF(OR(COUNTA(A31:E31)=0,OR(ISNUMBER(SEARCH("소계",B31)),ISNUMBER(SEARCH("합계",B31)))),"",1+COUNTIF($B$1:B30,"*소계*"))</f>
        <v/>
      </c>
      <c r="H31">
        <f>IF(AND(A31&lt;&gt;"",A31=가족별!$B$1,G31&lt;&gt;""),COUNTIFS($A$2:A31,가족별!$B$1,$G$2:G31,"&gt;0"),"")</f>
        <v/>
      </c>
      <c r="I31">
        <f>IF(ISNUMBER(SEARCH("소계",B31)),COUNTIF($B$2:B31,"*소계*"),"")</f>
        <v/>
      </c>
      <c r="J31">
        <f>IF(F31="",0,1)</f>
        <v/>
      </c>
    </row>
    <row r="32">
      <c r="A32" s="41" t="n"/>
      <c r="B32" s="41" t="n"/>
      <c r="C32" s="24" t="n"/>
      <c r="D32" s="41" t="n"/>
      <c r="E32" s="41" t="n"/>
      <c r="F32" s="19">
        <f>IF(COUNTA(A32:E32)=0,"",IF(OR(ISNUMBER(SEARCH("소계",B32)),ISNUMBER(SEARCH("합계",B32))),"",TRIM(IF(B32="","이름 없음 ","")&amp;IF(A32="","받은 가족 없음 ","")&amp;IF(C32="","금액 없음 ",IF(ISNUMBER(C32),IF(C32&lt;1000,"금액 확인 ",""),"금액 확인 "))&amp;IF(AND(B32&lt;&gt;"",COUNTIFS($A$2:$A$1001,A32,$B$2:$B$1001,B32,$C$2:$C$1001,C32)&gt;1),"중복 의심",""))))</f>
        <v/>
      </c>
      <c r="G32" s="25">
        <f>IF(OR(COUNTA(A32:E32)=0,OR(ISNUMBER(SEARCH("소계",B32)),ISNUMBER(SEARCH("합계",B32)))),"",1+COUNTIF($B$1:B31,"*소계*"))</f>
        <v/>
      </c>
      <c r="H32">
        <f>IF(AND(A32&lt;&gt;"",A32=가족별!$B$1,G32&lt;&gt;""),COUNTIFS($A$2:A32,가족별!$B$1,$G$2:G32,"&gt;0"),"")</f>
        <v/>
      </c>
      <c r="I32">
        <f>IF(ISNUMBER(SEARCH("소계",B32)),COUNTIF($B$2:B32,"*소계*"),"")</f>
        <v/>
      </c>
      <c r="J32">
        <f>IF(F32="",0,1)</f>
        <v/>
      </c>
    </row>
    <row r="33">
      <c r="A33" s="41" t="n"/>
      <c r="B33" s="41" t="n"/>
      <c r="C33" s="24" t="n"/>
      <c r="D33" s="41" t="n"/>
      <c r="E33" s="41" t="n"/>
      <c r="F33" s="19">
        <f>IF(COUNTA(A33:E33)=0,"",IF(OR(ISNUMBER(SEARCH("소계",B33)),ISNUMBER(SEARCH("합계",B33))),"",TRIM(IF(B33="","이름 없음 ","")&amp;IF(A33="","받은 가족 없음 ","")&amp;IF(C33="","금액 없음 ",IF(ISNUMBER(C33),IF(C33&lt;1000,"금액 확인 ",""),"금액 확인 "))&amp;IF(AND(B33&lt;&gt;"",COUNTIFS($A$2:$A$1001,A33,$B$2:$B$1001,B33,$C$2:$C$1001,C33)&gt;1),"중복 의심",""))))</f>
        <v/>
      </c>
      <c r="G33" s="25">
        <f>IF(OR(COUNTA(A33:E33)=0,OR(ISNUMBER(SEARCH("소계",B33)),ISNUMBER(SEARCH("합계",B33)))),"",1+COUNTIF($B$1:B32,"*소계*"))</f>
        <v/>
      </c>
      <c r="H33">
        <f>IF(AND(A33&lt;&gt;"",A33=가족별!$B$1,G33&lt;&gt;""),COUNTIFS($A$2:A33,가족별!$B$1,$G$2:G33,"&gt;0"),"")</f>
        <v/>
      </c>
      <c r="I33">
        <f>IF(ISNUMBER(SEARCH("소계",B33)),COUNTIF($B$2:B33,"*소계*"),"")</f>
        <v/>
      </c>
      <c r="J33">
        <f>IF(F33="",0,1)</f>
        <v/>
      </c>
    </row>
    <row r="34">
      <c r="A34" s="41" t="n"/>
      <c r="B34" s="41" t="n"/>
      <c r="C34" s="24" t="n"/>
      <c r="D34" s="41" t="n"/>
      <c r="E34" s="41" t="n"/>
      <c r="F34" s="19">
        <f>IF(COUNTA(A34:E34)=0,"",IF(OR(ISNUMBER(SEARCH("소계",B34)),ISNUMBER(SEARCH("합계",B34))),"",TRIM(IF(B34="","이름 없음 ","")&amp;IF(A34="","받은 가족 없음 ","")&amp;IF(C34="","금액 없음 ",IF(ISNUMBER(C34),IF(C34&lt;1000,"금액 확인 ",""),"금액 확인 "))&amp;IF(AND(B34&lt;&gt;"",COUNTIFS($A$2:$A$1001,A34,$B$2:$B$1001,B34,$C$2:$C$1001,C34)&gt;1),"중복 의심",""))))</f>
        <v/>
      </c>
      <c r="G34" s="25">
        <f>IF(OR(COUNTA(A34:E34)=0,OR(ISNUMBER(SEARCH("소계",B34)),ISNUMBER(SEARCH("합계",B34)))),"",1+COUNTIF($B$1:B33,"*소계*"))</f>
        <v/>
      </c>
      <c r="H34">
        <f>IF(AND(A34&lt;&gt;"",A34=가족별!$B$1,G34&lt;&gt;""),COUNTIFS($A$2:A34,가족별!$B$1,$G$2:G34,"&gt;0"),"")</f>
        <v/>
      </c>
      <c r="I34">
        <f>IF(ISNUMBER(SEARCH("소계",B34)),COUNTIF($B$2:B34,"*소계*"),"")</f>
        <v/>
      </c>
      <c r="J34">
        <f>IF(F34="",0,1)</f>
        <v/>
      </c>
    </row>
    <row r="35">
      <c r="A35" s="41" t="n"/>
      <c r="B35" s="41" t="n"/>
      <c r="C35" s="24" t="n"/>
      <c r="D35" s="41" t="n"/>
      <c r="E35" s="41" t="n"/>
      <c r="F35" s="19">
        <f>IF(COUNTA(A35:E35)=0,"",IF(OR(ISNUMBER(SEARCH("소계",B35)),ISNUMBER(SEARCH("합계",B35))),"",TRIM(IF(B35="","이름 없음 ","")&amp;IF(A35="","받은 가족 없음 ","")&amp;IF(C35="","금액 없음 ",IF(ISNUMBER(C35),IF(C35&lt;1000,"금액 확인 ",""),"금액 확인 "))&amp;IF(AND(B35&lt;&gt;"",COUNTIFS($A$2:$A$1001,A35,$B$2:$B$1001,B35,$C$2:$C$1001,C35)&gt;1),"중복 의심",""))))</f>
        <v/>
      </c>
      <c r="G35" s="25">
        <f>IF(OR(COUNTA(A35:E35)=0,OR(ISNUMBER(SEARCH("소계",B35)),ISNUMBER(SEARCH("합계",B35)))),"",1+COUNTIF($B$1:B34,"*소계*"))</f>
        <v/>
      </c>
      <c r="H35">
        <f>IF(AND(A35&lt;&gt;"",A35=가족별!$B$1,G35&lt;&gt;""),COUNTIFS($A$2:A35,가족별!$B$1,$G$2:G35,"&gt;0"),"")</f>
        <v/>
      </c>
      <c r="I35">
        <f>IF(ISNUMBER(SEARCH("소계",B35)),COUNTIF($B$2:B35,"*소계*"),"")</f>
        <v/>
      </c>
      <c r="J35">
        <f>IF(F35="",0,1)</f>
        <v/>
      </c>
    </row>
    <row r="36">
      <c r="A36" s="41" t="n"/>
      <c r="B36" s="41" t="n"/>
      <c r="C36" s="24" t="n"/>
      <c r="D36" s="41" t="n"/>
      <c r="E36" s="41" t="n"/>
      <c r="F36" s="19">
        <f>IF(COUNTA(A36:E36)=0,"",IF(OR(ISNUMBER(SEARCH("소계",B36)),ISNUMBER(SEARCH("합계",B36))),"",TRIM(IF(B36="","이름 없음 ","")&amp;IF(A36="","받은 가족 없음 ","")&amp;IF(C36="","금액 없음 ",IF(ISNUMBER(C36),IF(C36&lt;1000,"금액 확인 ",""),"금액 확인 "))&amp;IF(AND(B36&lt;&gt;"",COUNTIFS($A$2:$A$1001,A36,$B$2:$B$1001,B36,$C$2:$C$1001,C36)&gt;1),"중복 의심",""))))</f>
        <v/>
      </c>
      <c r="G36" s="25">
        <f>IF(OR(COUNTA(A36:E36)=0,OR(ISNUMBER(SEARCH("소계",B36)),ISNUMBER(SEARCH("합계",B36)))),"",1+COUNTIF($B$1:B35,"*소계*"))</f>
        <v/>
      </c>
      <c r="H36">
        <f>IF(AND(A36&lt;&gt;"",A36=가족별!$B$1,G36&lt;&gt;""),COUNTIFS($A$2:A36,가족별!$B$1,$G$2:G36,"&gt;0"),"")</f>
        <v/>
      </c>
      <c r="I36">
        <f>IF(ISNUMBER(SEARCH("소계",B36)),COUNTIF($B$2:B36,"*소계*"),"")</f>
        <v/>
      </c>
      <c r="J36">
        <f>IF(F36="",0,1)</f>
        <v/>
      </c>
    </row>
    <row r="37">
      <c r="A37" s="41" t="n"/>
      <c r="B37" s="41" t="n"/>
      <c r="C37" s="24" t="n"/>
      <c r="D37" s="41" t="n"/>
      <c r="E37" s="41" t="n"/>
      <c r="F37" s="19">
        <f>IF(COUNTA(A37:E37)=0,"",IF(OR(ISNUMBER(SEARCH("소계",B37)),ISNUMBER(SEARCH("합계",B37))),"",TRIM(IF(B37="","이름 없음 ","")&amp;IF(A37="","받은 가족 없음 ","")&amp;IF(C37="","금액 없음 ",IF(ISNUMBER(C37),IF(C37&lt;1000,"금액 확인 ",""),"금액 확인 "))&amp;IF(AND(B37&lt;&gt;"",COUNTIFS($A$2:$A$1001,A37,$B$2:$B$1001,B37,$C$2:$C$1001,C37)&gt;1),"중복 의심",""))))</f>
        <v/>
      </c>
      <c r="G37" s="25">
        <f>IF(OR(COUNTA(A37:E37)=0,OR(ISNUMBER(SEARCH("소계",B37)),ISNUMBER(SEARCH("합계",B37)))),"",1+COUNTIF($B$1:B36,"*소계*"))</f>
        <v/>
      </c>
      <c r="H37">
        <f>IF(AND(A37&lt;&gt;"",A37=가족별!$B$1,G37&lt;&gt;""),COUNTIFS($A$2:A37,가족별!$B$1,$G$2:G37,"&gt;0"),"")</f>
        <v/>
      </c>
      <c r="I37">
        <f>IF(ISNUMBER(SEARCH("소계",B37)),COUNTIF($B$2:B37,"*소계*"),"")</f>
        <v/>
      </c>
      <c r="J37">
        <f>IF(F37="",0,1)</f>
        <v/>
      </c>
    </row>
    <row r="38">
      <c r="A38" s="41" t="n"/>
      <c r="B38" s="41" t="n"/>
      <c r="C38" s="24" t="n"/>
      <c r="D38" s="41" t="n"/>
      <c r="E38" s="41" t="n"/>
      <c r="F38" s="19">
        <f>IF(COUNTA(A38:E38)=0,"",IF(OR(ISNUMBER(SEARCH("소계",B38)),ISNUMBER(SEARCH("합계",B38))),"",TRIM(IF(B38="","이름 없음 ","")&amp;IF(A38="","받은 가족 없음 ","")&amp;IF(C38="","금액 없음 ",IF(ISNUMBER(C38),IF(C38&lt;1000,"금액 확인 ",""),"금액 확인 "))&amp;IF(AND(B38&lt;&gt;"",COUNTIFS($A$2:$A$1001,A38,$B$2:$B$1001,B38,$C$2:$C$1001,C38)&gt;1),"중복 의심",""))))</f>
        <v/>
      </c>
      <c r="G38" s="25">
        <f>IF(OR(COUNTA(A38:E38)=0,OR(ISNUMBER(SEARCH("소계",B38)),ISNUMBER(SEARCH("합계",B38)))),"",1+COUNTIF($B$1:B37,"*소계*"))</f>
        <v/>
      </c>
      <c r="H38">
        <f>IF(AND(A38&lt;&gt;"",A38=가족별!$B$1,G38&lt;&gt;""),COUNTIFS($A$2:A38,가족별!$B$1,$G$2:G38,"&gt;0"),"")</f>
        <v/>
      </c>
      <c r="I38">
        <f>IF(ISNUMBER(SEARCH("소계",B38)),COUNTIF($B$2:B38,"*소계*"),"")</f>
        <v/>
      </c>
      <c r="J38">
        <f>IF(F38="",0,1)</f>
        <v/>
      </c>
    </row>
    <row r="39">
      <c r="A39" s="41" t="n"/>
      <c r="B39" s="41" t="n"/>
      <c r="C39" s="24" t="n"/>
      <c r="D39" s="41" t="n"/>
      <c r="E39" s="41" t="n"/>
      <c r="F39" s="19">
        <f>IF(COUNTA(A39:E39)=0,"",IF(OR(ISNUMBER(SEARCH("소계",B39)),ISNUMBER(SEARCH("합계",B39))),"",TRIM(IF(B39="","이름 없음 ","")&amp;IF(A39="","받은 가족 없음 ","")&amp;IF(C39="","금액 없음 ",IF(ISNUMBER(C39),IF(C39&lt;1000,"금액 확인 ",""),"금액 확인 "))&amp;IF(AND(B39&lt;&gt;"",COUNTIFS($A$2:$A$1001,A39,$B$2:$B$1001,B39,$C$2:$C$1001,C39)&gt;1),"중복 의심",""))))</f>
        <v/>
      </c>
      <c r="G39" s="25">
        <f>IF(OR(COUNTA(A39:E39)=0,OR(ISNUMBER(SEARCH("소계",B39)),ISNUMBER(SEARCH("합계",B39)))),"",1+COUNTIF($B$1:B38,"*소계*"))</f>
        <v/>
      </c>
      <c r="H39">
        <f>IF(AND(A39&lt;&gt;"",A39=가족별!$B$1,G39&lt;&gt;""),COUNTIFS($A$2:A39,가족별!$B$1,$G$2:G39,"&gt;0"),"")</f>
        <v/>
      </c>
      <c r="I39">
        <f>IF(ISNUMBER(SEARCH("소계",B39)),COUNTIF($B$2:B39,"*소계*"),"")</f>
        <v/>
      </c>
      <c r="J39">
        <f>IF(F39="",0,1)</f>
        <v/>
      </c>
    </row>
    <row r="40">
      <c r="A40" s="41" t="n"/>
      <c r="B40" s="41" t="n"/>
      <c r="C40" s="24" t="n"/>
      <c r="D40" s="41" t="n"/>
      <c r="E40" s="41" t="n"/>
      <c r="F40" s="19">
        <f>IF(COUNTA(A40:E40)=0,"",IF(OR(ISNUMBER(SEARCH("소계",B40)),ISNUMBER(SEARCH("합계",B40))),"",TRIM(IF(B40="","이름 없음 ","")&amp;IF(A40="","받은 가족 없음 ","")&amp;IF(C40="","금액 없음 ",IF(ISNUMBER(C40),IF(C40&lt;1000,"금액 확인 ",""),"금액 확인 "))&amp;IF(AND(B40&lt;&gt;"",COUNTIFS($A$2:$A$1001,A40,$B$2:$B$1001,B40,$C$2:$C$1001,C40)&gt;1),"중복 의심",""))))</f>
        <v/>
      </c>
      <c r="G40" s="25">
        <f>IF(OR(COUNTA(A40:E40)=0,OR(ISNUMBER(SEARCH("소계",B40)),ISNUMBER(SEARCH("합계",B40)))),"",1+COUNTIF($B$1:B39,"*소계*"))</f>
        <v/>
      </c>
      <c r="H40">
        <f>IF(AND(A40&lt;&gt;"",A40=가족별!$B$1,G40&lt;&gt;""),COUNTIFS($A$2:A40,가족별!$B$1,$G$2:G40,"&gt;0"),"")</f>
        <v/>
      </c>
      <c r="I40">
        <f>IF(ISNUMBER(SEARCH("소계",B40)),COUNTIF($B$2:B40,"*소계*"),"")</f>
        <v/>
      </c>
      <c r="J40">
        <f>IF(F40="",0,1)</f>
        <v/>
      </c>
    </row>
    <row r="41">
      <c r="A41" s="41" t="n"/>
      <c r="B41" s="41" t="n"/>
      <c r="C41" s="24" t="n"/>
      <c r="D41" s="41" t="n"/>
      <c r="E41" s="41" t="n"/>
      <c r="F41" s="19">
        <f>IF(COUNTA(A41:E41)=0,"",IF(OR(ISNUMBER(SEARCH("소계",B41)),ISNUMBER(SEARCH("합계",B41))),"",TRIM(IF(B41="","이름 없음 ","")&amp;IF(A41="","받은 가족 없음 ","")&amp;IF(C41="","금액 없음 ",IF(ISNUMBER(C41),IF(C41&lt;1000,"금액 확인 ",""),"금액 확인 "))&amp;IF(AND(B41&lt;&gt;"",COUNTIFS($A$2:$A$1001,A41,$B$2:$B$1001,B41,$C$2:$C$1001,C41)&gt;1),"중복 의심",""))))</f>
        <v/>
      </c>
      <c r="G41" s="25">
        <f>IF(OR(COUNTA(A41:E41)=0,OR(ISNUMBER(SEARCH("소계",B41)),ISNUMBER(SEARCH("합계",B41)))),"",1+COUNTIF($B$1:B40,"*소계*"))</f>
        <v/>
      </c>
      <c r="H41">
        <f>IF(AND(A41&lt;&gt;"",A41=가족별!$B$1,G41&lt;&gt;""),COUNTIFS($A$2:A41,가족별!$B$1,$G$2:G41,"&gt;0"),"")</f>
        <v/>
      </c>
      <c r="I41">
        <f>IF(ISNUMBER(SEARCH("소계",B41)),COUNTIF($B$2:B41,"*소계*"),"")</f>
        <v/>
      </c>
      <c r="J41">
        <f>IF(F41="",0,1)</f>
        <v/>
      </c>
    </row>
    <row r="42">
      <c r="A42" s="41" t="n"/>
      <c r="B42" s="41" t="n"/>
      <c r="C42" s="24" t="n"/>
      <c r="D42" s="41" t="n"/>
      <c r="E42" s="41" t="n"/>
      <c r="F42" s="19">
        <f>IF(COUNTA(A42:E42)=0,"",IF(OR(ISNUMBER(SEARCH("소계",B42)),ISNUMBER(SEARCH("합계",B42))),"",TRIM(IF(B42="","이름 없음 ","")&amp;IF(A42="","받은 가족 없음 ","")&amp;IF(C42="","금액 없음 ",IF(ISNUMBER(C42),IF(C42&lt;1000,"금액 확인 ",""),"금액 확인 "))&amp;IF(AND(B42&lt;&gt;"",COUNTIFS($A$2:$A$1001,A42,$B$2:$B$1001,B42,$C$2:$C$1001,C42)&gt;1),"중복 의심",""))))</f>
        <v/>
      </c>
      <c r="G42" s="25">
        <f>IF(OR(COUNTA(A42:E42)=0,OR(ISNUMBER(SEARCH("소계",B42)),ISNUMBER(SEARCH("합계",B42)))),"",1+COUNTIF($B$1:B41,"*소계*"))</f>
        <v/>
      </c>
      <c r="H42">
        <f>IF(AND(A42&lt;&gt;"",A42=가족별!$B$1,G42&lt;&gt;""),COUNTIFS($A$2:A42,가족별!$B$1,$G$2:G42,"&gt;0"),"")</f>
        <v/>
      </c>
      <c r="I42">
        <f>IF(ISNUMBER(SEARCH("소계",B42)),COUNTIF($B$2:B42,"*소계*"),"")</f>
        <v/>
      </c>
      <c r="J42">
        <f>IF(F42="",0,1)</f>
        <v/>
      </c>
    </row>
    <row r="43">
      <c r="A43" s="41" t="n"/>
      <c r="B43" s="41" t="n"/>
      <c r="C43" s="24" t="n"/>
      <c r="D43" s="41" t="n"/>
      <c r="E43" s="41" t="n"/>
      <c r="F43" s="19">
        <f>IF(COUNTA(A43:E43)=0,"",IF(OR(ISNUMBER(SEARCH("소계",B43)),ISNUMBER(SEARCH("합계",B43))),"",TRIM(IF(B43="","이름 없음 ","")&amp;IF(A43="","받은 가족 없음 ","")&amp;IF(C43="","금액 없음 ",IF(ISNUMBER(C43),IF(C43&lt;1000,"금액 확인 ",""),"금액 확인 "))&amp;IF(AND(B43&lt;&gt;"",COUNTIFS($A$2:$A$1001,A43,$B$2:$B$1001,B43,$C$2:$C$1001,C43)&gt;1),"중복 의심",""))))</f>
        <v/>
      </c>
      <c r="G43" s="25">
        <f>IF(OR(COUNTA(A43:E43)=0,OR(ISNUMBER(SEARCH("소계",B43)),ISNUMBER(SEARCH("합계",B43)))),"",1+COUNTIF($B$1:B42,"*소계*"))</f>
        <v/>
      </c>
      <c r="H43">
        <f>IF(AND(A43&lt;&gt;"",A43=가족별!$B$1,G43&lt;&gt;""),COUNTIFS($A$2:A43,가족별!$B$1,$G$2:G43,"&gt;0"),"")</f>
        <v/>
      </c>
      <c r="I43">
        <f>IF(ISNUMBER(SEARCH("소계",B43)),COUNTIF($B$2:B43,"*소계*"),"")</f>
        <v/>
      </c>
      <c r="J43">
        <f>IF(F43="",0,1)</f>
        <v/>
      </c>
    </row>
    <row r="44">
      <c r="A44" s="41" t="n"/>
      <c r="B44" s="41" t="n"/>
      <c r="C44" s="24" t="n"/>
      <c r="D44" s="41" t="n"/>
      <c r="E44" s="41" t="n"/>
      <c r="F44" s="19">
        <f>IF(COUNTA(A44:E44)=0,"",IF(OR(ISNUMBER(SEARCH("소계",B44)),ISNUMBER(SEARCH("합계",B44))),"",TRIM(IF(B44="","이름 없음 ","")&amp;IF(A44="","받은 가족 없음 ","")&amp;IF(C44="","금액 없음 ",IF(ISNUMBER(C44),IF(C44&lt;1000,"금액 확인 ",""),"금액 확인 "))&amp;IF(AND(B44&lt;&gt;"",COUNTIFS($A$2:$A$1001,A44,$B$2:$B$1001,B44,$C$2:$C$1001,C44)&gt;1),"중복 의심",""))))</f>
        <v/>
      </c>
      <c r="G44" s="25">
        <f>IF(OR(COUNTA(A44:E44)=0,OR(ISNUMBER(SEARCH("소계",B44)),ISNUMBER(SEARCH("합계",B44)))),"",1+COUNTIF($B$1:B43,"*소계*"))</f>
        <v/>
      </c>
      <c r="H44">
        <f>IF(AND(A44&lt;&gt;"",A44=가족별!$B$1,G44&lt;&gt;""),COUNTIFS($A$2:A44,가족별!$B$1,$G$2:G44,"&gt;0"),"")</f>
        <v/>
      </c>
      <c r="I44">
        <f>IF(ISNUMBER(SEARCH("소계",B44)),COUNTIF($B$2:B44,"*소계*"),"")</f>
        <v/>
      </c>
      <c r="J44">
        <f>IF(F44="",0,1)</f>
        <v/>
      </c>
    </row>
    <row r="45">
      <c r="A45" s="41" t="n"/>
      <c r="B45" s="41" t="n"/>
      <c r="C45" s="24" t="n"/>
      <c r="D45" s="41" t="n"/>
      <c r="E45" s="41" t="n"/>
      <c r="F45" s="19">
        <f>IF(COUNTA(A45:E45)=0,"",IF(OR(ISNUMBER(SEARCH("소계",B45)),ISNUMBER(SEARCH("합계",B45))),"",TRIM(IF(B45="","이름 없음 ","")&amp;IF(A45="","받은 가족 없음 ","")&amp;IF(C45="","금액 없음 ",IF(ISNUMBER(C45),IF(C45&lt;1000,"금액 확인 ",""),"금액 확인 "))&amp;IF(AND(B45&lt;&gt;"",COUNTIFS($A$2:$A$1001,A45,$B$2:$B$1001,B45,$C$2:$C$1001,C45)&gt;1),"중복 의심",""))))</f>
        <v/>
      </c>
      <c r="G45" s="25">
        <f>IF(OR(COUNTA(A45:E45)=0,OR(ISNUMBER(SEARCH("소계",B45)),ISNUMBER(SEARCH("합계",B45)))),"",1+COUNTIF($B$1:B44,"*소계*"))</f>
        <v/>
      </c>
      <c r="H45">
        <f>IF(AND(A45&lt;&gt;"",A45=가족별!$B$1,G45&lt;&gt;""),COUNTIFS($A$2:A45,가족별!$B$1,$G$2:G45,"&gt;0"),"")</f>
        <v/>
      </c>
      <c r="I45">
        <f>IF(ISNUMBER(SEARCH("소계",B45)),COUNTIF($B$2:B45,"*소계*"),"")</f>
        <v/>
      </c>
      <c r="J45">
        <f>IF(F45="",0,1)</f>
        <v/>
      </c>
    </row>
    <row r="46">
      <c r="A46" s="41" t="n"/>
      <c r="B46" s="41" t="n"/>
      <c r="C46" s="24" t="n"/>
      <c r="D46" s="41" t="n"/>
      <c r="E46" s="41" t="n"/>
      <c r="F46" s="19">
        <f>IF(COUNTA(A46:E46)=0,"",IF(OR(ISNUMBER(SEARCH("소계",B46)),ISNUMBER(SEARCH("합계",B46))),"",TRIM(IF(B46="","이름 없음 ","")&amp;IF(A46="","받은 가족 없음 ","")&amp;IF(C46="","금액 없음 ",IF(ISNUMBER(C46),IF(C46&lt;1000,"금액 확인 ",""),"금액 확인 "))&amp;IF(AND(B46&lt;&gt;"",COUNTIFS($A$2:$A$1001,A46,$B$2:$B$1001,B46,$C$2:$C$1001,C46)&gt;1),"중복 의심",""))))</f>
        <v/>
      </c>
      <c r="G46" s="25">
        <f>IF(OR(COUNTA(A46:E46)=0,OR(ISNUMBER(SEARCH("소계",B46)),ISNUMBER(SEARCH("합계",B46)))),"",1+COUNTIF($B$1:B45,"*소계*"))</f>
        <v/>
      </c>
      <c r="H46">
        <f>IF(AND(A46&lt;&gt;"",A46=가족별!$B$1,G46&lt;&gt;""),COUNTIFS($A$2:A46,가족별!$B$1,$G$2:G46,"&gt;0"),"")</f>
        <v/>
      </c>
      <c r="I46">
        <f>IF(ISNUMBER(SEARCH("소계",B46)),COUNTIF($B$2:B46,"*소계*"),"")</f>
        <v/>
      </c>
      <c r="J46">
        <f>IF(F46="",0,1)</f>
        <v/>
      </c>
    </row>
    <row r="47">
      <c r="A47" s="41" t="n"/>
      <c r="B47" s="41" t="n"/>
      <c r="C47" s="24" t="n"/>
      <c r="D47" s="41" t="n"/>
      <c r="E47" s="41" t="n"/>
      <c r="F47" s="19">
        <f>IF(COUNTA(A47:E47)=0,"",IF(OR(ISNUMBER(SEARCH("소계",B47)),ISNUMBER(SEARCH("합계",B47))),"",TRIM(IF(B47="","이름 없음 ","")&amp;IF(A47="","받은 가족 없음 ","")&amp;IF(C47="","금액 없음 ",IF(ISNUMBER(C47),IF(C47&lt;1000,"금액 확인 ",""),"금액 확인 "))&amp;IF(AND(B47&lt;&gt;"",COUNTIFS($A$2:$A$1001,A47,$B$2:$B$1001,B47,$C$2:$C$1001,C47)&gt;1),"중복 의심",""))))</f>
        <v/>
      </c>
      <c r="G47" s="25">
        <f>IF(OR(COUNTA(A47:E47)=0,OR(ISNUMBER(SEARCH("소계",B47)),ISNUMBER(SEARCH("합계",B47)))),"",1+COUNTIF($B$1:B46,"*소계*"))</f>
        <v/>
      </c>
      <c r="H47">
        <f>IF(AND(A47&lt;&gt;"",A47=가족별!$B$1,G47&lt;&gt;""),COUNTIFS($A$2:A47,가족별!$B$1,$G$2:G47,"&gt;0"),"")</f>
        <v/>
      </c>
      <c r="I47">
        <f>IF(ISNUMBER(SEARCH("소계",B47)),COUNTIF($B$2:B47,"*소계*"),"")</f>
        <v/>
      </c>
      <c r="J47">
        <f>IF(F47="",0,1)</f>
        <v/>
      </c>
    </row>
    <row r="48">
      <c r="A48" s="41" t="n"/>
      <c r="B48" s="41" t="n"/>
      <c r="C48" s="24" t="n"/>
      <c r="D48" s="41" t="n"/>
      <c r="E48" s="41" t="n"/>
      <c r="F48" s="19">
        <f>IF(COUNTA(A48:E48)=0,"",IF(OR(ISNUMBER(SEARCH("소계",B48)),ISNUMBER(SEARCH("합계",B48))),"",TRIM(IF(B48="","이름 없음 ","")&amp;IF(A48="","받은 가족 없음 ","")&amp;IF(C48="","금액 없음 ",IF(ISNUMBER(C48),IF(C48&lt;1000,"금액 확인 ",""),"금액 확인 "))&amp;IF(AND(B48&lt;&gt;"",COUNTIFS($A$2:$A$1001,A48,$B$2:$B$1001,B48,$C$2:$C$1001,C48)&gt;1),"중복 의심",""))))</f>
        <v/>
      </c>
      <c r="G48" s="25">
        <f>IF(OR(COUNTA(A48:E48)=0,OR(ISNUMBER(SEARCH("소계",B48)),ISNUMBER(SEARCH("합계",B48)))),"",1+COUNTIF($B$1:B47,"*소계*"))</f>
        <v/>
      </c>
      <c r="H48">
        <f>IF(AND(A48&lt;&gt;"",A48=가족별!$B$1,G48&lt;&gt;""),COUNTIFS($A$2:A48,가족별!$B$1,$G$2:G48,"&gt;0"),"")</f>
        <v/>
      </c>
      <c r="I48">
        <f>IF(ISNUMBER(SEARCH("소계",B48)),COUNTIF($B$2:B48,"*소계*"),"")</f>
        <v/>
      </c>
      <c r="J48">
        <f>IF(F48="",0,1)</f>
        <v/>
      </c>
    </row>
    <row r="49">
      <c r="A49" s="41" t="n"/>
      <c r="B49" s="41" t="n"/>
      <c r="C49" s="24" t="n"/>
      <c r="D49" s="41" t="n"/>
      <c r="E49" s="41" t="n"/>
      <c r="F49" s="19">
        <f>IF(COUNTA(A49:E49)=0,"",IF(OR(ISNUMBER(SEARCH("소계",B49)),ISNUMBER(SEARCH("합계",B49))),"",TRIM(IF(B49="","이름 없음 ","")&amp;IF(A49="","받은 가족 없음 ","")&amp;IF(C49="","금액 없음 ",IF(ISNUMBER(C49),IF(C49&lt;1000,"금액 확인 ",""),"금액 확인 "))&amp;IF(AND(B49&lt;&gt;"",COUNTIFS($A$2:$A$1001,A49,$B$2:$B$1001,B49,$C$2:$C$1001,C49)&gt;1),"중복 의심",""))))</f>
        <v/>
      </c>
      <c r="G49" s="25">
        <f>IF(OR(COUNTA(A49:E49)=0,OR(ISNUMBER(SEARCH("소계",B49)),ISNUMBER(SEARCH("합계",B49)))),"",1+COUNTIF($B$1:B48,"*소계*"))</f>
        <v/>
      </c>
      <c r="H49">
        <f>IF(AND(A49&lt;&gt;"",A49=가족별!$B$1,G49&lt;&gt;""),COUNTIFS($A$2:A49,가족별!$B$1,$G$2:G49,"&gt;0"),"")</f>
        <v/>
      </c>
      <c r="I49">
        <f>IF(ISNUMBER(SEARCH("소계",B49)),COUNTIF($B$2:B49,"*소계*"),"")</f>
        <v/>
      </c>
      <c r="J49">
        <f>IF(F49="",0,1)</f>
        <v/>
      </c>
    </row>
    <row r="50">
      <c r="A50" s="41" t="n"/>
      <c r="B50" s="41" t="n"/>
      <c r="C50" s="24" t="n"/>
      <c r="D50" s="41" t="n"/>
      <c r="E50" s="41" t="n"/>
      <c r="F50" s="19">
        <f>IF(COUNTA(A50:E50)=0,"",IF(OR(ISNUMBER(SEARCH("소계",B50)),ISNUMBER(SEARCH("합계",B50))),"",TRIM(IF(B50="","이름 없음 ","")&amp;IF(A50="","받은 가족 없음 ","")&amp;IF(C50="","금액 없음 ",IF(ISNUMBER(C50),IF(C50&lt;1000,"금액 확인 ",""),"금액 확인 "))&amp;IF(AND(B50&lt;&gt;"",COUNTIFS($A$2:$A$1001,A50,$B$2:$B$1001,B50,$C$2:$C$1001,C50)&gt;1),"중복 의심",""))))</f>
        <v/>
      </c>
      <c r="G50" s="25">
        <f>IF(OR(COUNTA(A50:E50)=0,OR(ISNUMBER(SEARCH("소계",B50)),ISNUMBER(SEARCH("합계",B50)))),"",1+COUNTIF($B$1:B49,"*소계*"))</f>
        <v/>
      </c>
      <c r="H50">
        <f>IF(AND(A50&lt;&gt;"",A50=가족별!$B$1,G50&lt;&gt;""),COUNTIFS($A$2:A50,가족별!$B$1,$G$2:G50,"&gt;0"),"")</f>
        <v/>
      </c>
      <c r="I50">
        <f>IF(ISNUMBER(SEARCH("소계",B50)),COUNTIF($B$2:B50,"*소계*"),"")</f>
        <v/>
      </c>
      <c r="J50">
        <f>IF(F50="",0,1)</f>
        <v/>
      </c>
    </row>
    <row r="51">
      <c r="A51" s="41" t="n"/>
      <c r="B51" s="41" t="n"/>
      <c r="C51" s="24" t="n"/>
      <c r="D51" s="41" t="n"/>
      <c r="E51" s="41" t="n"/>
      <c r="F51" s="19">
        <f>IF(COUNTA(A51:E51)=0,"",IF(OR(ISNUMBER(SEARCH("소계",B51)),ISNUMBER(SEARCH("합계",B51))),"",TRIM(IF(B51="","이름 없음 ","")&amp;IF(A51="","받은 가족 없음 ","")&amp;IF(C51="","금액 없음 ",IF(ISNUMBER(C51),IF(C51&lt;1000,"금액 확인 ",""),"금액 확인 "))&amp;IF(AND(B51&lt;&gt;"",COUNTIFS($A$2:$A$1001,A51,$B$2:$B$1001,B51,$C$2:$C$1001,C51)&gt;1),"중복 의심",""))))</f>
        <v/>
      </c>
      <c r="G51" s="25">
        <f>IF(OR(COUNTA(A51:E51)=0,OR(ISNUMBER(SEARCH("소계",B51)),ISNUMBER(SEARCH("합계",B51)))),"",1+COUNTIF($B$1:B50,"*소계*"))</f>
        <v/>
      </c>
      <c r="H51">
        <f>IF(AND(A51&lt;&gt;"",A51=가족별!$B$1,G51&lt;&gt;""),COUNTIFS($A$2:A51,가족별!$B$1,$G$2:G51,"&gt;0"),"")</f>
        <v/>
      </c>
      <c r="I51">
        <f>IF(ISNUMBER(SEARCH("소계",B51)),COUNTIF($B$2:B51,"*소계*"),"")</f>
        <v/>
      </c>
      <c r="J51">
        <f>IF(F51="",0,1)</f>
        <v/>
      </c>
    </row>
    <row r="52">
      <c r="A52" s="41" t="n"/>
      <c r="B52" s="41" t="n"/>
      <c r="C52" s="24" t="n"/>
      <c r="D52" s="41" t="n"/>
      <c r="E52" s="41" t="n"/>
      <c r="F52" s="19">
        <f>IF(COUNTA(A52:E52)=0,"",IF(OR(ISNUMBER(SEARCH("소계",B52)),ISNUMBER(SEARCH("합계",B52))),"",TRIM(IF(B52="","이름 없음 ","")&amp;IF(A52="","받은 가족 없음 ","")&amp;IF(C52="","금액 없음 ",IF(ISNUMBER(C52),IF(C52&lt;1000,"금액 확인 ",""),"금액 확인 "))&amp;IF(AND(B52&lt;&gt;"",COUNTIFS($A$2:$A$1001,A52,$B$2:$B$1001,B52,$C$2:$C$1001,C52)&gt;1),"중복 의심",""))))</f>
        <v/>
      </c>
      <c r="G52" s="25">
        <f>IF(OR(COUNTA(A52:E52)=0,OR(ISNUMBER(SEARCH("소계",B52)),ISNUMBER(SEARCH("합계",B52)))),"",1+COUNTIF($B$1:B51,"*소계*"))</f>
        <v/>
      </c>
      <c r="H52">
        <f>IF(AND(A52&lt;&gt;"",A52=가족별!$B$1,G52&lt;&gt;""),COUNTIFS($A$2:A52,가족별!$B$1,$G$2:G52,"&gt;0"),"")</f>
        <v/>
      </c>
      <c r="I52">
        <f>IF(ISNUMBER(SEARCH("소계",B52)),COUNTIF($B$2:B52,"*소계*"),"")</f>
        <v/>
      </c>
      <c r="J52">
        <f>IF(F52="",0,1)</f>
        <v/>
      </c>
    </row>
    <row r="53">
      <c r="A53" s="41" t="n"/>
      <c r="B53" s="41" t="n"/>
      <c r="C53" s="24" t="n"/>
      <c r="D53" s="41" t="n"/>
      <c r="E53" s="41" t="n"/>
      <c r="F53" s="19">
        <f>IF(COUNTA(A53:E53)=0,"",IF(OR(ISNUMBER(SEARCH("소계",B53)),ISNUMBER(SEARCH("합계",B53))),"",TRIM(IF(B53="","이름 없음 ","")&amp;IF(A53="","받은 가족 없음 ","")&amp;IF(C53="","금액 없음 ",IF(ISNUMBER(C53),IF(C53&lt;1000,"금액 확인 ",""),"금액 확인 "))&amp;IF(AND(B53&lt;&gt;"",COUNTIFS($A$2:$A$1001,A53,$B$2:$B$1001,B53,$C$2:$C$1001,C53)&gt;1),"중복 의심",""))))</f>
        <v/>
      </c>
      <c r="G53" s="25">
        <f>IF(OR(COUNTA(A53:E53)=0,OR(ISNUMBER(SEARCH("소계",B53)),ISNUMBER(SEARCH("합계",B53)))),"",1+COUNTIF($B$1:B52,"*소계*"))</f>
        <v/>
      </c>
      <c r="H53">
        <f>IF(AND(A53&lt;&gt;"",A53=가족별!$B$1,G53&lt;&gt;""),COUNTIFS($A$2:A53,가족별!$B$1,$G$2:G53,"&gt;0"),"")</f>
        <v/>
      </c>
      <c r="I53">
        <f>IF(ISNUMBER(SEARCH("소계",B53)),COUNTIF($B$2:B53,"*소계*"),"")</f>
        <v/>
      </c>
      <c r="J53">
        <f>IF(F53="",0,1)</f>
        <v/>
      </c>
    </row>
    <row r="54">
      <c r="A54" s="41" t="n"/>
      <c r="B54" s="41" t="n"/>
      <c r="C54" s="24" t="n"/>
      <c r="D54" s="41" t="n"/>
      <c r="E54" s="41" t="n"/>
      <c r="F54" s="19">
        <f>IF(COUNTA(A54:E54)=0,"",IF(OR(ISNUMBER(SEARCH("소계",B54)),ISNUMBER(SEARCH("합계",B54))),"",TRIM(IF(B54="","이름 없음 ","")&amp;IF(A54="","받은 가족 없음 ","")&amp;IF(C54="","금액 없음 ",IF(ISNUMBER(C54),IF(C54&lt;1000,"금액 확인 ",""),"금액 확인 "))&amp;IF(AND(B54&lt;&gt;"",COUNTIFS($A$2:$A$1001,A54,$B$2:$B$1001,B54,$C$2:$C$1001,C54)&gt;1),"중복 의심",""))))</f>
        <v/>
      </c>
      <c r="G54" s="25">
        <f>IF(OR(COUNTA(A54:E54)=0,OR(ISNUMBER(SEARCH("소계",B54)),ISNUMBER(SEARCH("합계",B54)))),"",1+COUNTIF($B$1:B53,"*소계*"))</f>
        <v/>
      </c>
      <c r="H54">
        <f>IF(AND(A54&lt;&gt;"",A54=가족별!$B$1,G54&lt;&gt;""),COUNTIFS($A$2:A54,가족별!$B$1,$G$2:G54,"&gt;0"),"")</f>
        <v/>
      </c>
      <c r="I54">
        <f>IF(ISNUMBER(SEARCH("소계",B54)),COUNTIF($B$2:B54,"*소계*"),"")</f>
        <v/>
      </c>
      <c r="J54">
        <f>IF(F54="",0,1)</f>
        <v/>
      </c>
    </row>
    <row r="55">
      <c r="A55" s="41" t="n"/>
      <c r="B55" s="41" t="n"/>
      <c r="C55" s="24" t="n"/>
      <c r="D55" s="41" t="n"/>
      <c r="E55" s="41" t="n"/>
      <c r="F55" s="19">
        <f>IF(COUNTA(A55:E55)=0,"",IF(OR(ISNUMBER(SEARCH("소계",B55)),ISNUMBER(SEARCH("합계",B55))),"",TRIM(IF(B55="","이름 없음 ","")&amp;IF(A55="","받은 가족 없음 ","")&amp;IF(C55="","금액 없음 ",IF(ISNUMBER(C55),IF(C55&lt;1000,"금액 확인 ",""),"금액 확인 "))&amp;IF(AND(B55&lt;&gt;"",COUNTIFS($A$2:$A$1001,A55,$B$2:$B$1001,B55,$C$2:$C$1001,C55)&gt;1),"중복 의심",""))))</f>
        <v/>
      </c>
      <c r="G55" s="25">
        <f>IF(OR(COUNTA(A55:E55)=0,OR(ISNUMBER(SEARCH("소계",B55)),ISNUMBER(SEARCH("합계",B55)))),"",1+COUNTIF($B$1:B54,"*소계*"))</f>
        <v/>
      </c>
      <c r="H55">
        <f>IF(AND(A55&lt;&gt;"",A55=가족별!$B$1,G55&lt;&gt;""),COUNTIFS($A$2:A55,가족별!$B$1,$G$2:G55,"&gt;0"),"")</f>
        <v/>
      </c>
      <c r="I55">
        <f>IF(ISNUMBER(SEARCH("소계",B55)),COUNTIF($B$2:B55,"*소계*"),"")</f>
        <v/>
      </c>
      <c r="J55">
        <f>IF(F55="",0,1)</f>
        <v/>
      </c>
    </row>
    <row r="56">
      <c r="A56" s="41" t="n"/>
      <c r="B56" s="41" t="n"/>
      <c r="C56" s="24" t="n"/>
      <c r="D56" s="41" t="n"/>
      <c r="E56" s="41" t="n"/>
      <c r="F56" s="19">
        <f>IF(COUNTA(A56:E56)=0,"",IF(OR(ISNUMBER(SEARCH("소계",B56)),ISNUMBER(SEARCH("합계",B56))),"",TRIM(IF(B56="","이름 없음 ","")&amp;IF(A56="","받은 가족 없음 ","")&amp;IF(C56="","금액 없음 ",IF(ISNUMBER(C56),IF(C56&lt;1000,"금액 확인 ",""),"금액 확인 "))&amp;IF(AND(B56&lt;&gt;"",COUNTIFS($A$2:$A$1001,A56,$B$2:$B$1001,B56,$C$2:$C$1001,C56)&gt;1),"중복 의심",""))))</f>
        <v/>
      </c>
      <c r="G56" s="25">
        <f>IF(OR(COUNTA(A56:E56)=0,OR(ISNUMBER(SEARCH("소계",B56)),ISNUMBER(SEARCH("합계",B56)))),"",1+COUNTIF($B$1:B55,"*소계*"))</f>
        <v/>
      </c>
      <c r="H56">
        <f>IF(AND(A56&lt;&gt;"",A56=가족별!$B$1,G56&lt;&gt;""),COUNTIFS($A$2:A56,가족별!$B$1,$G$2:G56,"&gt;0"),"")</f>
        <v/>
      </c>
      <c r="I56">
        <f>IF(ISNUMBER(SEARCH("소계",B56)),COUNTIF($B$2:B56,"*소계*"),"")</f>
        <v/>
      </c>
      <c r="J56">
        <f>IF(F56="",0,1)</f>
        <v/>
      </c>
    </row>
    <row r="57">
      <c r="A57" s="41" t="n"/>
      <c r="B57" s="41" t="n"/>
      <c r="C57" s="24" t="n"/>
      <c r="D57" s="41" t="n"/>
      <c r="E57" s="41" t="n"/>
      <c r="F57" s="19">
        <f>IF(COUNTA(A57:E57)=0,"",IF(OR(ISNUMBER(SEARCH("소계",B57)),ISNUMBER(SEARCH("합계",B57))),"",TRIM(IF(B57="","이름 없음 ","")&amp;IF(A57="","받은 가족 없음 ","")&amp;IF(C57="","금액 없음 ",IF(ISNUMBER(C57),IF(C57&lt;1000,"금액 확인 ",""),"금액 확인 "))&amp;IF(AND(B57&lt;&gt;"",COUNTIFS($A$2:$A$1001,A57,$B$2:$B$1001,B57,$C$2:$C$1001,C57)&gt;1),"중복 의심",""))))</f>
        <v/>
      </c>
      <c r="G57" s="25">
        <f>IF(OR(COUNTA(A57:E57)=0,OR(ISNUMBER(SEARCH("소계",B57)),ISNUMBER(SEARCH("합계",B57)))),"",1+COUNTIF($B$1:B56,"*소계*"))</f>
        <v/>
      </c>
      <c r="H57">
        <f>IF(AND(A57&lt;&gt;"",A57=가족별!$B$1,G57&lt;&gt;""),COUNTIFS($A$2:A57,가족별!$B$1,$G$2:G57,"&gt;0"),"")</f>
        <v/>
      </c>
      <c r="I57">
        <f>IF(ISNUMBER(SEARCH("소계",B57)),COUNTIF($B$2:B57,"*소계*"),"")</f>
        <v/>
      </c>
      <c r="J57">
        <f>IF(F57="",0,1)</f>
        <v/>
      </c>
    </row>
    <row r="58">
      <c r="A58" s="41" t="n"/>
      <c r="B58" s="41" t="n"/>
      <c r="C58" s="24" t="n"/>
      <c r="D58" s="41" t="n"/>
      <c r="E58" s="41" t="n"/>
      <c r="F58" s="19">
        <f>IF(COUNTA(A58:E58)=0,"",IF(OR(ISNUMBER(SEARCH("소계",B58)),ISNUMBER(SEARCH("합계",B58))),"",TRIM(IF(B58="","이름 없음 ","")&amp;IF(A58="","받은 가족 없음 ","")&amp;IF(C58="","금액 없음 ",IF(ISNUMBER(C58),IF(C58&lt;1000,"금액 확인 ",""),"금액 확인 "))&amp;IF(AND(B58&lt;&gt;"",COUNTIFS($A$2:$A$1001,A58,$B$2:$B$1001,B58,$C$2:$C$1001,C58)&gt;1),"중복 의심",""))))</f>
        <v/>
      </c>
      <c r="G58" s="25">
        <f>IF(OR(COUNTA(A58:E58)=0,OR(ISNUMBER(SEARCH("소계",B58)),ISNUMBER(SEARCH("합계",B58)))),"",1+COUNTIF($B$1:B57,"*소계*"))</f>
        <v/>
      </c>
      <c r="H58">
        <f>IF(AND(A58&lt;&gt;"",A58=가족별!$B$1,G58&lt;&gt;""),COUNTIFS($A$2:A58,가족별!$B$1,$G$2:G58,"&gt;0"),"")</f>
        <v/>
      </c>
      <c r="I58">
        <f>IF(ISNUMBER(SEARCH("소계",B58)),COUNTIF($B$2:B58,"*소계*"),"")</f>
        <v/>
      </c>
      <c r="J58">
        <f>IF(F58="",0,1)</f>
        <v/>
      </c>
    </row>
    <row r="59">
      <c r="A59" s="41" t="n"/>
      <c r="B59" s="41" t="n"/>
      <c r="C59" s="24" t="n"/>
      <c r="D59" s="41" t="n"/>
      <c r="E59" s="41" t="n"/>
      <c r="F59" s="19">
        <f>IF(COUNTA(A59:E59)=0,"",IF(OR(ISNUMBER(SEARCH("소계",B59)),ISNUMBER(SEARCH("합계",B59))),"",TRIM(IF(B59="","이름 없음 ","")&amp;IF(A59="","받은 가족 없음 ","")&amp;IF(C59="","금액 없음 ",IF(ISNUMBER(C59),IF(C59&lt;1000,"금액 확인 ",""),"금액 확인 "))&amp;IF(AND(B59&lt;&gt;"",COUNTIFS($A$2:$A$1001,A59,$B$2:$B$1001,B59,$C$2:$C$1001,C59)&gt;1),"중복 의심",""))))</f>
        <v/>
      </c>
      <c r="G59" s="25">
        <f>IF(OR(COUNTA(A59:E59)=0,OR(ISNUMBER(SEARCH("소계",B59)),ISNUMBER(SEARCH("합계",B59)))),"",1+COUNTIF($B$1:B58,"*소계*"))</f>
        <v/>
      </c>
      <c r="H59">
        <f>IF(AND(A59&lt;&gt;"",A59=가족별!$B$1,G59&lt;&gt;""),COUNTIFS($A$2:A59,가족별!$B$1,$G$2:G59,"&gt;0"),"")</f>
        <v/>
      </c>
      <c r="I59">
        <f>IF(ISNUMBER(SEARCH("소계",B59)),COUNTIF($B$2:B59,"*소계*"),"")</f>
        <v/>
      </c>
      <c r="J59">
        <f>IF(F59="",0,1)</f>
        <v/>
      </c>
    </row>
    <row r="60">
      <c r="A60" s="41" t="n"/>
      <c r="B60" s="41" t="n"/>
      <c r="C60" s="24" t="n"/>
      <c r="D60" s="41" t="n"/>
      <c r="E60" s="41" t="n"/>
      <c r="F60" s="19">
        <f>IF(COUNTA(A60:E60)=0,"",IF(OR(ISNUMBER(SEARCH("소계",B60)),ISNUMBER(SEARCH("합계",B60))),"",TRIM(IF(B60="","이름 없음 ","")&amp;IF(A60="","받은 가족 없음 ","")&amp;IF(C60="","금액 없음 ",IF(ISNUMBER(C60),IF(C60&lt;1000,"금액 확인 ",""),"금액 확인 "))&amp;IF(AND(B60&lt;&gt;"",COUNTIFS($A$2:$A$1001,A60,$B$2:$B$1001,B60,$C$2:$C$1001,C60)&gt;1),"중복 의심",""))))</f>
        <v/>
      </c>
      <c r="G60" s="25">
        <f>IF(OR(COUNTA(A60:E60)=0,OR(ISNUMBER(SEARCH("소계",B60)),ISNUMBER(SEARCH("합계",B60)))),"",1+COUNTIF($B$1:B59,"*소계*"))</f>
        <v/>
      </c>
      <c r="H60">
        <f>IF(AND(A60&lt;&gt;"",A60=가족별!$B$1,G60&lt;&gt;""),COUNTIFS($A$2:A60,가족별!$B$1,$G$2:G60,"&gt;0"),"")</f>
        <v/>
      </c>
      <c r="I60">
        <f>IF(ISNUMBER(SEARCH("소계",B60)),COUNTIF($B$2:B60,"*소계*"),"")</f>
        <v/>
      </c>
      <c r="J60">
        <f>IF(F60="",0,1)</f>
        <v/>
      </c>
    </row>
    <row r="61">
      <c r="A61" s="41" t="n"/>
      <c r="B61" s="41" t="n"/>
      <c r="C61" s="24" t="n"/>
      <c r="D61" s="41" t="n"/>
      <c r="E61" s="41" t="n"/>
      <c r="F61" s="19">
        <f>IF(COUNTA(A61:E61)=0,"",IF(OR(ISNUMBER(SEARCH("소계",B61)),ISNUMBER(SEARCH("합계",B61))),"",TRIM(IF(B61="","이름 없음 ","")&amp;IF(A61="","받은 가족 없음 ","")&amp;IF(C61="","금액 없음 ",IF(ISNUMBER(C61),IF(C61&lt;1000,"금액 확인 ",""),"금액 확인 "))&amp;IF(AND(B61&lt;&gt;"",COUNTIFS($A$2:$A$1001,A61,$B$2:$B$1001,B61,$C$2:$C$1001,C61)&gt;1),"중복 의심",""))))</f>
        <v/>
      </c>
      <c r="G61" s="25">
        <f>IF(OR(COUNTA(A61:E61)=0,OR(ISNUMBER(SEARCH("소계",B61)),ISNUMBER(SEARCH("합계",B61)))),"",1+COUNTIF($B$1:B60,"*소계*"))</f>
        <v/>
      </c>
      <c r="H61">
        <f>IF(AND(A61&lt;&gt;"",A61=가족별!$B$1,G61&lt;&gt;""),COUNTIFS($A$2:A61,가족별!$B$1,$G$2:G61,"&gt;0"),"")</f>
        <v/>
      </c>
      <c r="I61">
        <f>IF(ISNUMBER(SEARCH("소계",B61)),COUNTIF($B$2:B61,"*소계*"),"")</f>
        <v/>
      </c>
      <c r="J61">
        <f>IF(F61="",0,1)</f>
        <v/>
      </c>
    </row>
    <row r="62">
      <c r="A62" s="41" t="n"/>
      <c r="B62" s="41" t="n"/>
      <c r="C62" s="24" t="n"/>
      <c r="D62" s="41" t="n"/>
      <c r="E62" s="41" t="n"/>
      <c r="F62" s="19">
        <f>IF(COUNTA(A62:E62)=0,"",IF(OR(ISNUMBER(SEARCH("소계",B62)),ISNUMBER(SEARCH("합계",B62))),"",TRIM(IF(B62="","이름 없음 ","")&amp;IF(A62="","받은 가족 없음 ","")&amp;IF(C62="","금액 없음 ",IF(ISNUMBER(C62),IF(C62&lt;1000,"금액 확인 ",""),"금액 확인 "))&amp;IF(AND(B62&lt;&gt;"",COUNTIFS($A$2:$A$1001,A62,$B$2:$B$1001,B62,$C$2:$C$1001,C62)&gt;1),"중복 의심",""))))</f>
        <v/>
      </c>
      <c r="G62" s="25">
        <f>IF(OR(COUNTA(A62:E62)=0,OR(ISNUMBER(SEARCH("소계",B62)),ISNUMBER(SEARCH("합계",B62)))),"",1+COUNTIF($B$1:B61,"*소계*"))</f>
        <v/>
      </c>
      <c r="H62">
        <f>IF(AND(A62&lt;&gt;"",A62=가족별!$B$1,G62&lt;&gt;""),COUNTIFS($A$2:A62,가족별!$B$1,$G$2:G62,"&gt;0"),"")</f>
        <v/>
      </c>
      <c r="I62">
        <f>IF(ISNUMBER(SEARCH("소계",B62)),COUNTIF($B$2:B62,"*소계*"),"")</f>
        <v/>
      </c>
      <c r="J62">
        <f>IF(F62="",0,1)</f>
        <v/>
      </c>
    </row>
    <row r="63">
      <c r="A63" s="41" t="n"/>
      <c r="B63" s="41" t="n"/>
      <c r="C63" s="24" t="n"/>
      <c r="D63" s="41" t="n"/>
      <c r="E63" s="41" t="n"/>
      <c r="F63" s="19">
        <f>IF(COUNTA(A63:E63)=0,"",IF(OR(ISNUMBER(SEARCH("소계",B63)),ISNUMBER(SEARCH("합계",B63))),"",TRIM(IF(B63="","이름 없음 ","")&amp;IF(A63="","받은 가족 없음 ","")&amp;IF(C63="","금액 없음 ",IF(ISNUMBER(C63),IF(C63&lt;1000,"금액 확인 ",""),"금액 확인 "))&amp;IF(AND(B63&lt;&gt;"",COUNTIFS($A$2:$A$1001,A63,$B$2:$B$1001,B63,$C$2:$C$1001,C63)&gt;1),"중복 의심",""))))</f>
        <v/>
      </c>
      <c r="G63" s="25">
        <f>IF(OR(COUNTA(A63:E63)=0,OR(ISNUMBER(SEARCH("소계",B63)),ISNUMBER(SEARCH("합계",B63)))),"",1+COUNTIF($B$1:B62,"*소계*"))</f>
        <v/>
      </c>
      <c r="H63">
        <f>IF(AND(A63&lt;&gt;"",A63=가족별!$B$1,G63&lt;&gt;""),COUNTIFS($A$2:A63,가족별!$B$1,$G$2:G63,"&gt;0"),"")</f>
        <v/>
      </c>
      <c r="I63">
        <f>IF(ISNUMBER(SEARCH("소계",B63)),COUNTIF($B$2:B63,"*소계*"),"")</f>
        <v/>
      </c>
      <c r="J63">
        <f>IF(F63="",0,1)</f>
        <v/>
      </c>
    </row>
    <row r="64">
      <c r="A64" s="41" t="n"/>
      <c r="B64" s="41" t="n"/>
      <c r="C64" s="24" t="n"/>
      <c r="D64" s="41" t="n"/>
      <c r="E64" s="41" t="n"/>
      <c r="F64" s="19">
        <f>IF(COUNTA(A64:E64)=0,"",IF(OR(ISNUMBER(SEARCH("소계",B64)),ISNUMBER(SEARCH("합계",B64))),"",TRIM(IF(B64="","이름 없음 ","")&amp;IF(A64="","받은 가족 없음 ","")&amp;IF(C64="","금액 없음 ",IF(ISNUMBER(C64),IF(C64&lt;1000,"금액 확인 ",""),"금액 확인 "))&amp;IF(AND(B64&lt;&gt;"",COUNTIFS($A$2:$A$1001,A64,$B$2:$B$1001,B64,$C$2:$C$1001,C64)&gt;1),"중복 의심",""))))</f>
        <v/>
      </c>
      <c r="G64" s="25">
        <f>IF(OR(COUNTA(A64:E64)=0,OR(ISNUMBER(SEARCH("소계",B64)),ISNUMBER(SEARCH("합계",B64)))),"",1+COUNTIF($B$1:B63,"*소계*"))</f>
        <v/>
      </c>
      <c r="H64">
        <f>IF(AND(A64&lt;&gt;"",A64=가족별!$B$1,G64&lt;&gt;""),COUNTIFS($A$2:A64,가족별!$B$1,$G$2:G64,"&gt;0"),"")</f>
        <v/>
      </c>
      <c r="I64">
        <f>IF(ISNUMBER(SEARCH("소계",B64)),COUNTIF($B$2:B64,"*소계*"),"")</f>
        <v/>
      </c>
      <c r="J64">
        <f>IF(F64="",0,1)</f>
        <v/>
      </c>
    </row>
    <row r="65">
      <c r="A65" s="41" t="n"/>
      <c r="B65" s="41" t="n"/>
      <c r="C65" s="24" t="n"/>
      <c r="D65" s="41" t="n"/>
      <c r="E65" s="41" t="n"/>
      <c r="F65" s="19">
        <f>IF(COUNTA(A65:E65)=0,"",IF(OR(ISNUMBER(SEARCH("소계",B65)),ISNUMBER(SEARCH("합계",B65))),"",TRIM(IF(B65="","이름 없음 ","")&amp;IF(A65="","받은 가족 없음 ","")&amp;IF(C65="","금액 없음 ",IF(ISNUMBER(C65),IF(C65&lt;1000,"금액 확인 ",""),"금액 확인 "))&amp;IF(AND(B65&lt;&gt;"",COUNTIFS($A$2:$A$1001,A65,$B$2:$B$1001,B65,$C$2:$C$1001,C65)&gt;1),"중복 의심",""))))</f>
        <v/>
      </c>
      <c r="G65" s="25">
        <f>IF(OR(COUNTA(A65:E65)=0,OR(ISNUMBER(SEARCH("소계",B65)),ISNUMBER(SEARCH("합계",B65)))),"",1+COUNTIF($B$1:B64,"*소계*"))</f>
        <v/>
      </c>
      <c r="H65">
        <f>IF(AND(A65&lt;&gt;"",A65=가족별!$B$1,G65&lt;&gt;""),COUNTIFS($A$2:A65,가족별!$B$1,$G$2:G65,"&gt;0"),"")</f>
        <v/>
      </c>
      <c r="I65">
        <f>IF(ISNUMBER(SEARCH("소계",B65)),COUNTIF($B$2:B65,"*소계*"),"")</f>
        <v/>
      </c>
      <c r="J65">
        <f>IF(F65="",0,1)</f>
        <v/>
      </c>
    </row>
    <row r="66">
      <c r="A66" s="41" t="n"/>
      <c r="B66" s="41" t="n"/>
      <c r="C66" s="24" t="n"/>
      <c r="D66" s="41" t="n"/>
      <c r="E66" s="41" t="n"/>
      <c r="F66" s="19">
        <f>IF(COUNTA(A66:E66)=0,"",IF(OR(ISNUMBER(SEARCH("소계",B66)),ISNUMBER(SEARCH("합계",B66))),"",TRIM(IF(B66="","이름 없음 ","")&amp;IF(A66="","받은 가족 없음 ","")&amp;IF(C66="","금액 없음 ",IF(ISNUMBER(C66),IF(C66&lt;1000,"금액 확인 ",""),"금액 확인 "))&amp;IF(AND(B66&lt;&gt;"",COUNTIFS($A$2:$A$1001,A66,$B$2:$B$1001,B66,$C$2:$C$1001,C66)&gt;1),"중복 의심",""))))</f>
        <v/>
      </c>
      <c r="G66" s="25">
        <f>IF(OR(COUNTA(A66:E66)=0,OR(ISNUMBER(SEARCH("소계",B66)),ISNUMBER(SEARCH("합계",B66)))),"",1+COUNTIF($B$1:B65,"*소계*"))</f>
        <v/>
      </c>
      <c r="H66">
        <f>IF(AND(A66&lt;&gt;"",A66=가족별!$B$1,G66&lt;&gt;""),COUNTIFS($A$2:A66,가족별!$B$1,$G$2:G66,"&gt;0"),"")</f>
        <v/>
      </c>
      <c r="I66">
        <f>IF(ISNUMBER(SEARCH("소계",B66)),COUNTIF($B$2:B66,"*소계*"),"")</f>
        <v/>
      </c>
      <c r="J66">
        <f>IF(F66="",0,1)</f>
        <v/>
      </c>
    </row>
    <row r="67">
      <c r="A67" s="41" t="n"/>
      <c r="B67" s="41" t="n"/>
      <c r="C67" s="24" t="n"/>
      <c r="D67" s="41" t="n"/>
      <c r="E67" s="41" t="n"/>
      <c r="F67" s="19">
        <f>IF(COUNTA(A67:E67)=0,"",IF(OR(ISNUMBER(SEARCH("소계",B67)),ISNUMBER(SEARCH("합계",B67))),"",TRIM(IF(B67="","이름 없음 ","")&amp;IF(A67="","받은 가족 없음 ","")&amp;IF(C67="","금액 없음 ",IF(ISNUMBER(C67),IF(C67&lt;1000,"금액 확인 ",""),"금액 확인 "))&amp;IF(AND(B67&lt;&gt;"",COUNTIFS($A$2:$A$1001,A67,$B$2:$B$1001,B67,$C$2:$C$1001,C67)&gt;1),"중복 의심",""))))</f>
        <v/>
      </c>
      <c r="G67" s="25">
        <f>IF(OR(COUNTA(A67:E67)=0,OR(ISNUMBER(SEARCH("소계",B67)),ISNUMBER(SEARCH("합계",B67)))),"",1+COUNTIF($B$1:B66,"*소계*"))</f>
        <v/>
      </c>
      <c r="H67">
        <f>IF(AND(A67&lt;&gt;"",A67=가족별!$B$1,G67&lt;&gt;""),COUNTIFS($A$2:A67,가족별!$B$1,$G$2:G67,"&gt;0"),"")</f>
        <v/>
      </c>
      <c r="I67">
        <f>IF(ISNUMBER(SEARCH("소계",B67)),COUNTIF($B$2:B67,"*소계*"),"")</f>
        <v/>
      </c>
      <c r="J67">
        <f>IF(F67="",0,1)</f>
        <v/>
      </c>
    </row>
    <row r="68">
      <c r="A68" s="41" t="n"/>
      <c r="B68" s="41" t="n"/>
      <c r="C68" s="24" t="n"/>
      <c r="D68" s="41" t="n"/>
      <c r="E68" s="41" t="n"/>
      <c r="F68" s="19">
        <f>IF(COUNTA(A68:E68)=0,"",IF(OR(ISNUMBER(SEARCH("소계",B68)),ISNUMBER(SEARCH("합계",B68))),"",TRIM(IF(B68="","이름 없음 ","")&amp;IF(A68="","받은 가족 없음 ","")&amp;IF(C68="","금액 없음 ",IF(ISNUMBER(C68),IF(C68&lt;1000,"금액 확인 ",""),"금액 확인 "))&amp;IF(AND(B68&lt;&gt;"",COUNTIFS($A$2:$A$1001,A68,$B$2:$B$1001,B68,$C$2:$C$1001,C68)&gt;1),"중복 의심",""))))</f>
        <v/>
      </c>
      <c r="G68" s="25">
        <f>IF(OR(COUNTA(A68:E68)=0,OR(ISNUMBER(SEARCH("소계",B68)),ISNUMBER(SEARCH("합계",B68)))),"",1+COUNTIF($B$1:B67,"*소계*"))</f>
        <v/>
      </c>
      <c r="H68">
        <f>IF(AND(A68&lt;&gt;"",A68=가족별!$B$1,G68&lt;&gt;""),COUNTIFS($A$2:A68,가족별!$B$1,$G$2:G68,"&gt;0"),"")</f>
        <v/>
      </c>
      <c r="I68">
        <f>IF(ISNUMBER(SEARCH("소계",B68)),COUNTIF($B$2:B68,"*소계*"),"")</f>
        <v/>
      </c>
      <c r="J68">
        <f>IF(F68="",0,1)</f>
        <v/>
      </c>
    </row>
    <row r="69">
      <c r="A69" s="41" t="n"/>
      <c r="B69" s="41" t="n"/>
      <c r="C69" s="24" t="n"/>
      <c r="D69" s="41" t="n"/>
      <c r="E69" s="41" t="n"/>
      <c r="F69" s="19">
        <f>IF(COUNTA(A69:E69)=0,"",IF(OR(ISNUMBER(SEARCH("소계",B69)),ISNUMBER(SEARCH("합계",B69))),"",TRIM(IF(B69="","이름 없음 ","")&amp;IF(A69="","받은 가족 없음 ","")&amp;IF(C69="","금액 없음 ",IF(ISNUMBER(C69),IF(C69&lt;1000,"금액 확인 ",""),"금액 확인 "))&amp;IF(AND(B69&lt;&gt;"",COUNTIFS($A$2:$A$1001,A69,$B$2:$B$1001,B69,$C$2:$C$1001,C69)&gt;1),"중복 의심",""))))</f>
        <v/>
      </c>
      <c r="G69" s="25">
        <f>IF(OR(COUNTA(A69:E69)=0,OR(ISNUMBER(SEARCH("소계",B69)),ISNUMBER(SEARCH("합계",B69)))),"",1+COUNTIF($B$1:B68,"*소계*"))</f>
        <v/>
      </c>
      <c r="H69">
        <f>IF(AND(A69&lt;&gt;"",A69=가족별!$B$1,G69&lt;&gt;""),COUNTIFS($A$2:A69,가족별!$B$1,$G$2:G69,"&gt;0"),"")</f>
        <v/>
      </c>
      <c r="I69">
        <f>IF(ISNUMBER(SEARCH("소계",B69)),COUNTIF($B$2:B69,"*소계*"),"")</f>
        <v/>
      </c>
      <c r="J69">
        <f>IF(F69="",0,1)</f>
        <v/>
      </c>
    </row>
    <row r="70">
      <c r="A70" s="41" t="n"/>
      <c r="B70" s="41" t="n"/>
      <c r="C70" s="24" t="n"/>
      <c r="D70" s="41" t="n"/>
      <c r="E70" s="41" t="n"/>
      <c r="F70" s="19">
        <f>IF(COUNTA(A70:E70)=0,"",IF(OR(ISNUMBER(SEARCH("소계",B70)),ISNUMBER(SEARCH("합계",B70))),"",TRIM(IF(B70="","이름 없음 ","")&amp;IF(A70="","받은 가족 없음 ","")&amp;IF(C70="","금액 없음 ",IF(ISNUMBER(C70),IF(C70&lt;1000,"금액 확인 ",""),"금액 확인 "))&amp;IF(AND(B70&lt;&gt;"",COUNTIFS($A$2:$A$1001,A70,$B$2:$B$1001,B70,$C$2:$C$1001,C70)&gt;1),"중복 의심",""))))</f>
        <v/>
      </c>
      <c r="G70" s="25">
        <f>IF(OR(COUNTA(A70:E70)=0,OR(ISNUMBER(SEARCH("소계",B70)),ISNUMBER(SEARCH("합계",B70)))),"",1+COUNTIF($B$1:B69,"*소계*"))</f>
        <v/>
      </c>
      <c r="H70">
        <f>IF(AND(A70&lt;&gt;"",A70=가족별!$B$1,G70&lt;&gt;""),COUNTIFS($A$2:A70,가족별!$B$1,$G$2:G70,"&gt;0"),"")</f>
        <v/>
      </c>
      <c r="I70">
        <f>IF(ISNUMBER(SEARCH("소계",B70)),COUNTIF($B$2:B70,"*소계*"),"")</f>
        <v/>
      </c>
      <c r="J70">
        <f>IF(F70="",0,1)</f>
        <v/>
      </c>
    </row>
    <row r="71">
      <c r="A71" s="41" t="n"/>
      <c r="B71" s="41" t="n"/>
      <c r="C71" s="24" t="n"/>
      <c r="D71" s="41" t="n"/>
      <c r="E71" s="41" t="n"/>
      <c r="F71" s="19">
        <f>IF(COUNTA(A71:E71)=0,"",IF(OR(ISNUMBER(SEARCH("소계",B71)),ISNUMBER(SEARCH("합계",B71))),"",TRIM(IF(B71="","이름 없음 ","")&amp;IF(A71="","받은 가족 없음 ","")&amp;IF(C71="","금액 없음 ",IF(ISNUMBER(C71),IF(C71&lt;1000,"금액 확인 ",""),"금액 확인 "))&amp;IF(AND(B71&lt;&gt;"",COUNTIFS($A$2:$A$1001,A71,$B$2:$B$1001,B71,$C$2:$C$1001,C71)&gt;1),"중복 의심",""))))</f>
        <v/>
      </c>
      <c r="G71" s="25">
        <f>IF(OR(COUNTA(A71:E71)=0,OR(ISNUMBER(SEARCH("소계",B71)),ISNUMBER(SEARCH("합계",B71)))),"",1+COUNTIF($B$1:B70,"*소계*"))</f>
        <v/>
      </c>
      <c r="H71">
        <f>IF(AND(A71&lt;&gt;"",A71=가족별!$B$1,G71&lt;&gt;""),COUNTIFS($A$2:A71,가족별!$B$1,$G$2:G71,"&gt;0"),"")</f>
        <v/>
      </c>
      <c r="I71">
        <f>IF(ISNUMBER(SEARCH("소계",B71)),COUNTIF($B$2:B71,"*소계*"),"")</f>
        <v/>
      </c>
      <c r="J71">
        <f>IF(F71="",0,1)</f>
        <v/>
      </c>
    </row>
    <row r="72">
      <c r="A72" s="41" t="n"/>
      <c r="B72" s="41" t="n"/>
      <c r="C72" s="24" t="n"/>
      <c r="D72" s="41" t="n"/>
      <c r="E72" s="41" t="n"/>
      <c r="F72" s="19">
        <f>IF(COUNTA(A72:E72)=0,"",IF(OR(ISNUMBER(SEARCH("소계",B72)),ISNUMBER(SEARCH("합계",B72))),"",TRIM(IF(B72="","이름 없음 ","")&amp;IF(A72="","받은 가족 없음 ","")&amp;IF(C72="","금액 없음 ",IF(ISNUMBER(C72),IF(C72&lt;1000,"금액 확인 ",""),"금액 확인 "))&amp;IF(AND(B72&lt;&gt;"",COUNTIFS($A$2:$A$1001,A72,$B$2:$B$1001,B72,$C$2:$C$1001,C72)&gt;1),"중복 의심",""))))</f>
        <v/>
      </c>
      <c r="G72" s="25">
        <f>IF(OR(COUNTA(A72:E72)=0,OR(ISNUMBER(SEARCH("소계",B72)),ISNUMBER(SEARCH("합계",B72)))),"",1+COUNTIF($B$1:B71,"*소계*"))</f>
        <v/>
      </c>
      <c r="H72">
        <f>IF(AND(A72&lt;&gt;"",A72=가족별!$B$1,G72&lt;&gt;""),COUNTIFS($A$2:A72,가족별!$B$1,$G$2:G72,"&gt;0"),"")</f>
        <v/>
      </c>
      <c r="I72">
        <f>IF(ISNUMBER(SEARCH("소계",B72)),COUNTIF($B$2:B72,"*소계*"),"")</f>
        <v/>
      </c>
      <c r="J72">
        <f>IF(F72="",0,1)</f>
        <v/>
      </c>
    </row>
    <row r="73">
      <c r="A73" s="41" t="n"/>
      <c r="B73" s="41" t="n"/>
      <c r="C73" s="24" t="n"/>
      <c r="D73" s="41" t="n"/>
      <c r="E73" s="41" t="n"/>
      <c r="F73" s="19">
        <f>IF(COUNTA(A73:E73)=0,"",IF(OR(ISNUMBER(SEARCH("소계",B73)),ISNUMBER(SEARCH("합계",B73))),"",TRIM(IF(B73="","이름 없음 ","")&amp;IF(A73="","받은 가족 없음 ","")&amp;IF(C73="","금액 없음 ",IF(ISNUMBER(C73),IF(C73&lt;1000,"금액 확인 ",""),"금액 확인 "))&amp;IF(AND(B73&lt;&gt;"",COUNTIFS($A$2:$A$1001,A73,$B$2:$B$1001,B73,$C$2:$C$1001,C73)&gt;1),"중복 의심",""))))</f>
        <v/>
      </c>
      <c r="G73" s="25">
        <f>IF(OR(COUNTA(A73:E73)=0,OR(ISNUMBER(SEARCH("소계",B73)),ISNUMBER(SEARCH("합계",B73)))),"",1+COUNTIF($B$1:B72,"*소계*"))</f>
        <v/>
      </c>
      <c r="H73">
        <f>IF(AND(A73&lt;&gt;"",A73=가족별!$B$1,G73&lt;&gt;""),COUNTIFS($A$2:A73,가족별!$B$1,$G$2:G73,"&gt;0"),"")</f>
        <v/>
      </c>
      <c r="I73">
        <f>IF(ISNUMBER(SEARCH("소계",B73)),COUNTIF($B$2:B73,"*소계*"),"")</f>
        <v/>
      </c>
      <c r="J73">
        <f>IF(F73="",0,1)</f>
        <v/>
      </c>
    </row>
    <row r="74">
      <c r="A74" s="41" t="n"/>
      <c r="B74" s="41" t="n"/>
      <c r="C74" s="24" t="n"/>
      <c r="D74" s="41" t="n"/>
      <c r="E74" s="41" t="n"/>
      <c r="F74" s="19">
        <f>IF(COUNTA(A74:E74)=0,"",IF(OR(ISNUMBER(SEARCH("소계",B74)),ISNUMBER(SEARCH("합계",B74))),"",TRIM(IF(B74="","이름 없음 ","")&amp;IF(A74="","받은 가족 없음 ","")&amp;IF(C74="","금액 없음 ",IF(ISNUMBER(C74),IF(C74&lt;1000,"금액 확인 ",""),"금액 확인 "))&amp;IF(AND(B74&lt;&gt;"",COUNTIFS($A$2:$A$1001,A74,$B$2:$B$1001,B74,$C$2:$C$1001,C74)&gt;1),"중복 의심",""))))</f>
        <v/>
      </c>
      <c r="G74" s="25">
        <f>IF(OR(COUNTA(A74:E74)=0,OR(ISNUMBER(SEARCH("소계",B74)),ISNUMBER(SEARCH("합계",B74)))),"",1+COUNTIF($B$1:B73,"*소계*"))</f>
        <v/>
      </c>
      <c r="H74">
        <f>IF(AND(A74&lt;&gt;"",A74=가족별!$B$1,G74&lt;&gt;""),COUNTIFS($A$2:A74,가족별!$B$1,$G$2:G74,"&gt;0"),"")</f>
        <v/>
      </c>
      <c r="I74">
        <f>IF(ISNUMBER(SEARCH("소계",B74)),COUNTIF($B$2:B74,"*소계*"),"")</f>
        <v/>
      </c>
      <c r="J74">
        <f>IF(F74="",0,1)</f>
        <v/>
      </c>
    </row>
    <row r="75">
      <c r="A75" s="41" t="n"/>
      <c r="B75" s="41" t="n"/>
      <c r="C75" s="24" t="n"/>
      <c r="D75" s="41" t="n"/>
      <c r="E75" s="41" t="n"/>
      <c r="F75" s="19">
        <f>IF(COUNTA(A75:E75)=0,"",IF(OR(ISNUMBER(SEARCH("소계",B75)),ISNUMBER(SEARCH("합계",B75))),"",TRIM(IF(B75="","이름 없음 ","")&amp;IF(A75="","받은 가족 없음 ","")&amp;IF(C75="","금액 없음 ",IF(ISNUMBER(C75),IF(C75&lt;1000,"금액 확인 ",""),"금액 확인 "))&amp;IF(AND(B75&lt;&gt;"",COUNTIFS($A$2:$A$1001,A75,$B$2:$B$1001,B75,$C$2:$C$1001,C75)&gt;1),"중복 의심",""))))</f>
        <v/>
      </c>
      <c r="G75" s="25">
        <f>IF(OR(COUNTA(A75:E75)=0,OR(ISNUMBER(SEARCH("소계",B75)),ISNUMBER(SEARCH("합계",B75)))),"",1+COUNTIF($B$1:B74,"*소계*"))</f>
        <v/>
      </c>
      <c r="H75">
        <f>IF(AND(A75&lt;&gt;"",A75=가족별!$B$1,G75&lt;&gt;""),COUNTIFS($A$2:A75,가족별!$B$1,$G$2:G75,"&gt;0"),"")</f>
        <v/>
      </c>
      <c r="I75">
        <f>IF(ISNUMBER(SEARCH("소계",B75)),COUNTIF($B$2:B75,"*소계*"),"")</f>
        <v/>
      </c>
      <c r="J75">
        <f>IF(F75="",0,1)</f>
        <v/>
      </c>
    </row>
    <row r="76">
      <c r="A76" s="41" t="n"/>
      <c r="B76" s="41" t="n"/>
      <c r="C76" s="24" t="n"/>
      <c r="D76" s="41" t="n"/>
      <c r="E76" s="41" t="n"/>
      <c r="F76" s="19">
        <f>IF(COUNTA(A76:E76)=0,"",IF(OR(ISNUMBER(SEARCH("소계",B76)),ISNUMBER(SEARCH("합계",B76))),"",TRIM(IF(B76="","이름 없음 ","")&amp;IF(A76="","받은 가족 없음 ","")&amp;IF(C76="","금액 없음 ",IF(ISNUMBER(C76),IF(C76&lt;1000,"금액 확인 ",""),"금액 확인 "))&amp;IF(AND(B76&lt;&gt;"",COUNTIFS($A$2:$A$1001,A76,$B$2:$B$1001,B76,$C$2:$C$1001,C76)&gt;1),"중복 의심",""))))</f>
        <v/>
      </c>
      <c r="G76" s="25">
        <f>IF(OR(COUNTA(A76:E76)=0,OR(ISNUMBER(SEARCH("소계",B76)),ISNUMBER(SEARCH("합계",B76)))),"",1+COUNTIF($B$1:B75,"*소계*"))</f>
        <v/>
      </c>
      <c r="H76">
        <f>IF(AND(A76&lt;&gt;"",A76=가족별!$B$1,G76&lt;&gt;""),COUNTIFS($A$2:A76,가족별!$B$1,$G$2:G76,"&gt;0"),"")</f>
        <v/>
      </c>
      <c r="I76">
        <f>IF(ISNUMBER(SEARCH("소계",B76)),COUNTIF($B$2:B76,"*소계*"),"")</f>
        <v/>
      </c>
      <c r="J76">
        <f>IF(F76="",0,1)</f>
        <v/>
      </c>
    </row>
    <row r="77">
      <c r="A77" s="41" t="n"/>
      <c r="B77" s="41" t="n"/>
      <c r="C77" s="24" t="n"/>
      <c r="D77" s="41" t="n"/>
      <c r="E77" s="41" t="n"/>
      <c r="F77" s="19">
        <f>IF(COUNTA(A77:E77)=0,"",IF(OR(ISNUMBER(SEARCH("소계",B77)),ISNUMBER(SEARCH("합계",B77))),"",TRIM(IF(B77="","이름 없음 ","")&amp;IF(A77="","받은 가족 없음 ","")&amp;IF(C77="","금액 없음 ",IF(ISNUMBER(C77),IF(C77&lt;1000,"금액 확인 ",""),"금액 확인 "))&amp;IF(AND(B77&lt;&gt;"",COUNTIFS($A$2:$A$1001,A77,$B$2:$B$1001,B77,$C$2:$C$1001,C77)&gt;1),"중복 의심",""))))</f>
        <v/>
      </c>
      <c r="G77" s="25">
        <f>IF(OR(COUNTA(A77:E77)=0,OR(ISNUMBER(SEARCH("소계",B77)),ISNUMBER(SEARCH("합계",B77)))),"",1+COUNTIF($B$1:B76,"*소계*"))</f>
        <v/>
      </c>
      <c r="H77">
        <f>IF(AND(A77&lt;&gt;"",A77=가족별!$B$1,G77&lt;&gt;""),COUNTIFS($A$2:A77,가족별!$B$1,$G$2:G77,"&gt;0"),"")</f>
        <v/>
      </c>
      <c r="I77">
        <f>IF(ISNUMBER(SEARCH("소계",B77)),COUNTIF($B$2:B77,"*소계*"),"")</f>
        <v/>
      </c>
      <c r="J77">
        <f>IF(F77="",0,1)</f>
        <v/>
      </c>
    </row>
    <row r="78">
      <c r="A78" s="41" t="n"/>
      <c r="B78" s="41" t="n"/>
      <c r="C78" s="24" t="n"/>
      <c r="D78" s="41" t="n"/>
      <c r="E78" s="41" t="n"/>
      <c r="F78" s="19">
        <f>IF(COUNTA(A78:E78)=0,"",IF(OR(ISNUMBER(SEARCH("소계",B78)),ISNUMBER(SEARCH("합계",B78))),"",TRIM(IF(B78="","이름 없음 ","")&amp;IF(A78="","받은 가족 없음 ","")&amp;IF(C78="","금액 없음 ",IF(ISNUMBER(C78),IF(C78&lt;1000,"금액 확인 ",""),"금액 확인 "))&amp;IF(AND(B78&lt;&gt;"",COUNTIFS($A$2:$A$1001,A78,$B$2:$B$1001,B78,$C$2:$C$1001,C78)&gt;1),"중복 의심",""))))</f>
        <v/>
      </c>
      <c r="G78" s="25">
        <f>IF(OR(COUNTA(A78:E78)=0,OR(ISNUMBER(SEARCH("소계",B78)),ISNUMBER(SEARCH("합계",B78)))),"",1+COUNTIF($B$1:B77,"*소계*"))</f>
        <v/>
      </c>
      <c r="H78">
        <f>IF(AND(A78&lt;&gt;"",A78=가족별!$B$1,G78&lt;&gt;""),COUNTIFS($A$2:A78,가족별!$B$1,$G$2:G78,"&gt;0"),"")</f>
        <v/>
      </c>
      <c r="I78">
        <f>IF(ISNUMBER(SEARCH("소계",B78)),COUNTIF($B$2:B78,"*소계*"),"")</f>
        <v/>
      </c>
      <c r="J78">
        <f>IF(F78="",0,1)</f>
        <v/>
      </c>
    </row>
    <row r="79">
      <c r="A79" s="41" t="n"/>
      <c r="B79" s="41" t="n"/>
      <c r="C79" s="24" t="n"/>
      <c r="D79" s="41" t="n"/>
      <c r="E79" s="41" t="n"/>
      <c r="F79" s="19">
        <f>IF(COUNTA(A79:E79)=0,"",IF(OR(ISNUMBER(SEARCH("소계",B79)),ISNUMBER(SEARCH("합계",B79))),"",TRIM(IF(B79="","이름 없음 ","")&amp;IF(A79="","받은 가족 없음 ","")&amp;IF(C79="","금액 없음 ",IF(ISNUMBER(C79),IF(C79&lt;1000,"금액 확인 ",""),"금액 확인 "))&amp;IF(AND(B79&lt;&gt;"",COUNTIFS($A$2:$A$1001,A79,$B$2:$B$1001,B79,$C$2:$C$1001,C79)&gt;1),"중복 의심",""))))</f>
        <v/>
      </c>
      <c r="G79" s="25">
        <f>IF(OR(COUNTA(A79:E79)=0,OR(ISNUMBER(SEARCH("소계",B79)),ISNUMBER(SEARCH("합계",B79)))),"",1+COUNTIF($B$1:B78,"*소계*"))</f>
        <v/>
      </c>
      <c r="H79">
        <f>IF(AND(A79&lt;&gt;"",A79=가족별!$B$1,G79&lt;&gt;""),COUNTIFS($A$2:A79,가족별!$B$1,$G$2:G79,"&gt;0"),"")</f>
        <v/>
      </c>
      <c r="I79">
        <f>IF(ISNUMBER(SEARCH("소계",B79)),COUNTIF($B$2:B79,"*소계*"),"")</f>
        <v/>
      </c>
      <c r="J79">
        <f>IF(F79="",0,1)</f>
        <v/>
      </c>
    </row>
    <row r="80">
      <c r="A80" s="41" t="n"/>
      <c r="B80" s="41" t="n"/>
      <c r="C80" s="24" t="n"/>
      <c r="D80" s="41" t="n"/>
      <c r="E80" s="41" t="n"/>
      <c r="F80" s="19">
        <f>IF(COUNTA(A80:E80)=0,"",IF(OR(ISNUMBER(SEARCH("소계",B80)),ISNUMBER(SEARCH("합계",B80))),"",TRIM(IF(B80="","이름 없음 ","")&amp;IF(A80="","받은 가족 없음 ","")&amp;IF(C80="","금액 없음 ",IF(ISNUMBER(C80),IF(C80&lt;1000,"금액 확인 ",""),"금액 확인 "))&amp;IF(AND(B80&lt;&gt;"",COUNTIFS($A$2:$A$1001,A80,$B$2:$B$1001,B80,$C$2:$C$1001,C80)&gt;1),"중복 의심",""))))</f>
        <v/>
      </c>
      <c r="G80" s="25">
        <f>IF(OR(COUNTA(A80:E80)=0,OR(ISNUMBER(SEARCH("소계",B80)),ISNUMBER(SEARCH("합계",B80)))),"",1+COUNTIF($B$1:B79,"*소계*"))</f>
        <v/>
      </c>
      <c r="H80">
        <f>IF(AND(A80&lt;&gt;"",A80=가족별!$B$1,G80&lt;&gt;""),COUNTIFS($A$2:A80,가족별!$B$1,$G$2:G80,"&gt;0"),"")</f>
        <v/>
      </c>
      <c r="I80">
        <f>IF(ISNUMBER(SEARCH("소계",B80)),COUNTIF($B$2:B80,"*소계*"),"")</f>
        <v/>
      </c>
      <c r="J80">
        <f>IF(F80="",0,1)</f>
        <v/>
      </c>
    </row>
    <row r="81">
      <c r="A81" s="41" t="n"/>
      <c r="B81" s="41" t="n"/>
      <c r="C81" s="24" t="n"/>
      <c r="D81" s="41" t="n"/>
      <c r="E81" s="41" t="n"/>
      <c r="F81" s="19">
        <f>IF(COUNTA(A81:E81)=0,"",IF(OR(ISNUMBER(SEARCH("소계",B81)),ISNUMBER(SEARCH("합계",B81))),"",TRIM(IF(B81="","이름 없음 ","")&amp;IF(A81="","받은 가족 없음 ","")&amp;IF(C81="","금액 없음 ",IF(ISNUMBER(C81),IF(C81&lt;1000,"금액 확인 ",""),"금액 확인 "))&amp;IF(AND(B81&lt;&gt;"",COUNTIFS($A$2:$A$1001,A81,$B$2:$B$1001,B81,$C$2:$C$1001,C81)&gt;1),"중복 의심",""))))</f>
        <v/>
      </c>
      <c r="G81" s="25">
        <f>IF(OR(COUNTA(A81:E81)=0,OR(ISNUMBER(SEARCH("소계",B81)),ISNUMBER(SEARCH("합계",B81)))),"",1+COUNTIF($B$1:B80,"*소계*"))</f>
        <v/>
      </c>
      <c r="H81">
        <f>IF(AND(A81&lt;&gt;"",A81=가족별!$B$1,G81&lt;&gt;""),COUNTIFS($A$2:A81,가족별!$B$1,$G$2:G81,"&gt;0"),"")</f>
        <v/>
      </c>
      <c r="I81">
        <f>IF(ISNUMBER(SEARCH("소계",B81)),COUNTIF($B$2:B81,"*소계*"),"")</f>
        <v/>
      </c>
      <c r="J81">
        <f>IF(F81="",0,1)</f>
        <v/>
      </c>
    </row>
    <row r="82">
      <c r="A82" s="41" t="n"/>
      <c r="B82" s="41" t="n"/>
      <c r="C82" s="24" t="n"/>
      <c r="D82" s="41" t="n"/>
      <c r="E82" s="41" t="n"/>
      <c r="F82" s="19">
        <f>IF(COUNTA(A82:E82)=0,"",IF(OR(ISNUMBER(SEARCH("소계",B82)),ISNUMBER(SEARCH("합계",B82))),"",TRIM(IF(B82="","이름 없음 ","")&amp;IF(A82="","받은 가족 없음 ","")&amp;IF(C82="","금액 없음 ",IF(ISNUMBER(C82),IF(C82&lt;1000,"금액 확인 ",""),"금액 확인 "))&amp;IF(AND(B82&lt;&gt;"",COUNTIFS($A$2:$A$1001,A82,$B$2:$B$1001,B82,$C$2:$C$1001,C82)&gt;1),"중복 의심",""))))</f>
        <v/>
      </c>
      <c r="G82" s="25">
        <f>IF(OR(COUNTA(A82:E82)=0,OR(ISNUMBER(SEARCH("소계",B82)),ISNUMBER(SEARCH("합계",B82)))),"",1+COUNTIF($B$1:B81,"*소계*"))</f>
        <v/>
      </c>
      <c r="H82">
        <f>IF(AND(A82&lt;&gt;"",A82=가족별!$B$1,G82&lt;&gt;""),COUNTIFS($A$2:A82,가족별!$B$1,$G$2:G82,"&gt;0"),"")</f>
        <v/>
      </c>
      <c r="I82">
        <f>IF(ISNUMBER(SEARCH("소계",B82)),COUNTIF($B$2:B82,"*소계*"),"")</f>
        <v/>
      </c>
      <c r="J82">
        <f>IF(F82="",0,1)</f>
        <v/>
      </c>
    </row>
    <row r="83">
      <c r="A83" s="41" t="n"/>
      <c r="B83" s="41" t="n"/>
      <c r="C83" s="24" t="n"/>
      <c r="D83" s="41" t="n"/>
      <c r="E83" s="41" t="n"/>
      <c r="F83" s="19">
        <f>IF(COUNTA(A83:E83)=0,"",IF(OR(ISNUMBER(SEARCH("소계",B83)),ISNUMBER(SEARCH("합계",B83))),"",TRIM(IF(B83="","이름 없음 ","")&amp;IF(A83="","받은 가족 없음 ","")&amp;IF(C83="","금액 없음 ",IF(ISNUMBER(C83),IF(C83&lt;1000,"금액 확인 ",""),"금액 확인 "))&amp;IF(AND(B83&lt;&gt;"",COUNTIFS($A$2:$A$1001,A83,$B$2:$B$1001,B83,$C$2:$C$1001,C83)&gt;1),"중복 의심",""))))</f>
        <v/>
      </c>
      <c r="G83" s="25">
        <f>IF(OR(COUNTA(A83:E83)=0,OR(ISNUMBER(SEARCH("소계",B83)),ISNUMBER(SEARCH("합계",B83)))),"",1+COUNTIF($B$1:B82,"*소계*"))</f>
        <v/>
      </c>
      <c r="H83">
        <f>IF(AND(A83&lt;&gt;"",A83=가족별!$B$1,G83&lt;&gt;""),COUNTIFS($A$2:A83,가족별!$B$1,$G$2:G83,"&gt;0"),"")</f>
        <v/>
      </c>
      <c r="I83">
        <f>IF(ISNUMBER(SEARCH("소계",B83)),COUNTIF($B$2:B83,"*소계*"),"")</f>
        <v/>
      </c>
      <c r="J83">
        <f>IF(F83="",0,1)</f>
        <v/>
      </c>
    </row>
    <row r="84">
      <c r="A84" s="41" t="n"/>
      <c r="B84" s="41" t="n"/>
      <c r="C84" s="24" t="n"/>
      <c r="D84" s="41" t="n"/>
      <c r="E84" s="41" t="n"/>
      <c r="F84" s="19">
        <f>IF(COUNTA(A84:E84)=0,"",IF(OR(ISNUMBER(SEARCH("소계",B84)),ISNUMBER(SEARCH("합계",B84))),"",TRIM(IF(B84="","이름 없음 ","")&amp;IF(A84="","받은 가족 없음 ","")&amp;IF(C84="","금액 없음 ",IF(ISNUMBER(C84),IF(C84&lt;1000,"금액 확인 ",""),"금액 확인 "))&amp;IF(AND(B84&lt;&gt;"",COUNTIFS($A$2:$A$1001,A84,$B$2:$B$1001,B84,$C$2:$C$1001,C84)&gt;1),"중복 의심",""))))</f>
        <v/>
      </c>
      <c r="G84" s="25">
        <f>IF(OR(COUNTA(A84:E84)=0,OR(ISNUMBER(SEARCH("소계",B84)),ISNUMBER(SEARCH("합계",B84)))),"",1+COUNTIF($B$1:B83,"*소계*"))</f>
        <v/>
      </c>
      <c r="H84">
        <f>IF(AND(A84&lt;&gt;"",A84=가족별!$B$1,G84&lt;&gt;""),COUNTIFS($A$2:A84,가족별!$B$1,$G$2:G84,"&gt;0"),"")</f>
        <v/>
      </c>
      <c r="I84">
        <f>IF(ISNUMBER(SEARCH("소계",B84)),COUNTIF($B$2:B84,"*소계*"),"")</f>
        <v/>
      </c>
      <c r="J84">
        <f>IF(F84="",0,1)</f>
        <v/>
      </c>
    </row>
    <row r="85">
      <c r="A85" s="41" t="n"/>
      <c r="B85" s="41" t="n"/>
      <c r="C85" s="24" t="n"/>
      <c r="D85" s="41" t="n"/>
      <c r="E85" s="41" t="n"/>
      <c r="F85" s="19">
        <f>IF(COUNTA(A85:E85)=0,"",IF(OR(ISNUMBER(SEARCH("소계",B85)),ISNUMBER(SEARCH("합계",B85))),"",TRIM(IF(B85="","이름 없음 ","")&amp;IF(A85="","받은 가족 없음 ","")&amp;IF(C85="","금액 없음 ",IF(ISNUMBER(C85),IF(C85&lt;1000,"금액 확인 ",""),"금액 확인 "))&amp;IF(AND(B85&lt;&gt;"",COUNTIFS($A$2:$A$1001,A85,$B$2:$B$1001,B85,$C$2:$C$1001,C85)&gt;1),"중복 의심",""))))</f>
        <v/>
      </c>
      <c r="G85" s="25">
        <f>IF(OR(COUNTA(A85:E85)=0,OR(ISNUMBER(SEARCH("소계",B85)),ISNUMBER(SEARCH("합계",B85)))),"",1+COUNTIF($B$1:B84,"*소계*"))</f>
        <v/>
      </c>
      <c r="H85">
        <f>IF(AND(A85&lt;&gt;"",A85=가족별!$B$1,G85&lt;&gt;""),COUNTIFS($A$2:A85,가족별!$B$1,$G$2:G85,"&gt;0"),"")</f>
        <v/>
      </c>
      <c r="I85">
        <f>IF(ISNUMBER(SEARCH("소계",B85)),COUNTIF($B$2:B85,"*소계*"),"")</f>
        <v/>
      </c>
      <c r="J85">
        <f>IF(F85="",0,1)</f>
        <v/>
      </c>
    </row>
    <row r="86">
      <c r="A86" s="41" t="n"/>
      <c r="B86" s="41" t="n"/>
      <c r="C86" s="24" t="n"/>
      <c r="D86" s="41" t="n"/>
      <c r="E86" s="41" t="n"/>
      <c r="F86" s="19">
        <f>IF(COUNTA(A86:E86)=0,"",IF(OR(ISNUMBER(SEARCH("소계",B86)),ISNUMBER(SEARCH("합계",B86))),"",TRIM(IF(B86="","이름 없음 ","")&amp;IF(A86="","받은 가족 없음 ","")&amp;IF(C86="","금액 없음 ",IF(ISNUMBER(C86),IF(C86&lt;1000,"금액 확인 ",""),"금액 확인 "))&amp;IF(AND(B86&lt;&gt;"",COUNTIFS($A$2:$A$1001,A86,$B$2:$B$1001,B86,$C$2:$C$1001,C86)&gt;1),"중복 의심",""))))</f>
        <v/>
      </c>
      <c r="G86" s="25">
        <f>IF(OR(COUNTA(A86:E86)=0,OR(ISNUMBER(SEARCH("소계",B86)),ISNUMBER(SEARCH("합계",B86)))),"",1+COUNTIF($B$1:B85,"*소계*"))</f>
        <v/>
      </c>
      <c r="H86">
        <f>IF(AND(A86&lt;&gt;"",A86=가족별!$B$1,G86&lt;&gt;""),COUNTIFS($A$2:A86,가족별!$B$1,$G$2:G86,"&gt;0"),"")</f>
        <v/>
      </c>
      <c r="I86">
        <f>IF(ISNUMBER(SEARCH("소계",B86)),COUNTIF($B$2:B86,"*소계*"),"")</f>
        <v/>
      </c>
      <c r="J86">
        <f>IF(F86="",0,1)</f>
        <v/>
      </c>
    </row>
    <row r="87">
      <c r="A87" s="41" t="n"/>
      <c r="B87" s="41" t="n"/>
      <c r="C87" s="24" t="n"/>
      <c r="D87" s="41" t="n"/>
      <c r="E87" s="41" t="n"/>
      <c r="F87" s="19">
        <f>IF(COUNTA(A87:E87)=0,"",IF(OR(ISNUMBER(SEARCH("소계",B87)),ISNUMBER(SEARCH("합계",B87))),"",TRIM(IF(B87="","이름 없음 ","")&amp;IF(A87="","받은 가족 없음 ","")&amp;IF(C87="","금액 없음 ",IF(ISNUMBER(C87),IF(C87&lt;1000,"금액 확인 ",""),"금액 확인 "))&amp;IF(AND(B87&lt;&gt;"",COUNTIFS($A$2:$A$1001,A87,$B$2:$B$1001,B87,$C$2:$C$1001,C87)&gt;1),"중복 의심",""))))</f>
        <v/>
      </c>
      <c r="G87" s="25">
        <f>IF(OR(COUNTA(A87:E87)=0,OR(ISNUMBER(SEARCH("소계",B87)),ISNUMBER(SEARCH("합계",B87)))),"",1+COUNTIF($B$1:B86,"*소계*"))</f>
        <v/>
      </c>
      <c r="H87">
        <f>IF(AND(A87&lt;&gt;"",A87=가족별!$B$1,G87&lt;&gt;""),COUNTIFS($A$2:A87,가족별!$B$1,$G$2:G87,"&gt;0"),"")</f>
        <v/>
      </c>
      <c r="I87">
        <f>IF(ISNUMBER(SEARCH("소계",B87)),COUNTIF($B$2:B87,"*소계*"),"")</f>
        <v/>
      </c>
      <c r="J87">
        <f>IF(F87="",0,1)</f>
        <v/>
      </c>
    </row>
    <row r="88">
      <c r="A88" s="41" t="n"/>
      <c r="B88" s="41" t="n"/>
      <c r="C88" s="24" t="n"/>
      <c r="D88" s="41" t="n"/>
      <c r="E88" s="41" t="n"/>
      <c r="F88" s="19">
        <f>IF(COUNTA(A88:E88)=0,"",IF(OR(ISNUMBER(SEARCH("소계",B88)),ISNUMBER(SEARCH("합계",B88))),"",TRIM(IF(B88="","이름 없음 ","")&amp;IF(A88="","받은 가족 없음 ","")&amp;IF(C88="","금액 없음 ",IF(ISNUMBER(C88),IF(C88&lt;1000,"금액 확인 ",""),"금액 확인 "))&amp;IF(AND(B88&lt;&gt;"",COUNTIFS($A$2:$A$1001,A88,$B$2:$B$1001,B88,$C$2:$C$1001,C88)&gt;1),"중복 의심",""))))</f>
        <v/>
      </c>
      <c r="G88" s="25">
        <f>IF(OR(COUNTA(A88:E88)=0,OR(ISNUMBER(SEARCH("소계",B88)),ISNUMBER(SEARCH("합계",B88)))),"",1+COUNTIF($B$1:B87,"*소계*"))</f>
        <v/>
      </c>
      <c r="H88">
        <f>IF(AND(A88&lt;&gt;"",A88=가족별!$B$1,G88&lt;&gt;""),COUNTIFS($A$2:A88,가족별!$B$1,$G$2:G88,"&gt;0"),"")</f>
        <v/>
      </c>
      <c r="I88">
        <f>IF(ISNUMBER(SEARCH("소계",B88)),COUNTIF($B$2:B88,"*소계*"),"")</f>
        <v/>
      </c>
      <c r="J88">
        <f>IF(F88="",0,1)</f>
        <v/>
      </c>
    </row>
    <row r="89">
      <c r="A89" s="41" t="n"/>
      <c r="B89" s="41" t="n"/>
      <c r="C89" s="24" t="n"/>
      <c r="D89" s="41" t="n"/>
      <c r="E89" s="41" t="n"/>
      <c r="F89" s="19">
        <f>IF(COUNTA(A89:E89)=0,"",IF(OR(ISNUMBER(SEARCH("소계",B89)),ISNUMBER(SEARCH("합계",B89))),"",TRIM(IF(B89="","이름 없음 ","")&amp;IF(A89="","받은 가족 없음 ","")&amp;IF(C89="","금액 없음 ",IF(ISNUMBER(C89),IF(C89&lt;1000,"금액 확인 ",""),"금액 확인 "))&amp;IF(AND(B89&lt;&gt;"",COUNTIFS($A$2:$A$1001,A89,$B$2:$B$1001,B89,$C$2:$C$1001,C89)&gt;1),"중복 의심",""))))</f>
        <v/>
      </c>
      <c r="G89" s="25">
        <f>IF(OR(COUNTA(A89:E89)=0,OR(ISNUMBER(SEARCH("소계",B89)),ISNUMBER(SEARCH("합계",B89)))),"",1+COUNTIF($B$1:B88,"*소계*"))</f>
        <v/>
      </c>
      <c r="H89">
        <f>IF(AND(A89&lt;&gt;"",A89=가족별!$B$1,G89&lt;&gt;""),COUNTIFS($A$2:A89,가족별!$B$1,$G$2:G89,"&gt;0"),"")</f>
        <v/>
      </c>
      <c r="I89">
        <f>IF(ISNUMBER(SEARCH("소계",B89)),COUNTIF($B$2:B89,"*소계*"),"")</f>
        <v/>
      </c>
      <c r="J89">
        <f>IF(F89="",0,1)</f>
        <v/>
      </c>
    </row>
    <row r="90">
      <c r="A90" s="41" t="n"/>
      <c r="B90" s="41" t="n"/>
      <c r="C90" s="24" t="n"/>
      <c r="D90" s="41" t="n"/>
      <c r="E90" s="41" t="n"/>
      <c r="F90" s="19">
        <f>IF(COUNTA(A90:E90)=0,"",IF(OR(ISNUMBER(SEARCH("소계",B90)),ISNUMBER(SEARCH("합계",B90))),"",TRIM(IF(B90="","이름 없음 ","")&amp;IF(A90="","받은 가족 없음 ","")&amp;IF(C90="","금액 없음 ",IF(ISNUMBER(C90),IF(C90&lt;1000,"금액 확인 ",""),"금액 확인 "))&amp;IF(AND(B90&lt;&gt;"",COUNTIFS($A$2:$A$1001,A90,$B$2:$B$1001,B90,$C$2:$C$1001,C90)&gt;1),"중복 의심",""))))</f>
        <v/>
      </c>
      <c r="G90" s="25">
        <f>IF(OR(COUNTA(A90:E90)=0,OR(ISNUMBER(SEARCH("소계",B90)),ISNUMBER(SEARCH("합계",B90)))),"",1+COUNTIF($B$1:B89,"*소계*"))</f>
        <v/>
      </c>
      <c r="H90">
        <f>IF(AND(A90&lt;&gt;"",A90=가족별!$B$1,G90&lt;&gt;""),COUNTIFS($A$2:A90,가족별!$B$1,$G$2:G90,"&gt;0"),"")</f>
        <v/>
      </c>
      <c r="I90">
        <f>IF(ISNUMBER(SEARCH("소계",B90)),COUNTIF($B$2:B90,"*소계*"),"")</f>
        <v/>
      </c>
      <c r="J90">
        <f>IF(F90="",0,1)</f>
        <v/>
      </c>
    </row>
    <row r="91">
      <c r="A91" s="41" t="n"/>
      <c r="B91" s="41" t="n"/>
      <c r="C91" s="24" t="n"/>
      <c r="D91" s="41" t="n"/>
      <c r="E91" s="41" t="n"/>
      <c r="F91" s="19">
        <f>IF(COUNTA(A91:E91)=0,"",IF(OR(ISNUMBER(SEARCH("소계",B91)),ISNUMBER(SEARCH("합계",B91))),"",TRIM(IF(B91="","이름 없음 ","")&amp;IF(A91="","받은 가족 없음 ","")&amp;IF(C91="","금액 없음 ",IF(ISNUMBER(C91),IF(C91&lt;1000,"금액 확인 ",""),"금액 확인 "))&amp;IF(AND(B91&lt;&gt;"",COUNTIFS($A$2:$A$1001,A91,$B$2:$B$1001,B91,$C$2:$C$1001,C91)&gt;1),"중복 의심",""))))</f>
        <v/>
      </c>
      <c r="G91" s="25">
        <f>IF(OR(COUNTA(A91:E91)=0,OR(ISNUMBER(SEARCH("소계",B91)),ISNUMBER(SEARCH("합계",B91)))),"",1+COUNTIF($B$1:B90,"*소계*"))</f>
        <v/>
      </c>
      <c r="H91">
        <f>IF(AND(A91&lt;&gt;"",A91=가족별!$B$1,G91&lt;&gt;""),COUNTIFS($A$2:A91,가족별!$B$1,$G$2:G91,"&gt;0"),"")</f>
        <v/>
      </c>
      <c r="I91">
        <f>IF(ISNUMBER(SEARCH("소계",B91)),COUNTIF($B$2:B91,"*소계*"),"")</f>
        <v/>
      </c>
      <c r="J91">
        <f>IF(F91="",0,1)</f>
        <v/>
      </c>
    </row>
    <row r="92">
      <c r="A92" s="41" t="n"/>
      <c r="B92" s="41" t="n"/>
      <c r="C92" s="24" t="n"/>
      <c r="D92" s="41" t="n"/>
      <c r="E92" s="41" t="n"/>
      <c r="F92" s="19">
        <f>IF(COUNTA(A92:E92)=0,"",IF(OR(ISNUMBER(SEARCH("소계",B92)),ISNUMBER(SEARCH("합계",B92))),"",TRIM(IF(B92="","이름 없음 ","")&amp;IF(A92="","받은 가족 없음 ","")&amp;IF(C92="","금액 없음 ",IF(ISNUMBER(C92),IF(C92&lt;1000,"금액 확인 ",""),"금액 확인 "))&amp;IF(AND(B92&lt;&gt;"",COUNTIFS($A$2:$A$1001,A92,$B$2:$B$1001,B92,$C$2:$C$1001,C92)&gt;1),"중복 의심",""))))</f>
        <v/>
      </c>
      <c r="G92" s="25">
        <f>IF(OR(COUNTA(A92:E92)=0,OR(ISNUMBER(SEARCH("소계",B92)),ISNUMBER(SEARCH("합계",B92)))),"",1+COUNTIF($B$1:B91,"*소계*"))</f>
        <v/>
      </c>
      <c r="H92">
        <f>IF(AND(A92&lt;&gt;"",A92=가족별!$B$1,G92&lt;&gt;""),COUNTIFS($A$2:A92,가족별!$B$1,$G$2:G92,"&gt;0"),"")</f>
        <v/>
      </c>
      <c r="I92">
        <f>IF(ISNUMBER(SEARCH("소계",B92)),COUNTIF($B$2:B92,"*소계*"),"")</f>
        <v/>
      </c>
      <c r="J92">
        <f>IF(F92="",0,1)</f>
        <v/>
      </c>
    </row>
    <row r="93">
      <c r="A93" s="41" t="n"/>
      <c r="B93" s="41" t="n"/>
      <c r="C93" s="24" t="n"/>
      <c r="D93" s="41" t="n"/>
      <c r="E93" s="41" t="n"/>
      <c r="F93" s="19">
        <f>IF(COUNTA(A93:E93)=0,"",IF(OR(ISNUMBER(SEARCH("소계",B93)),ISNUMBER(SEARCH("합계",B93))),"",TRIM(IF(B93="","이름 없음 ","")&amp;IF(A93="","받은 가족 없음 ","")&amp;IF(C93="","금액 없음 ",IF(ISNUMBER(C93),IF(C93&lt;1000,"금액 확인 ",""),"금액 확인 "))&amp;IF(AND(B93&lt;&gt;"",COUNTIFS($A$2:$A$1001,A93,$B$2:$B$1001,B93,$C$2:$C$1001,C93)&gt;1),"중복 의심",""))))</f>
        <v/>
      </c>
      <c r="G93" s="25">
        <f>IF(OR(COUNTA(A93:E93)=0,OR(ISNUMBER(SEARCH("소계",B93)),ISNUMBER(SEARCH("합계",B93)))),"",1+COUNTIF($B$1:B92,"*소계*"))</f>
        <v/>
      </c>
      <c r="H93">
        <f>IF(AND(A93&lt;&gt;"",A93=가족별!$B$1,G93&lt;&gt;""),COUNTIFS($A$2:A93,가족별!$B$1,$G$2:G93,"&gt;0"),"")</f>
        <v/>
      </c>
      <c r="I93">
        <f>IF(ISNUMBER(SEARCH("소계",B93)),COUNTIF($B$2:B93,"*소계*"),"")</f>
        <v/>
      </c>
      <c r="J93">
        <f>IF(F93="",0,1)</f>
        <v/>
      </c>
    </row>
    <row r="94">
      <c r="A94" s="41" t="n"/>
      <c r="B94" s="41" t="n"/>
      <c r="C94" s="24" t="n"/>
      <c r="D94" s="41" t="n"/>
      <c r="E94" s="41" t="n"/>
      <c r="F94" s="19">
        <f>IF(COUNTA(A94:E94)=0,"",IF(OR(ISNUMBER(SEARCH("소계",B94)),ISNUMBER(SEARCH("합계",B94))),"",TRIM(IF(B94="","이름 없음 ","")&amp;IF(A94="","받은 가족 없음 ","")&amp;IF(C94="","금액 없음 ",IF(ISNUMBER(C94),IF(C94&lt;1000,"금액 확인 ",""),"금액 확인 "))&amp;IF(AND(B94&lt;&gt;"",COUNTIFS($A$2:$A$1001,A94,$B$2:$B$1001,B94,$C$2:$C$1001,C94)&gt;1),"중복 의심",""))))</f>
        <v/>
      </c>
      <c r="G94" s="25">
        <f>IF(OR(COUNTA(A94:E94)=0,OR(ISNUMBER(SEARCH("소계",B94)),ISNUMBER(SEARCH("합계",B94)))),"",1+COUNTIF($B$1:B93,"*소계*"))</f>
        <v/>
      </c>
      <c r="H94">
        <f>IF(AND(A94&lt;&gt;"",A94=가족별!$B$1,G94&lt;&gt;""),COUNTIFS($A$2:A94,가족별!$B$1,$G$2:G94,"&gt;0"),"")</f>
        <v/>
      </c>
      <c r="I94">
        <f>IF(ISNUMBER(SEARCH("소계",B94)),COUNTIF($B$2:B94,"*소계*"),"")</f>
        <v/>
      </c>
      <c r="J94">
        <f>IF(F94="",0,1)</f>
        <v/>
      </c>
    </row>
    <row r="95">
      <c r="A95" s="41" t="n"/>
      <c r="B95" s="41" t="n"/>
      <c r="C95" s="24" t="n"/>
      <c r="D95" s="41" t="n"/>
      <c r="E95" s="41" t="n"/>
      <c r="F95" s="19">
        <f>IF(COUNTA(A95:E95)=0,"",IF(OR(ISNUMBER(SEARCH("소계",B95)),ISNUMBER(SEARCH("합계",B95))),"",TRIM(IF(B95="","이름 없음 ","")&amp;IF(A95="","받은 가족 없음 ","")&amp;IF(C95="","금액 없음 ",IF(ISNUMBER(C95),IF(C95&lt;1000,"금액 확인 ",""),"금액 확인 "))&amp;IF(AND(B95&lt;&gt;"",COUNTIFS($A$2:$A$1001,A95,$B$2:$B$1001,B95,$C$2:$C$1001,C95)&gt;1),"중복 의심",""))))</f>
        <v/>
      </c>
      <c r="G95" s="25">
        <f>IF(OR(COUNTA(A95:E95)=0,OR(ISNUMBER(SEARCH("소계",B95)),ISNUMBER(SEARCH("합계",B95)))),"",1+COUNTIF($B$1:B94,"*소계*"))</f>
        <v/>
      </c>
      <c r="H95">
        <f>IF(AND(A95&lt;&gt;"",A95=가족별!$B$1,G95&lt;&gt;""),COUNTIFS($A$2:A95,가족별!$B$1,$G$2:G95,"&gt;0"),"")</f>
        <v/>
      </c>
      <c r="I95">
        <f>IF(ISNUMBER(SEARCH("소계",B95)),COUNTIF($B$2:B95,"*소계*"),"")</f>
        <v/>
      </c>
      <c r="J95">
        <f>IF(F95="",0,1)</f>
        <v/>
      </c>
    </row>
    <row r="96">
      <c r="A96" s="41" t="n"/>
      <c r="B96" s="41" t="n"/>
      <c r="C96" s="24" t="n"/>
      <c r="D96" s="41" t="n"/>
      <c r="E96" s="41" t="n"/>
      <c r="F96" s="19">
        <f>IF(COUNTA(A96:E96)=0,"",IF(OR(ISNUMBER(SEARCH("소계",B96)),ISNUMBER(SEARCH("합계",B96))),"",TRIM(IF(B96="","이름 없음 ","")&amp;IF(A96="","받은 가족 없음 ","")&amp;IF(C96="","금액 없음 ",IF(ISNUMBER(C96),IF(C96&lt;1000,"금액 확인 ",""),"금액 확인 "))&amp;IF(AND(B96&lt;&gt;"",COUNTIFS($A$2:$A$1001,A96,$B$2:$B$1001,B96,$C$2:$C$1001,C96)&gt;1),"중복 의심",""))))</f>
        <v/>
      </c>
      <c r="G96" s="25">
        <f>IF(OR(COUNTA(A96:E96)=0,OR(ISNUMBER(SEARCH("소계",B96)),ISNUMBER(SEARCH("합계",B96)))),"",1+COUNTIF($B$1:B95,"*소계*"))</f>
        <v/>
      </c>
      <c r="H96">
        <f>IF(AND(A96&lt;&gt;"",A96=가족별!$B$1,G96&lt;&gt;""),COUNTIFS($A$2:A96,가족별!$B$1,$G$2:G96,"&gt;0"),"")</f>
        <v/>
      </c>
      <c r="I96">
        <f>IF(ISNUMBER(SEARCH("소계",B96)),COUNTIF($B$2:B96,"*소계*"),"")</f>
        <v/>
      </c>
      <c r="J96">
        <f>IF(F96="",0,1)</f>
        <v/>
      </c>
    </row>
    <row r="97">
      <c r="A97" s="41" t="n"/>
      <c r="B97" s="41" t="n"/>
      <c r="C97" s="24" t="n"/>
      <c r="D97" s="41" t="n"/>
      <c r="E97" s="41" t="n"/>
      <c r="F97" s="19">
        <f>IF(COUNTA(A97:E97)=0,"",IF(OR(ISNUMBER(SEARCH("소계",B97)),ISNUMBER(SEARCH("합계",B97))),"",TRIM(IF(B97="","이름 없음 ","")&amp;IF(A97="","받은 가족 없음 ","")&amp;IF(C97="","금액 없음 ",IF(ISNUMBER(C97),IF(C97&lt;1000,"금액 확인 ",""),"금액 확인 "))&amp;IF(AND(B97&lt;&gt;"",COUNTIFS($A$2:$A$1001,A97,$B$2:$B$1001,B97,$C$2:$C$1001,C97)&gt;1),"중복 의심",""))))</f>
        <v/>
      </c>
      <c r="G97" s="25">
        <f>IF(OR(COUNTA(A97:E97)=0,OR(ISNUMBER(SEARCH("소계",B97)),ISNUMBER(SEARCH("합계",B97)))),"",1+COUNTIF($B$1:B96,"*소계*"))</f>
        <v/>
      </c>
      <c r="H97">
        <f>IF(AND(A97&lt;&gt;"",A97=가족별!$B$1,G97&lt;&gt;""),COUNTIFS($A$2:A97,가족별!$B$1,$G$2:G97,"&gt;0"),"")</f>
        <v/>
      </c>
      <c r="I97">
        <f>IF(ISNUMBER(SEARCH("소계",B97)),COUNTIF($B$2:B97,"*소계*"),"")</f>
        <v/>
      </c>
      <c r="J97">
        <f>IF(F97="",0,1)</f>
        <v/>
      </c>
    </row>
    <row r="98">
      <c r="A98" s="41" t="n"/>
      <c r="B98" s="41" t="n"/>
      <c r="C98" s="24" t="n"/>
      <c r="D98" s="41" t="n"/>
      <c r="E98" s="41" t="n"/>
      <c r="F98" s="19">
        <f>IF(COUNTA(A98:E98)=0,"",IF(OR(ISNUMBER(SEARCH("소계",B98)),ISNUMBER(SEARCH("합계",B98))),"",TRIM(IF(B98="","이름 없음 ","")&amp;IF(A98="","받은 가족 없음 ","")&amp;IF(C98="","금액 없음 ",IF(ISNUMBER(C98),IF(C98&lt;1000,"금액 확인 ",""),"금액 확인 "))&amp;IF(AND(B98&lt;&gt;"",COUNTIFS($A$2:$A$1001,A98,$B$2:$B$1001,B98,$C$2:$C$1001,C98)&gt;1),"중복 의심",""))))</f>
        <v/>
      </c>
      <c r="G98" s="25">
        <f>IF(OR(COUNTA(A98:E98)=0,OR(ISNUMBER(SEARCH("소계",B98)),ISNUMBER(SEARCH("합계",B98)))),"",1+COUNTIF($B$1:B97,"*소계*"))</f>
        <v/>
      </c>
      <c r="H98">
        <f>IF(AND(A98&lt;&gt;"",A98=가족별!$B$1,G98&lt;&gt;""),COUNTIFS($A$2:A98,가족별!$B$1,$G$2:G98,"&gt;0"),"")</f>
        <v/>
      </c>
      <c r="I98">
        <f>IF(ISNUMBER(SEARCH("소계",B98)),COUNTIF($B$2:B98,"*소계*"),"")</f>
        <v/>
      </c>
      <c r="J98">
        <f>IF(F98="",0,1)</f>
        <v/>
      </c>
    </row>
    <row r="99">
      <c r="A99" s="41" t="n"/>
      <c r="B99" s="41" t="n"/>
      <c r="C99" s="24" t="n"/>
      <c r="D99" s="41" t="n"/>
      <c r="E99" s="41" t="n"/>
      <c r="F99" s="19">
        <f>IF(COUNTA(A99:E99)=0,"",IF(OR(ISNUMBER(SEARCH("소계",B99)),ISNUMBER(SEARCH("합계",B99))),"",TRIM(IF(B99="","이름 없음 ","")&amp;IF(A99="","받은 가족 없음 ","")&amp;IF(C99="","금액 없음 ",IF(ISNUMBER(C99),IF(C99&lt;1000,"금액 확인 ",""),"금액 확인 "))&amp;IF(AND(B99&lt;&gt;"",COUNTIFS($A$2:$A$1001,A99,$B$2:$B$1001,B99,$C$2:$C$1001,C99)&gt;1),"중복 의심",""))))</f>
        <v/>
      </c>
      <c r="G99" s="25">
        <f>IF(OR(COUNTA(A99:E99)=0,OR(ISNUMBER(SEARCH("소계",B99)),ISNUMBER(SEARCH("합계",B99)))),"",1+COUNTIF($B$1:B98,"*소계*"))</f>
        <v/>
      </c>
      <c r="H99">
        <f>IF(AND(A99&lt;&gt;"",A99=가족별!$B$1,G99&lt;&gt;""),COUNTIFS($A$2:A99,가족별!$B$1,$G$2:G99,"&gt;0"),"")</f>
        <v/>
      </c>
      <c r="I99">
        <f>IF(ISNUMBER(SEARCH("소계",B99)),COUNTIF($B$2:B99,"*소계*"),"")</f>
        <v/>
      </c>
      <c r="J99">
        <f>IF(F99="",0,1)</f>
        <v/>
      </c>
    </row>
    <row r="100">
      <c r="A100" s="41" t="n"/>
      <c r="B100" s="41" t="n"/>
      <c r="C100" s="24" t="n"/>
      <c r="D100" s="41" t="n"/>
      <c r="E100" s="41" t="n"/>
      <c r="F100" s="19">
        <f>IF(COUNTA(A100:E100)=0,"",IF(OR(ISNUMBER(SEARCH("소계",B100)),ISNUMBER(SEARCH("합계",B100))),"",TRIM(IF(B100="","이름 없음 ","")&amp;IF(A100="","받은 가족 없음 ","")&amp;IF(C100="","금액 없음 ",IF(ISNUMBER(C100),IF(C100&lt;1000,"금액 확인 ",""),"금액 확인 "))&amp;IF(AND(B100&lt;&gt;"",COUNTIFS($A$2:$A$1001,A100,$B$2:$B$1001,B100,$C$2:$C$1001,C100)&gt;1),"중복 의심",""))))</f>
        <v/>
      </c>
      <c r="G100" s="25">
        <f>IF(OR(COUNTA(A100:E100)=0,OR(ISNUMBER(SEARCH("소계",B100)),ISNUMBER(SEARCH("합계",B100)))),"",1+COUNTIF($B$1:B99,"*소계*"))</f>
        <v/>
      </c>
      <c r="H100">
        <f>IF(AND(A100&lt;&gt;"",A100=가족별!$B$1,G100&lt;&gt;""),COUNTIFS($A$2:A100,가족별!$B$1,$G$2:G100,"&gt;0"),"")</f>
        <v/>
      </c>
      <c r="I100">
        <f>IF(ISNUMBER(SEARCH("소계",B100)),COUNTIF($B$2:B100,"*소계*"),"")</f>
        <v/>
      </c>
      <c r="J100">
        <f>IF(F100="",0,1)</f>
        <v/>
      </c>
    </row>
    <row r="101">
      <c r="A101" s="41" t="n"/>
      <c r="B101" s="41" t="n"/>
      <c r="C101" s="24" t="n"/>
      <c r="D101" s="41" t="n"/>
      <c r="E101" s="41" t="n"/>
      <c r="F101" s="19">
        <f>IF(COUNTA(A101:E101)=0,"",IF(OR(ISNUMBER(SEARCH("소계",B101)),ISNUMBER(SEARCH("합계",B101))),"",TRIM(IF(B101="","이름 없음 ","")&amp;IF(A101="","받은 가족 없음 ","")&amp;IF(C101="","금액 없음 ",IF(ISNUMBER(C101),IF(C101&lt;1000,"금액 확인 ",""),"금액 확인 "))&amp;IF(AND(B101&lt;&gt;"",COUNTIFS($A$2:$A$1001,A101,$B$2:$B$1001,B101,$C$2:$C$1001,C101)&gt;1),"중복 의심",""))))</f>
        <v/>
      </c>
      <c r="G101" s="25">
        <f>IF(OR(COUNTA(A101:E101)=0,OR(ISNUMBER(SEARCH("소계",B101)),ISNUMBER(SEARCH("합계",B101)))),"",1+COUNTIF($B$1:B100,"*소계*"))</f>
        <v/>
      </c>
      <c r="H101">
        <f>IF(AND(A101&lt;&gt;"",A101=가족별!$B$1,G101&lt;&gt;""),COUNTIFS($A$2:A101,가족별!$B$1,$G$2:G101,"&gt;0"),"")</f>
        <v/>
      </c>
      <c r="I101">
        <f>IF(ISNUMBER(SEARCH("소계",B101)),COUNTIF($B$2:B101,"*소계*"),"")</f>
        <v/>
      </c>
      <c r="J101">
        <f>IF(F101="",0,1)</f>
        <v/>
      </c>
    </row>
    <row r="102">
      <c r="A102" s="41" t="n"/>
      <c r="B102" s="41" t="n"/>
      <c r="C102" s="24" t="n"/>
      <c r="D102" s="41" t="n"/>
      <c r="E102" s="41" t="n"/>
      <c r="F102" s="19">
        <f>IF(COUNTA(A102:E102)=0,"",IF(OR(ISNUMBER(SEARCH("소계",B102)),ISNUMBER(SEARCH("합계",B102))),"",TRIM(IF(B102="","이름 없음 ","")&amp;IF(A102="","받은 가족 없음 ","")&amp;IF(C102="","금액 없음 ",IF(ISNUMBER(C102),IF(C102&lt;1000,"금액 확인 ",""),"금액 확인 "))&amp;IF(AND(B102&lt;&gt;"",COUNTIFS($A$2:$A$1001,A102,$B$2:$B$1001,B102,$C$2:$C$1001,C102)&gt;1),"중복 의심",""))))</f>
        <v/>
      </c>
      <c r="G102" s="25">
        <f>IF(OR(COUNTA(A102:E102)=0,OR(ISNUMBER(SEARCH("소계",B102)),ISNUMBER(SEARCH("합계",B102)))),"",1+COUNTIF($B$1:B101,"*소계*"))</f>
        <v/>
      </c>
      <c r="H102">
        <f>IF(AND(A102&lt;&gt;"",A102=가족별!$B$1,G102&lt;&gt;""),COUNTIFS($A$2:A102,가족별!$B$1,$G$2:G102,"&gt;0"),"")</f>
        <v/>
      </c>
      <c r="I102">
        <f>IF(ISNUMBER(SEARCH("소계",B102)),COUNTIF($B$2:B102,"*소계*"),"")</f>
        <v/>
      </c>
      <c r="J102">
        <f>IF(F102="",0,1)</f>
        <v/>
      </c>
    </row>
    <row r="103">
      <c r="A103" s="41" t="n"/>
      <c r="B103" s="41" t="n"/>
      <c r="C103" s="24" t="n"/>
      <c r="D103" s="41" t="n"/>
      <c r="E103" s="41" t="n"/>
      <c r="F103" s="19">
        <f>IF(COUNTA(A103:E103)=0,"",IF(OR(ISNUMBER(SEARCH("소계",B103)),ISNUMBER(SEARCH("합계",B103))),"",TRIM(IF(B103="","이름 없음 ","")&amp;IF(A103="","받은 가족 없음 ","")&amp;IF(C103="","금액 없음 ",IF(ISNUMBER(C103),IF(C103&lt;1000,"금액 확인 ",""),"금액 확인 "))&amp;IF(AND(B103&lt;&gt;"",COUNTIFS($A$2:$A$1001,A103,$B$2:$B$1001,B103,$C$2:$C$1001,C103)&gt;1),"중복 의심",""))))</f>
        <v/>
      </c>
      <c r="G103" s="25">
        <f>IF(OR(COUNTA(A103:E103)=0,OR(ISNUMBER(SEARCH("소계",B103)),ISNUMBER(SEARCH("합계",B103)))),"",1+COUNTIF($B$1:B102,"*소계*"))</f>
        <v/>
      </c>
      <c r="H103">
        <f>IF(AND(A103&lt;&gt;"",A103=가족별!$B$1,G103&lt;&gt;""),COUNTIFS($A$2:A103,가족별!$B$1,$G$2:G103,"&gt;0"),"")</f>
        <v/>
      </c>
      <c r="I103">
        <f>IF(ISNUMBER(SEARCH("소계",B103)),COUNTIF($B$2:B103,"*소계*"),"")</f>
        <v/>
      </c>
      <c r="J103">
        <f>IF(F103="",0,1)</f>
        <v/>
      </c>
    </row>
    <row r="104">
      <c r="A104" s="41" t="n"/>
      <c r="B104" s="41" t="n"/>
      <c r="C104" s="24" t="n"/>
      <c r="D104" s="41" t="n"/>
      <c r="E104" s="41" t="n"/>
      <c r="F104" s="19">
        <f>IF(COUNTA(A104:E104)=0,"",IF(OR(ISNUMBER(SEARCH("소계",B104)),ISNUMBER(SEARCH("합계",B104))),"",TRIM(IF(B104="","이름 없음 ","")&amp;IF(A104="","받은 가족 없음 ","")&amp;IF(C104="","금액 없음 ",IF(ISNUMBER(C104),IF(C104&lt;1000,"금액 확인 ",""),"금액 확인 "))&amp;IF(AND(B104&lt;&gt;"",COUNTIFS($A$2:$A$1001,A104,$B$2:$B$1001,B104,$C$2:$C$1001,C104)&gt;1),"중복 의심",""))))</f>
        <v/>
      </c>
      <c r="G104" s="25">
        <f>IF(OR(COUNTA(A104:E104)=0,OR(ISNUMBER(SEARCH("소계",B104)),ISNUMBER(SEARCH("합계",B104)))),"",1+COUNTIF($B$1:B103,"*소계*"))</f>
        <v/>
      </c>
      <c r="H104">
        <f>IF(AND(A104&lt;&gt;"",A104=가족별!$B$1,G104&lt;&gt;""),COUNTIFS($A$2:A104,가족별!$B$1,$G$2:G104,"&gt;0"),"")</f>
        <v/>
      </c>
      <c r="I104">
        <f>IF(ISNUMBER(SEARCH("소계",B104)),COUNTIF($B$2:B104,"*소계*"),"")</f>
        <v/>
      </c>
      <c r="J104">
        <f>IF(F104="",0,1)</f>
        <v/>
      </c>
    </row>
    <row r="105">
      <c r="A105" s="41" t="n"/>
      <c r="B105" s="41" t="n"/>
      <c r="C105" s="24" t="n"/>
      <c r="D105" s="41" t="n"/>
      <c r="E105" s="41" t="n"/>
      <c r="F105" s="19">
        <f>IF(COUNTA(A105:E105)=0,"",IF(OR(ISNUMBER(SEARCH("소계",B105)),ISNUMBER(SEARCH("합계",B105))),"",TRIM(IF(B105="","이름 없음 ","")&amp;IF(A105="","받은 가족 없음 ","")&amp;IF(C105="","금액 없음 ",IF(ISNUMBER(C105),IF(C105&lt;1000,"금액 확인 ",""),"금액 확인 "))&amp;IF(AND(B105&lt;&gt;"",COUNTIFS($A$2:$A$1001,A105,$B$2:$B$1001,B105,$C$2:$C$1001,C105)&gt;1),"중복 의심",""))))</f>
        <v/>
      </c>
      <c r="G105" s="25">
        <f>IF(OR(COUNTA(A105:E105)=0,OR(ISNUMBER(SEARCH("소계",B105)),ISNUMBER(SEARCH("합계",B105)))),"",1+COUNTIF($B$1:B104,"*소계*"))</f>
        <v/>
      </c>
      <c r="H105">
        <f>IF(AND(A105&lt;&gt;"",A105=가족별!$B$1,G105&lt;&gt;""),COUNTIFS($A$2:A105,가족별!$B$1,$G$2:G105,"&gt;0"),"")</f>
        <v/>
      </c>
      <c r="I105">
        <f>IF(ISNUMBER(SEARCH("소계",B105)),COUNTIF($B$2:B105,"*소계*"),"")</f>
        <v/>
      </c>
      <c r="J105">
        <f>IF(F105="",0,1)</f>
        <v/>
      </c>
    </row>
    <row r="106">
      <c r="A106" s="41" t="n"/>
      <c r="B106" s="41" t="n"/>
      <c r="C106" s="24" t="n"/>
      <c r="D106" s="41" t="n"/>
      <c r="E106" s="41" t="n"/>
      <c r="F106" s="19">
        <f>IF(COUNTA(A106:E106)=0,"",IF(OR(ISNUMBER(SEARCH("소계",B106)),ISNUMBER(SEARCH("합계",B106))),"",TRIM(IF(B106="","이름 없음 ","")&amp;IF(A106="","받은 가족 없음 ","")&amp;IF(C106="","금액 없음 ",IF(ISNUMBER(C106),IF(C106&lt;1000,"금액 확인 ",""),"금액 확인 "))&amp;IF(AND(B106&lt;&gt;"",COUNTIFS($A$2:$A$1001,A106,$B$2:$B$1001,B106,$C$2:$C$1001,C106)&gt;1),"중복 의심",""))))</f>
        <v/>
      </c>
      <c r="G106" s="25">
        <f>IF(OR(COUNTA(A106:E106)=0,OR(ISNUMBER(SEARCH("소계",B106)),ISNUMBER(SEARCH("합계",B106)))),"",1+COUNTIF($B$1:B105,"*소계*"))</f>
        <v/>
      </c>
      <c r="H106">
        <f>IF(AND(A106&lt;&gt;"",A106=가족별!$B$1,G106&lt;&gt;""),COUNTIFS($A$2:A106,가족별!$B$1,$G$2:G106,"&gt;0"),"")</f>
        <v/>
      </c>
      <c r="I106">
        <f>IF(ISNUMBER(SEARCH("소계",B106)),COUNTIF($B$2:B106,"*소계*"),"")</f>
        <v/>
      </c>
      <c r="J106">
        <f>IF(F106="",0,1)</f>
        <v/>
      </c>
    </row>
    <row r="107">
      <c r="A107" s="41" t="n"/>
      <c r="B107" s="41" t="n"/>
      <c r="C107" s="24" t="n"/>
      <c r="D107" s="41" t="n"/>
      <c r="E107" s="41" t="n"/>
      <c r="F107" s="19">
        <f>IF(COUNTA(A107:E107)=0,"",IF(OR(ISNUMBER(SEARCH("소계",B107)),ISNUMBER(SEARCH("합계",B107))),"",TRIM(IF(B107="","이름 없음 ","")&amp;IF(A107="","받은 가족 없음 ","")&amp;IF(C107="","금액 없음 ",IF(ISNUMBER(C107),IF(C107&lt;1000,"금액 확인 ",""),"금액 확인 "))&amp;IF(AND(B107&lt;&gt;"",COUNTIFS($A$2:$A$1001,A107,$B$2:$B$1001,B107,$C$2:$C$1001,C107)&gt;1),"중복 의심",""))))</f>
        <v/>
      </c>
      <c r="G107" s="25">
        <f>IF(OR(COUNTA(A107:E107)=0,OR(ISNUMBER(SEARCH("소계",B107)),ISNUMBER(SEARCH("합계",B107)))),"",1+COUNTIF($B$1:B106,"*소계*"))</f>
        <v/>
      </c>
      <c r="H107">
        <f>IF(AND(A107&lt;&gt;"",A107=가족별!$B$1,G107&lt;&gt;""),COUNTIFS($A$2:A107,가족별!$B$1,$G$2:G107,"&gt;0"),"")</f>
        <v/>
      </c>
      <c r="I107">
        <f>IF(ISNUMBER(SEARCH("소계",B107)),COUNTIF($B$2:B107,"*소계*"),"")</f>
        <v/>
      </c>
      <c r="J107">
        <f>IF(F107="",0,1)</f>
        <v/>
      </c>
    </row>
    <row r="108">
      <c r="A108" s="41" t="n"/>
      <c r="B108" s="41" t="n"/>
      <c r="C108" s="24" t="n"/>
      <c r="D108" s="41" t="n"/>
      <c r="E108" s="41" t="n"/>
      <c r="F108" s="19">
        <f>IF(COUNTA(A108:E108)=0,"",IF(OR(ISNUMBER(SEARCH("소계",B108)),ISNUMBER(SEARCH("합계",B108))),"",TRIM(IF(B108="","이름 없음 ","")&amp;IF(A108="","받은 가족 없음 ","")&amp;IF(C108="","금액 없음 ",IF(ISNUMBER(C108),IF(C108&lt;1000,"금액 확인 ",""),"금액 확인 "))&amp;IF(AND(B108&lt;&gt;"",COUNTIFS($A$2:$A$1001,A108,$B$2:$B$1001,B108,$C$2:$C$1001,C108)&gt;1),"중복 의심",""))))</f>
        <v/>
      </c>
      <c r="G108" s="25">
        <f>IF(OR(COUNTA(A108:E108)=0,OR(ISNUMBER(SEARCH("소계",B108)),ISNUMBER(SEARCH("합계",B108)))),"",1+COUNTIF($B$1:B107,"*소계*"))</f>
        <v/>
      </c>
      <c r="H108">
        <f>IF(AND(A108&lt;&gt;"",A108=가족별!$B$1,G108&lt;&gt;""),COUNTIFS($A$2:A108,가족별!$B$1,$G$2:G108,"&gt;0"),"")</f>
        <v/>
      </c>
      <c r="I108">
        <f>IF(ISNUMBER(SEARCH("소계",B108)),COUNTIF($B$2:B108,"*소계*"),"")</f>
        <v/>
      </c>
      <c r="J108">
        <f>IF(F108="",0,1)</f>
        <v/>
      </c>
    </row>
    <row r="109">
      <c r="A109" s="41" t="n"/>
      <c r="B109" s="41" t="n"/>
      <c r="C109" s="24" t="n"/>
      <c r="D109" s="41" t="n"/>
      <c r="E109" s="41" t="n"/>
      <c r="F109" s="19">
        <f>IF(COUNTA(A109:E109)=0,"",IF(OR(ISNUMBER(SEARCH("소계",B109)),ISNUMBER(SEARCH("합계",B109))),"",TRIM(IF(B109="","이름 없음 ","")&amp;IF(A109="","받은 가족 없음 ","")&amp;IF(C109="","금액 없음 ",IF(ISNUMBER(C109),IF(C109&lt;1000,"금액 확인 ",""),"금액 확인 "))&amp;IF(AND(B109&lt;&gt;"",COUNTIFS($A$2:$A$1001,A109,$B$2:$B$1001,B109,$C$2:$C$1001,C109)&gt;1),"중복 의심",""))))</f>
        <v/>
      </c>
      <c r="G109" s="25">
        <f>IF(OR(COUNTA(A109:E109)=0,OR(ISNUMBER(SEARCH("소계",B109)),ISNUMBER(SEARCH("합계",B109)))),"",1+COUNTIF($B$1:B108,"*소계*"))</f>
        <v/>
      </c>
      <c r="H109">
        <f>IF(AND(A109&lt;&gt;"",A109=가족별!$B$1,G109&lt;&gt;""),COUNTIFS($A$2:A109,가족별!$B$1,$G$2:G109,"&gt;0"),"")</f>
        <v/>
      </c>
      <c r="I109">
        <f>IF(ISNUMBER(SEARCH("소계",B109)),COUNTIF($B$2:B109,"*소계*"),"")</f>
        <v/>
      </c>
      <c r="J109">
        <f>IF(F109="",0,1)</f>
        <v/>
      </c>
    </row>
    <row r="110">
      <c r="A110" s="41" t="n"/>
      <c r="B110" s="41" t="n"/>
      <c r="C110" s="24" t="n"/>
      <c r="D110" s="41" t="n"/>
      <c r="E110" s="41" t="n"/>
      <c r="F110" s="19">
        <f>IF(COUNTA(A110:E110)=0,"",IF(OR(ISNUMBER(SEARCH("소계",B110)),ISNUMBER(SEARCH("합계",B110))),"",TRIM(IF(B110="","이름 없음 ","")&amp;IF(A110="","받은 가족 없음 ","")&amp;IF(C110="","금액 없음 ",IF(ISNUMBER(C110),IF(C110&lt;1000,"금액 확인 ",""),"금액 확인 "))&amp;IF(AND(B110&lt;&gt;"",COUNTIFS($A$2:$A$1001,A110,$B$2:$B$1001,B110,$C$2:$C$1001,C110)&gt;1),"중복 의심",""))))</f>
        <v/>
      </c>
      <c r="G110" s="25">
        <f>IF(OR(COUNTA(A110:E110)=0,OR(ISNUMBER(SEARCH("소계",B110)),ISNUMBER(SEARCH("합계",B110)))),"",1+COUNTIF($B$1:B109,"*소계*"))</f>
        <v/>
      </c>
      <c r="H110">
        <f>IF(AND(A110&lt;&gt;"",A110=가족별!$B$1,G110&lt;&gt;""),COUNTIFS($A$2:A110,가족별!$B$1,$G$2:G110,"&gt;0"),"")</f>
        <v/>
      </c>
      <c r="I110">
        <f>IF(ISNUMBER(SEARCH("소계",B110)),COUNTIF($B$2:B110,"*소계*"),"")</f>
        <v/>
      </c>
      <c r="J110">
        <f>IF(F110="",0,1)</f>
        <v/>
      </c>
    </row>
    <row r="111">
      <c r="A111" s="41" t="n"/>
      <c r="B111" s="41" t="n"/>
      <c r="C111" s="24" t="n"/>
      <c r="D111" s="41" t="n"/>
      <c r="E111" s="41" t="n"/>
      <c r="F111" s="19">
        <f>IF(COUNTA(A111:E111)=0,"",IF(OR(ISNUMBER(SEARCH("소계",B111)),ISNUMBER(SEARCH("합계",B111))),"",TRIM(IF(B111="","이름 없음 ","")&amp;IF(A111="","받은 가족 없음 ","")&amp;IF(C111="","금액 없음 ",IF(ISNUMBER(C111),IF(C111&lt;1000,"금액 확인 ",""),"금액 확인 "))&amp;IF(AND(B111&lt;&gt;"",COUNTIFS($A$2:$A$1001,A111,$B$2:$B$1001,B111,$C$2:$C$1001,C111)&gt;1),"중복 의심",""))))</f>
        <v/>
      </c>
      <c r="G111" s="25">
        <f>IF(OR(COUNTA(A111:E111)=0,OR(ISNUMBER(SEARCH("소계",B111)),ISNUMBER(SEARCH("합계",B111)))),"",1+COUNTIF($B$1:B110,"*소계*"))</f>
        <v/>
      </c>
      <c r="H111">
        <f>IF(AND(A111&lt;&gt;"",A111=가족별!$B$1,G111&lt;&gt;""),COUNTIFS($A$2:A111,가족별!$B$1,$G$2:G111,"&gt;0"),"")</f>
        <v/>
      </c>
      <c r="I111">
        <f>IF(ISNUMBER(SEARCH("소계",B111)),COUNTIF($B$2:B111,"*소계*"),"")</f>
        <v/>
      </c>
      <c r="J111">
        <f>IF(F111="",0,1)</f>
        <v/>
      </c>
    </row>
    <row r="112">
      <c r="A112" s="41" t="n"/>
      <c r="B112" s="41" t="n"/>
      <c r="C112" s="24" t="n"/>
      <c r="D112" s="41" t="n"/>
      <c r="E112" s="41" t="n"/>
      <c r="F112" s="19">
        <f>IF(COUNTA(A112:E112)=0,"",IF(OR(ISNUMBER(SEARCH("소계",B112)),ISNUMBER(SEARCH("합계",B112))),"",TRIM(IF(B112="","이름 없음 ","")&amp;IF(A112="","받은 가족 없음 ","")&amp;IF(C112="","금액 없음 ",IF(ISNUMBER(C112),IF(C112&lt;1000,"금액 확인 ",""),"금액 확인 "))&amp;IF(AND(B112&lt;&gt;"",COUNTIFS($A$2:$A$1001,A112,$B$2:$B$1001,B112,$C$2:$C$1001,C112)&gt;1),"중복 의심",""))))</f>
        <v/>
      </c>
      <c r="G112" s="25">
        <f>IF(OR(COUNTA(A112:E112)=0,OR(ISNUMBER(SEARCH("소계",B112)),ISNUMBER(SEARCH("합계",B112)))),"",1+COUNTIF($B$1:B111,"*소계*"))</f>
        <v/>
      </c>
      <c r="H112">
        <f>IF(AND(A112&lt;&gt;"",A112=가족별!$B$1,G112&lt;&gt;""),COUNTIFS($A$2:A112,가족별!$B$1,$G$2:G112,"&gt;0"),"")</f>
        <v/>
      </c>
      <c r="I112">
        <f>IF(ISNUMBER(SEARCH("소계",B112)),COUNTIF($B$2:B112,"*소계*"),"")</f>
        <v/>
      </c>
      <c r="J112">
        <f>IF(F112="",0,1)</f>
        <v/>
      </c>
    </row>
    <row r="113">
      <c r="A113" s="41" t="n"/>
      <c r="B113" s="41" t="n"/>
      <c r="C113" s="24" t="n"/>
      <c r="D113" s="41" t="n"/>
      <c r="E113" s="41" t="n"/>
      <c r="F113" s="19">
        <f>IF(COUNTA(A113:E113)=0,"",IF(OR(ISNUMBER(SEARCH("소계",B113)),ISNUMBER(SEARCH("합계",B113))),"",TRIM(IF(B113="","이름 없음 ","")&amp;IF(A113="","받은 가족 없음 ","")&amp;IF(C113="","금액 없음 ",IF(ISNUMBER(C113),IF(C113&lt;1000,"금액 확인 ",""),"금액 확인 "))&amp;IF(AND(B113&lt;&gt;"",COUNTIFS($A$2:$A$1001,A113,$B$2:$B$1001,B113,$C$2:$C$1001,C113)&gt;1),"중복 의심",""))))</f>
        <v/>
      </c>
      <c r="G113" s="25">
        <f>IF(OR(COUNTA(A113:E113)=0,OR(ISNUMBER(SEARCH("소계",B113)),ISNUMBER(SEARCH("합계",B113)))),"",1+COUNTIF($B$1:B112,"*소계*"))</f>
        <v/>
      </c>
      <c r="H113">
        <f>IF(AND(A113&lt;&gt;"",A113=가족별!$B$1,G113&lt;&gt;""),COUNTIFS($A$2:A113,가족별!$B$1,$G$2:G113,"&gt;0"),"")</f>
        <v/>
      </c>
      <c r="I113">
        <f>IF(ISNUMBER(SEARCH("소계",B113)),COUNTIF($B$2:B113,"*소계*"),"")</f>
        <v/>
      </c>
      <c r="J113">
        <f>IF(F113="",0,1)</f>
        <v/>
      </c>
    </row>
    <row r="114">
      <c r="A114" s="41" t="n"/>
      <c r="B114" s="41" t="n"/>
      <c r="C114" s="24" t="n"/>
      <c r="D114" s="41" t="n"/>
      <c r="E114" s="41" t="n"/>
      <c r="F114" s="19">
        <f>IF(COUNTA(A114:E114)=0,"",IF(OR(ISNUMBER(SEARCH("소계",B114)),ISNUMBER(SEARCH("합계",B114))),"",TRIM(IF(B114="","이름 없음 ","")&amp;IF(A114="","받은 가족 없음 ","")&amp;IF(C114="","금액 없음 ",IF(ISNUMBER(C114),IF(C114&lt;1000,"금액 확인 ",""),"금액 확인 "))&amp;IF(AND(B114&lt;&gt;"",COUNTIFS($A$2:$A$1001,A114,$B$2:$B$1001,B114,$C$2:$C$1001,C114)&gt;1),"중복 의심",""))))</f>
        <v/>
      </c>
      <c r="G114" s="25">
        <f>IF(OR(COUNTA(A114:E114)=0,OR(ISNUMBER(SEARCH("소계",B114)),ISNUMBER(SEARCH("합계",B114)))),"",1+COUNTIF($B$1:B113,"*소계*"))</f>
        <v/>
      </c>
      <c r="H114">
        <f>IF(AND(A114&lt;&gt;"",A114=가족별!$B$1,G114&lt;&gt;""),COUNTIFS($A$2:A114,가족별!$B$1,$G$2:G114,"&gt;0"),"")</f>
        <v/>
      </c>
      <c r="I114">
        <f>IF(ISNUMBER(SEARCH("소계",B114)),COUNTIF($B$2:B114,"*소계*"),"")</f>
        <v/>
      </c>
      <c r="J114">
        <f>IF(F114="",0,1)</f>
        <v/>
      </c>
    </row>
    <row r="115">
      <c r="A115" s="41" t="n"/>
      <c r="B115" s="41" t="n"/>
      <c r="C115" s="24" t="n"/>
      <c r="D115" s="41" t="n"/>
      <c r="E115" s="41" t="n"/>
      <c r="F115" s="19">
        <f>IF(COUNTA(A115:E115)=0,"",IF(OR(ISNUMBER(SEARCH("소계",B115)),ISNUMBER(SEARCH("합계",B115))),"",TRIM(IF(B115="","이름 없음 ","")&amp;IF(A115="","받은 가족 없음 ","")&amp;IF(C115="","금액 없음 ",IF(ISNUMBER(C115),IF(C115&lt;1000,"금액 확인 ",""),"금액 확인 "))&amp;IF(AND(B115&lt;&gt;"",COUNTIFS($A$2:$A$1001,A115,$B$2:$B$1001,B115,$C$2:$C$1001,C115)&gt;1),"중복 의심",""))))</f>
        <v/>
      </c>
      <c r="G115" s="25">
        <f>IF(OR(COUNTA(A115:E115)=0,OR(ISNUMBER(SEARCH("소계",B115)),ISNUMBER(SEARCH("합계",B115)))),"",1+COUNTIF($B$1:B114,"*소계*"))</f>
        <v/>
      </c>
      <c r="H115">
        <f>IF(AND(A115&lt;&gt;"",A115=가족별!$B$1,G115&lt;&gt;""),COUNTIFS($A$2:A115,가족별!$B$1,$G$2:G115,"&gt;0"),"")</f>
        <v/>
      </c>
      <c r="I115">
        <f>IF(ISNUMBER(SEARCH("소계",B115)),COUNTIF($B$2:B115,"*소계*"),"")</f>
        <v/>
      </c>
      <c r="J115">
        <f>IF(F115="",0,1)</f>
        <v/>
      </c>
    </row>
    <row r="116">
      <c r="A116" s="41" t="n"/>
      <c r="B116" s="41" t="n"/>
      <c r="C116" s="24" t="n"/>
      <c r="D116" s="41" t="n"/>
      <c r="E116" s="41" t="n"/>
      <c r="F116" s="19">
        <f>IF(COUNTA(A116:E116)=0,"",IF(OR(ISNUMBER(SEARCH("소계",B116)),ISNUMBER(SEARCH("합계",B116))),"",TRIM(IF(B116="","이름 없음 ","")&amp;IF(A116="","받은 가족 없음 ","")&amp;IF(C116="","금액 없음 ",IF(ISNUMBER(C116),IF(C116&lt;1000,"금액 확인 ",""),"금액 확인 "))&amp;IF(AND(B116&lt;&gt;"",COUNTIFS($A$2:$A$1001,A116,$B$2:$B$1001,B116,$C$2:$C$1001,C116)&gt;1),"중복 의심",""))))</f>
        <v/>
      </c>
      <c r="G116" s="25">
        <f>IF(OR(COUNTA(A116:E116)=0,OR(ISNUMBER(SEARCH("소계",B116)),ISNUMBER(SEARCH("합계",B116)))),"",1+COUNTIF($B$1:B115,"*소계*"))</f>
        <v/>
      </c>
      <c r="H116">
        <f>IF(AND(A116&lt;&gt;"",A116=가족별!$B$1,G116&lt;&gt;""),COUNTIFS($A$2:A116,가족별!$B$1,$G$2:G116,"&gt;0"),"")</f>
        <v/>
      </c>
      <c r="I116">
        <f>IF(ISNUMBER(SEARCH("소계",B116)),COUNTIF($B$2:B116,"*소계*"),"")</f>
        <v/>
      </c>
      <c r="J116">
        <f>IF(F116="",0,1)</f>
        <v/>
      </c>
    </row>
    <row r="117">
      <c r="A117" s="41" t="n"/>
      <c r="B117" s="41" t="n"/>
      <c r="C117" s="24" t="n"/>
      <c r="D117" s="41" t="n"/>
      <c r="E117" s="41" t="n"/>
      <c r="F117" s="19">
        <f>IF(COUNTA(A117:E117)=0,"",IF(OR(ISNUMBER(SEARCH("소계",B117)),ISNUMBER(SEARCH("합계",B117))),"",TRIM(IF(B117="","이름 없음 ","")&amp;IF(A117="","받은 가족 없음 ","")&amp;IF(C117="","금액 없음 ",IF(ISNUMBER(C117),IF(C117&lt;1000,"금액 확인 ",""),"금액 확인 "))&amp;IF(AND(B117&lt;&gt;"",COUNTIFS($A$2:$A$1001,A117,$B$2:$B$1001,B117,$C$2:$C$1001,C117)&gt;1),"중복 의심",""))))</f>
        <v/>
      </c>
      <c r="G117" s="25">
        <f>IF(OR(COUNTA(A117:E117)=0,OR(ISNUMBER(SEARCH("소계",B117)),ISNUMBER(SEARCH("합계",B117)))),"",1+COUNTIF($B$1:B116,"*소계*"))</f>
        <v/>
      </c>
      <c r="H117">
        <f>IF(AND(A117&lt;&gt;"",A117=가족별!$B$1,G117&lt;&gt;""),COUNTIFS($A$2:A117,가족별!$B$1,$G$2:G117,"&gt;0"),"")</f>
        <v/>
      </c>
      <c r="I117">
        <f>IF(ISNUMBER(SEARCH("소계",B117)),COUNTIF($B$2:B117,"*소계*"),"")</f>
        <v/>
      </c>
      <c r="J117">
        <f>IF(F117="",0,1)</f>
        <v/>
      </c>
    </row>
    <row r="118">
      <c r="A118" s="41" t="n"/>
      <c r="B118" s="41" t="n"/>
      <c r="C118" s="24" t="n"/>
      <c r="D118" s="41" t="n"/>
      <c r="E118" s="41" t="n"/>
      <c r="F118" s="19">
        <f>IF(COUNTA(A118:E118)=0,"",IF(OR(ISNUMBER(SEARCH("소계",B118)),ISNUMBER(SEARCH("합계",B118))),"",TRIM(IF(B118="","이름 없음 ","")&amp;IF(A118="","받은 가족 없음 ","")&amp;IF(C118="","금액 없음 ",IF(ISNUMBER(C118),IF(C118&lt;1000,"금액 확인 ",""),"금액 확인 "))&amp;IF(AND(B118&lt;&gt;"",COUNTIFS($A$2:$A$1001,A118,$B$2:$B$1001,B118,$C$2:$C$1001,C118)&gt;1),"중복 의심",""))))</f>
        <v/>
      </c>
      <c r="G118" s="25">
        <f>IF(OR(COUNTA(A118:E118)=0,OR(ISNUMBER(SEARCH("소계",B118)),ISNUMBER(SEARCH("합계",B118)))),"",1+COUNTIF($B$1:B117,"*소계*"))</f>
        <v/>
      </c>
      <c r="H118">
        <f>IF(AND(A118&lt;&gt;"",A118=가족별!$B$1,G118&lt;&gt;""),COUNTIFS($A$2:A118,가족별!$B$1,$G$2:G118,"&gt;0"),"")</f>
        <v/>
      </c>
      <c r="I118">
        <f>IF(ISNUMBER(SEARCH("소계",B118)),COUNTIF($B$2:B118,"*소계*"),"")</f>
        <v/>
      </c>
      <c r="J118">
        <f>IF(F118="",0,1)</f>
        <v/>
      </c>
    </row>
    <row r="119">
      <c r="A119" s="41" t="n"/>
      <c r="B119" s="41" t="n"/>
      <c r="C119" s="24" t="n"/>
      <c r="D119" s="41" t="n"/>
      <c r="E119" s="41" t="n"/>
      <c r="F119" s="19">
        <f>IF(COUNTA(A119:E119)=0,"",IF(OR(ISNUMBER(SEARCH("소계",B119)),ISNUMBER(SEARCH("합계",B119))),"",TRIM(IF(B119="","이름 없음 ","")&amp;IF(A119="","받은 가족 없음 ","")&amp;IF(C119="","금액 없음 ",IF(ISNUMBER(C119),IF(C119&lt;1000,"금액 확인 ",""),"금액 확인 "))&amp;IF(AND(B119&lt;&gt;"",COUNTIFS($A$2:$A$1001,A119,$B$2:$B$1001,B119,$C$2:$C$1001,C119)&gt;1),"중복 의심",""))))</f>
        <v/>
      </c>
      <c r="G119" s="25">
        <f>IF(OR(COUNTA(A119:E119)=0,OR(ISNUMBER(SEARCH("소계",B119)),ISNUMBER(SEARCH("합계",B119)))),"",1+COUNTIF($B$1:B118,"*소계*"))</f>
        <v/>
      </c>
      <c r="H119">
        <f>IF(AND(A119&lt;&gt;"",A119=가족별!$B$1,G119&lt;&gt;""),COUNTIFS($A$2:A119,가족별!$B$1,$G$2:G119,"&gt;0"),"")</f>
        <v/>
      </c>
      <c r="I119">
        <f>IF(ISNUMBER(SEARCH("소계",B119)),COUNTIF($B$2:B119,"*소계*"),"")</f>
        <v/>
      </c>
      <c r="J119">
        <f>IF(F119="",0,1)</f>
        <v/>
      </c>
    </row>
    <row r="120">
      <c r="A120" s="41" t="n"/>
      <c r="B120" s="41" t="n"/>
      <c r="C120" s="24" t="n"/>
      <c r="D120" s="41" t="n"/>
      <c r="E120" s="41" t="n"/>
      <c r="F120" s="19">
        <f>IF(COUNTA(A120:E120)=0,"",IF(OR(ISNUMBER(SEARCH("소계",B120)),ISNUMBER(SEARCH("합계",B120))),"",TRIM(IF(B120="","이름 없음 ","")&amp;IF(A120="","받은 가족 없음 ","")&amp;IF(C120="","금액 없음 ",IF(ISNUMBER(C120),IF(C120&lt;1000,"금액 확인 ",""),"금액 확인 "))&amp;IF(AND(B120&lt;&gt;"",COUNTIFS($A$2:$A$1001,A120,$B$2:$B$1001,B120,$C$2:$C$1001,C120)&gt;1),"중복 의심",""))))</f>
        <v/>
      </c>
      <c r="G120" s="25">
        <f>IF(OR(COUNTA(A120:E120)=0,OR(ISNUMBER(SEARCH("소계",B120)),ISNUMBER(SEARCH("합계",B120)))),"",1+COUNTIF($B$1:B119,"*소계*"))</f>
        <v/>
      </c>
      <c r="H120">
        <f>IF(AND(A120&lt;&gt;"",A120=가족별!$B$1,G120&lt;&gt;""),COUNTIFS($A$2:A120,가족별!$B$1,$G$2:G120,"&gt;0"),"")</f>
        <v/>
      </c>
      <c r="I120">
        <f>IF(ISNUMBER(SEARCH("소계",B120)),COUNTIF($B$2:B120,"*소계*"),"")</f>
        <v/>
      </c>
      <c r="J120">
        <f>IF(F120="",0,1)</f>
        <v/>
      </c>
    </row>
    <row r="121">
      <c r="A121" s="41" t="n"/>
      <c r="B121" s="41" t="n"/>
      <c r="C121" s="24" t="n"/>
      <c r="D121" s="41" t="n"/>
      <c r="E121" s="41" t="n"/>
      <c r="F121" s="19">
        <f>IF(COUNTA(A121:E121)=0,"",IF(OR(ISNUMBER(SEARCH("소계",B121)),ISNUMBER(SEARCH("합계",B121))),"",TRIM(IF(B121="","이름 없음 ","")&amp;IF(A121="","받은 가족 없음 ","")&amp;IF(C121="","금액 없음 ",IF(ISNUMBER(C121),IF(C121&lt;1000,"금액 확인 ",""),"금액 확인 "))&amp;IF(AND(B121&lt;&gt;"",COUNTIFS($A$2:$A$1001,A121,$B$2:$B$1001,B121,$C$2:$C$1001,C121)&gt;1),"중복 의심",""))))</f>
        <v/>
      </c>
      <c r="G121" s="25">
        <f>IF(OR(COUNTA(A121:E121)=0,OR(ISNUMBER(SEARCH("소계",B121)),ISNUMBER(SEARCH("합계",B121)))),"",1+COUNTIF($B$1:B120,"*소계*"))</f>
        <v/>
      </c>
      <c r="H121">
        <f>IF(AND(A121&lt;&gt;"",A121=가족별!$B$1,G121&lt;&gt;""),COUNTIFS($A$2:A121,가족별!$B$1,$G$2:G121,"&gt;0"),"")</f>
        <v/>
      </c>
      <c r="I121">
        <f>IF(ISNUMBER(SEARCH("소계",B121)),COUNTIF($B$2:B121,"*소계*"),"")</f>
        <v/>
      </c>
      <c r="J121">
        <f>IF(F121="",0,1)</f>
        <v/>
      </c>
    </row>
    <row r="122">
      <c r="A122" s="41" t="n"/>
      <c r="B122" s="41" t="n"/>
      <c r="C122" s="24" t="n"/>
      <c r="D122" s="41" t="n"/>
      <c r="E122" s="41" t="n"/>
      <c r="F122" s="19">
        <f>IF(COUNTA(A122:E122)=0,"",IF(OR(ISNUMBER(SEARCH("소계",B122)),ISNUMBER(SEARCH("합계",B122))),"",TRIM(IF(B122="","이름 없음 ","")&amp;IF(A122="","받은 가족 없음 ","")&amp;IF(C122="","금액 없음 ",IF(ISNUMBER(C122),IF(C122&lt;1000,"금액 확인 ",""),"금액 확인 "))&amp;IF(AND(B122&lt;&gt;"",COUNTIFS($A$2:$A$1001,A122,$B$2:$B$1001,B122,$C$2:$C$1001,C122)&gt;1),"중복 의심",""))))</f>
        <v/>
      </c>
      <c r="G122" s="25">
        <f>IF(OR(COUNTA(A122:E122)=0,OR(ISNUMBER(SEARCH("소계",B122)),ISNUMBER(SEARCH("합계",B122)))),"",1+COUNTIF($B$1:B121,"*소계*"))</f>
        <v/>
      </c>
      <c r="H122">
        <f>IF(AND(A122&lt;&gt;"",A122=가족별!$B$1,G122&lt;&gt;""),COUNTIFS($A$2:A122,가족별!$B$1,$G$2:G122,"&gt;0"),"")</f>
        <v/>
      </c>
      <c r="I122">
        <f>IF(ISNUMBER(SEARCH("소계",B122)),COUNTIF($B$2:B122,"*소계*"),"")</f>
        <v/>
      </c>
      <c r="J122">
        <f>IF(F122="",0,1)</f>
        <v/>
      </c>
    </row>
    <row r="123">
      <c r="A123" s="41" t="n"/>
      <c r="B123" s="41" t="n"/>
      <c r="C123" s="24" t="n"/>
      <c r="D123" s="41" t="n"/>
      <c r="E123" s="41" t="n"/>
      <c r="F123" s="19">
        <f>IF(COUNTA(A123:E123)=0,"",IF(OR(ISNUMBER(SEARCH("소계",B123)),ISNUMBER(SEARCH("합계",B123))),"",TRIM(IF(B123="","이름 없음 ","")&amp;IF(A123="","받은 가족 없음 ","")&amp;IF(C123="","금액 없음 ",IF(ISNUMBER(C123),IF(C123&lt;1000,"금액 확인 ",""),"금액 확인 "))&amp;IF(AND(B123&lt;&gt;"",COUNTIFS($A$2:$A$1001,A123,$B$2:$B$1001,B123,$C$2:$C$1001,C123)&gt;1),"중복 의심",""))))</f>
        <v/>
      </c>
      <c r="G123" s="25">
        <f>IF(OR(COUNTA(A123:E123)=0,OR(ISNUMBER(SEARCH("소계",B123)),ISNUMBER(SEARCH("합계",B123)))),"",1+COUNTIF($B$1:B122,"*소계*"))</f>
        <v/>
      </c>
      <c r="H123">
        <f>IF(AND(A123&lt;&gt;"",A123=가족별!$B$1,G123&lt;&gt;""),COUNTIFS($A$2:A123,가족별!$B$1,$G$2:G123,"&gt;0"),"")</f>
        <v/>
      </c>
      <c r="I123">
        <f>IF(ISNUMBER(SEARCH("소계",B123)),COUNTIF($B$2:B123,"*소계*"),"")</f>
        <v/>
      </c>
      <c r="J123">
        <f>IF(F123="",0,1)</f>
        <v/>
      </c>
    </row>
    <row r="124">
      <c r="A124" s="41" t="n"/>
      <c r="B124" s="41" t="n"/>
      <c r="C124" s="24" t="n"/>
      <c r="D124" s="41" t="n"/>
      <c r="E124" s="41" t="n"/>
      <c r="F124" s="19">
        <f>IF(COUNTA(A124:E124)=0,"",IF(OR(ISNUMBER(SEARCH("소계",B124)),ISNUMBER(SEARCH("합계",B124))),"",TRIM(IF(B124="","이름 없음 ","")&amp;IF(A124="","받은 가족 없음 ","")&amp;IF(C124="","금액 없음 ",IF(ISNUMBER(C124),IF(C124&lt;1000,"금액 확인 ",""),"금액 확인 "))&amp;IF(AND(B124&lt;&gt;"",COUNTIFS($A$2:$A$1001,A124,$B$2:$B$1001,B124,$C$2:$C$1001,C124)&gt;1),"중복 의심",""))))</f>
        <v/>
      </c>
      <c r="G124" s="25">
        <f>IF(OR(COUNTA(A124:E124)=0,OR(ISNUMBER(SEARCH("소계",B124)),ISNUMBER(SEARCH("합계",B124)))),"",1+COUNTIF($B$1:B123,"*소계*"))</f>
        <v/>
      </c>
      <c r="H124">
        <f>IF(AND(A124&lt;&gt;"",A124=가족별!$B$1,G124&lt;&gt;""),COUNTIFS($A$2:A124,가족별!$B$1,$G$2:G124,"&gt;0"),"")</f>
        <v/>
      </c>
      <c r="I124">
        <f>IF(ISNUMBER(SEARCH("소계",B124)),COUNTIF($B$2:B124,"*소계*"),"")</f>
        <v/>
      </c>
      <c r="J124">
        <f>IF(F124="",0,1)</f>
        <v/>
      </c>
    </row>
    <row r="125">
      <c r="A125" s="41" t="n"/>
      <c r="B125" s="41" t="n"/>
      <c r="C125" s="24" t="n"/>
      <c r="D125" s="41" t="n"/>
      <c r="E125" s="41" t="n"/>
      <c r="F125" s="19">
        <f>IF(COUNTA(A125:E125)=0,"",IF(OR(ISNUMBER(SEARCH("소계",B125)),ISNUMBER(SEARCH("합계",B125))),"",TRIM(IF(B125="","이름 없음 ","")&amp;IF(A125="","받은 가족 없음 ","")&amp;IF(C125="","금액 없음 ",IF(ISNUMBER(C125),IF(C125&lt;1000,"금액 확인 ",""),"금액 확인 "))&amp;IF(AND(B125&lt;&gt;"",COUNTIFS($A$2:$A$1001,A125,$B$2:$B$1001,B125,$C$2:$C$1001,C125)&gt;1),"중복 의심",""))))</f>
        <v/>
      </c>
      <c r="G125" s="25">
        <f>IF(OR(COUNTA(A125:E125)=0,OR(ISNUMBER(SEARCH("소계",B125)),ISNUMBER(SEARCH("합계",B125)))),"",1+COUNTIF($B$1:B124,"*소계*"))</f>
        <v/>
      </c>
      <c r="H125">
        <f>IF(AND(A125&lt;&gt;"",A125=가족별!$B$1,G125&lt;&gt;""),COUNTIFS($A$2:A125,가족별!$B$1,$G$2:G125,"&gt;0"),"")</f>
        <v/>
      </c>
      <c r="I125">
        <f>IF(ISNUMBER(SEARCH("소계",B125)),COUNTIF($B$2:B125,"*소계*"),"")</f>
        <v/>
      </c>
      <c r="J125">
        <f>IF(F125="",0,1)</f>
        <v/>
      </c>
    </row>
    <row r="126">
      <c r="A126" s="41" t="n"/>
      <c r="B126" s="41" t="n"/>
      <c r="C126" s="24" t="n"/>
      <c r="D126" s="41" t="n"/>
      <c r="E126" s="41" t="n"/>
      <c r="F126" s="19">
        <f>IF(COUNTA(A126:E126)=0,"",IF(OR(ISNUMBER(SEARCH("소계",B126)),ISNUMBER(SEARCH("합계",B126))),"",TRIM(IF(B126="","이름 없음 ","")&amp;IF(A126="","받은 가족 없음 ","")&amp;IF(C126="","금액 없음 ",IF(ISNUMBER(C126),IF(C126&lt;1000,"금액 확인 ",""),"금액 확인 "))&amp;IF(AND(B126&lt;&gt;"",COUNTIFS($A$2:$A$1001,A126,$B$2:$B$1001,B126,$C$2:$C$1001,C126)&gt;1),"중복 의심",""))))</f>
        <v/>
      </c>
      <c r="G126" s="25">
        <f>IF(OR(COUNTA(A126:E126)=0,OR(ISNUMBER(SEARCH("소계",B126)),ISNUMBER(SEARCH("합계",B126)))),"",1+COUNTIF($B$1:B125,"*소계*"))</f>
        <v/>
      </c>
      <c r="H126">
        <f>IF(AND(A126&lt;&gt;"",A126=가족별!$B$1,G126&lt;&gt;""),COUNTIFS($A$2:A126,가족별!$B$1,$G$2:G126,"&gt;0"),"")</f>
        <v/>
      </c>
      <c r="I126">
        <f>IF(ISNUMBER(SEARCH("소계",B126)),COUNTIF($B$2:B126,"*소계*"),"")</f>
        <v/>
      </c>
      <c r="J126">
        <f>IF(F126="",0,1)</f>
        <v/>
      </c>
    </row>
    <row r="127">
      <c r="A127" s="41" t="n"/>
      <c r="B127" s="41" t="n"/>
      <c r="C127" s="24" t="n"/>
      <c r="D127" s="41" t="n"/>
      <c r="E127" s="41" t="n"/>
      <c r="F127" s="19">
        <f>IF(COUNTA(A127:E127)=0,"",IF(OR(ISNUMBER(SEARCH("소계",B127)),ISNUMBER(SEARCH("합계",B127))),"",TRIM(IF(B127="","이름 없음 ","")&amp;IF(A127="","받은 가족 없음 ","")&amp;IF(C127="","금액 없음 ",IF(ISNUMBER(C127),IF(C127&lt;1000,"금액 확인 ",""),"금액 확인 "))&amp;IF(AND(B127&lt;&gt;"",COUNTIFS($A$2:$A$1001,A127,$B$2:$B$1001,B127,$C$2:$C$1001,C127)&gt;1),"중복 의심",""))))</f>
        <v/>
      </c>
      <c r="G127" s="25">
        <f>IF(OR(COUNTA(A127:E127)=0,OR(ISNUMBER(SEARCH("소계",B127)),ISNUMBER(SEARCH("합계",B127)))),"",1+COUNTIF($B$1:B126,"*소계*"))</f>
        <v/>
      </c>
      <c r="H127">
        <f>IF(AND(A127&lt;&gt;"",A127=가족별!$B$1,G127&lt;&gt;""),COUNTIFS($A$2:A127,가족별!$B$1,$G$2:G127,"&gt;0"),"")</f>
        <v/>
      </c>
      <c r="I127">
        <f>IF(ISNUMBER(SEARCH("소계",B127)),COUNTIF($B$2:B127,"*소계*"),"")</f>
        <v/>
      </c>
      <c r="J127">
        <f>IF(F127="",0,1)</f>
        <v/>
      </c>
    </row>
    <row r="128">
      <c r="A128" s="41" t="n"/>
      <c r="B128" s="41" t="n"/>
      <c r="C128" s="24" t="n"/>
      <c r="D128" s="41" t="n"/>
      <c r="E128" s="41" t="n"/>
      <c r="F128" s="19">
        <f>IF(COUNTA(A128:E128)=0,"",IF(OR(ISNUMBER(SEARCH("소계",B128)),ISNUMBER(SEARCH("합계",B128))),"",TRIM(IF(B128="","이름 없음 ","")&amp;IF(A128="","받은 가족 없음 ","")&amp;IF(C128="","금액 없음 ",IF(ISNUMBER(C128),IF(C128&lt;1000,"금액 확인 ",""),"금액 확인 "))&amp;IF(AND(B128&lt;&gt;"",COUNTIFS($A$2:$A$1001,A128,$B$2:$B$1001,B128,$C$2:$C$1001,C128)&gt;1),"중복 의심",""))))</f>
        <v/>
      </c>
      <c r="G128" s="25">
        <f>IF(OR(COUNTA(A128:E128)=0,OR(ISNUMBER(SEARCH("소계",B128)),ISNUMBER(SEARCH("합계",B128)))),"",1+COUNTIF($B$1:B127,"*소계*"))</f>
        <v/>
      </c>
      <c r="H128">
        <f>IF(AND(A128&lt;&gt;"",A128=가족별!$B$1,G128&lt;&gt;""),COUNTIFS($A$2:A128,가족별!$B$1,$G$2:G128,"&gt;0"),"")</f>
        <v/>
      </c>
      <c r="I128">
        <f>IF(ISNUMBER(SEARCH("소계",B128)),COUNTIF($B$2:B128,"*소계*"),"")</f>
        <v/>
      </c>
      <c r="J128">
        <f>IF(F128="",0,1)</f>
        <v/>
      </c>
    </row>
    <row r="129">
      <c r="A129" s="41" t="n"/>
      <c r="B129" s="41" t="n"/>
      <c r="C129" s="24" t="n"/>
      <c r="D129" s="41" t="n"/>
      <c r="E129" s="41" t="n"/>
      <c r="F129" s="19">
        <f>IF(COUNTA(A129:E129)=0,"",IF(OR(ISNUMBER(SEARCH("소계",B129)),ISNUMBER(SEARCH("합계",B129))),"",TRIM(IF(B129="","이름 없음 ","")&amp;IF(A129="","받은 가족 없음 ","")&amp;IF(C129="","금액 없음 ",IF(ISNUMBER(C129),IF(C129&lt;1000,"금액 확인 ",""),"금액 확인 "))&amp;IF(AND(B129&lt;&gt;"",COUNTIFS($A$2:$A$1001,A129,$B$2:$B$1001,B129,$C$2:$C$1001,C129)&gt;1),"중복 의심",""))))</f>
        <v/>
      </c>
      <c r="G129" s="25">
        <f>IF(OR(COUNTA(A129:E129)=0,OR(ISNUMBER(SEARCH("소계",B129)),ISNUMBER(SEARCH("합계",B129)))),"",1+COUNTIF($B$1:B128,"*소계*"))</f>
        <v/>
      </c>
      <c r="H129">
        <f>IF(AND(A129&lt;&gt;"",A129=가족별!$B$1,G129&lt;&gt;""),COUNTIFS($A$2:A129,가족별!$B$1,$G$2:G129,"&gt;0"),"")</f>
        <v/>
      </c>
      <c r="I129">
        <f>IF(ISNUMBER(SEARCH("소계",B129)),COUNTIF($B$2:B129,"*소계*"),"")</f>
        <v/>
      </c>
      <c r="J129">
        <f>IF(F129="",0,1)</f>
        <v/>
      </c>
    </row>
    <row r="130">
      <c r="A130" s="41" t="n"/>
      <c r="B130" s="41" t="n"/>
      <c r="C130" s="24" t="n"/>
      <c r="D130" s="41" t="n"/>
      <c r="E130" s="41" t="n"/>
      <c r="F130" s="19">
        <f>IF(COUNTA(A130:E130)=0,"",IF(OR(ISNUMBER(SEARCH("소계",B130)),ISNUMBER(SEARCH("합계",B130))),"",TRIM(IF(B130="","이름 없음 ","")&amp;IF(A130="","받은 가족 없음 ","")&amp;IF(C130="","금액 없음 ",IF(ISNUMBER(C130),IF(C130&lt;1000,"금액 확인 ",""),"금액 확인 "))&amp;IF(AND(B130&lt;&gt;"",COUNTIFS($A$2:$A$1001,A130,$B$2:$B$1001,B130,$C$2:$C$1001,C130)&gt;1),"중복 의심",""))))</f>
        <v/>
      </c>
      <c r="G130" s="25">
        <f>IF(OR(COUNTA(A130:E130)=0,OR(ISNUMBER(SEARCH("소계",B130)),ISNUMBER(SEARCH("합계",B130)))),"",1+COUNTIF($B$1:B129,"*소계*"))</f>
        <v/>
      </c>
      <c r="H130">
        <f>IF(AND(A130&lt;&gt;"",A130=가족별!$B$1,G130&lt;&gt;""),COUNTIFS($A$2:A130,가족별!$B$1,$G$2:G130,"&gt;0"),"")</f>
        <v/>
      </c>
      <c r="I130">
        <f>IF(ISNUMBER(SEARCH("소계",B130)),COUNTIF($B$2:B130,"*소계*"),"")</f>
        <v/>
      </c>
      <c r="J130">
        <f>IF(F130="",0,1)</f>
        <v/>
      </c>
    </row>
    <row r="131">
      <c r="A131" s="41" t="n"/>
      <c r="B131" s="41" t="n"/>
      <c r="C131" s="24" t="n"/>
      <c r="D131" s="41" t="n"/>
      <c r="E131" s="41" t="n"/>
      <c r="F131" s="19">
        <f>IF(COUNTA(A131:E131)=0,"",IF(OR(ISNUMBER(SEARCH("소계",B131)),ISNUMBER(SEARCH("합계",B131))),"",TRIM(IF(B131="","이름 없음 ","")&amp;IF(A131="","받은 가족 없음 ","")&amp;IF(C131="","금액 없음 ",IF(ISNUMBER(C131),IF(C131&lt;1000,"금액 확인 ",""),"금액 확인 "))&amp;IF(AND(B131&lt;&gt;"",COUNTIFS($A$2:$A$1001,A131,$B$2:$B$1001,B131,$C$2:$C$1001,C131)&gt;1),"중복 의심",""))))</f>
        <v/>
      </c>
      <c r="G131" s="25">
        <f>IF(OR(COUNTA(A131:E131)=0,OR(ISNUMBER(SEARCH("소계",B131)),ISNUMBER(SEARCH("합계",B131)))),"",1+COUNTIF($B$1:B130,"*소계*"))</f>
        <v/>
      </c>
      <c r="H131">
        <f>IF(AND(A131&lt;&gt;"",A131=가족별!$B$1,G131&lt;&gt;""),COUNTIFS($A$2:A131,가족별!$B$1,$G$2:G131,"&gt;0"),"")</f>
        <v/>
      </c>
      <c r="I131">
        <f>IF(ISNUMBER(SEARCH("소계",B131)),COUNTIF($B$2:B131,"*소계*"),"")</f>
        <v/>
      </c>
      <c r="J131">
        <f>IF(F131="",0,1)</f>
        <v/>
      </c>
    </row>
    <row r="132">
      <c r="A132" s="41" t="n"/>
      <c r="B132" s="41" t="n"/>
      <c r="C132" s="24" t="n"/>
      <c r="D132" s="41" t="n"/>
      <c r="E132" s="41" t="n"/>
      <c r="F132" s="19">
        <f>IF(COUNTA(A132:E132)=0,"",IF(OR(ISNUMBER(SEARCH("소계",B132)),ISNUMBER(SEARCH("합계",B132))),"",TRIM(IF(B132="","이름 없음 ","")&amp;IF(A132="","받은 가족 없음 ","")&amp;IF(C132="","금액 없음 ",IF(ISNUMBER(C132),IF(C132&lt;1000,"금액 확인 ",""),"금액 확인 "))&amp;IF(AND(B132&lt;&gt;"",COUNTIFS($A$2:$A$1001,A132,$B$2:$B$1001,B132,$C$2:$C$1001,C132)&gt;1),"중복 의심",""))))</f>
        <v/>
      </c>
      <c r="G132" s="25">
        <f>IF(OR(COUNTA(A132:E132)=0,OR(ISNUMBER(SEARCH("소계",B132)),ISNUMBER(SEARCH("합계",B132)))),"",1+COUNTIF($B$1:B131,"*소계*"))</f>
        <v/>
      </c>
      <c r="H132">
        <f>IF(AND(A132&lt;&gt;"",A132=가족별!$B$1,G132&lt;&gt;""),COUNTIFS($A$2:A132,가족별!$B$1,$G$2:G132,"&gt;0"),"")</f>
        <v/>
      </c>
      <c r="I132">
        <f>IF(ISNUMBER(SEARCH("소계",B132)),COUNTIF($B$2:B132,"*소계*"),"")</f>
        <v/>
      </c>
      <c r="J132">
        <f>IF(F132="",0,1)</f>
        <v/>
      </c>
    </row>
    <row r="133">
      <c r="A133" s="41" t="n"/>
      <c r="B133" s="41" t="n"/>
      <c r="C133" s="24" t="n"/>
      <c r="D133" s="41" t="n"/>
      <c r="E133" s="41" t="n"/>
      <c r="F133" s="19">
        <f>IF(COUNTA(A133:E133)=0,"",IF(OR(ISNUMBER(SEARCH("소계",B133)),ISNUMBER(SEARCH("합계",B133))),"",TRIM(IF(B133="","이름 없음 ","")&amp;IF(A133="","받은 가족 없음 ","")&amp;IF(C133="","금액 없음 ",IF(ISNUMBER(C133),IF(C133&lt;1000,"금액 확인 ",""),"금액 확인 "))&amp;IF(AND(B133&lt;&gt;"",COUNTIFS($A$2:$A$1001,A133,$B$2:$B$1001,B133,$C$2:$C$1001,C133)&gt;1),"중복 의심",""))))</f>
        <v/>
      </c>
      <c r="G133" s="25">
        <f>IF(OR(COUNTA(A133:E133)=0,OR(ISNUMBER(SEARCH("소계",B133)),ISNUMBER(SEARCH("합계",B133)))),"",1+COUNTIF($B$1:B132,"*소계*"))</f>
        <v/>
      </c>
      <c r="H133">
        <f>IF(AND(A133&lt;&gt;"",A133=가족별!$B$1,G133&lt;&gt;""),COUNTIFS($A$2:A133,가족별!$B$1,$G$2:G133,"&gt;0"),"")</f>
        <v/>
      </c>
      <c r="I133">
        <f>IF(ISNUMBER(SEARCH("소계",B133)),COUNTIF($B$2:B133,"*소계*"),"")</f>
        <v/>
      </c>
      <c r="J133">
        <f>IF(F133="",0,1)</f>
        <v/>
      </c>
    </row>
    <row r="134">
      <c r="A134" s="41" t="n"/>
      <c r="B134" s="41" t="n"/>
      <c r="C134" s="24" t="n"/>
      <c r="D134" s="41" t="n"/>
      <c r="E134" s="41" t="n"/>
      <c r="F134" s="19">
        <f>IF(COUNTA(A134:E134)=0,"",IF(OR(ISNUMBER(SEARCH("소계",B134)),ISNUMBER(SEARCH("합계",B134))),"",TRIM(IF(B134="","이름 없음 ","")&amp;IF(A134="","받은 가족 없음 ","")&amp;IF(C134="","금액 없음 ",IF(ISNUMBER(C134),IF(C134&lt;1000,"금액 확인 ",""),"금액 확인 "))&amp;IF(AND(B134&lt;&gt;"",COUNTIFS($A$2:$A$1001,A134,$B$2:$B$1001,B134,$C$2:$C$1001,C134)&gt;1),"중복 의심",""))))</f>
        <v/>
      </c>
      <c r="G134" s="25">
        <f>IF(OR(COUNTA(A134:E134)=0,OR(ISNUMBER(SEARCH("소계",B134)),ISNUMBER(SEARCH("합계",B134)))),"",1+COUNTIF($B$1:B133,"*소계*"))</f>
        <v/>
      </c>
      <c r="H134">
        <f>IF(AND(A134&lt;&gt;"",A134=가족별!$B$1,G134&lt;&gt;""),COUNTIFS($A$2:A134,가족별!$B$1,$G$2:G134,"&gt;0"),"")</f>
        <v/>
      </c>
      <c r="I134">
        <f>IF(ISNUMBER(SEARCH("소계",B134)),COUNTIF($B$2:B134,"*소계*"),"")</f>
        <v/>
      </c>
      <c r="J134">
        <f>IF(F134="",0,1)</f>
        <v/>
      </c>
    </row>
    <row r="135">
      <c r="A135" s="41" t="n"/>
      <c r="B135" s="41" t="n"/>
      <c r="C135" s="24" t="n"/>
      <c r="D135" s="41" t="n"/>
      <c r="E135" s="41" t="n"/>
      <c r="F135" s="19">
        <f>IF(COUNTA(A135:E135)=0,"",IF(OR(ISNUMBER(SEARCH("소계",B135)),ISNUMBER(SEARCH("합계",B135))),"",TRIM(IF(B135="","이름 없음 ","")&amp;IF(A135="","받은 가족 없음 ","")&amp;IF(C135="","금액 없음 ",IF(ISNUMBER(C135),IF(C135&lt;1000,"금액 확인 ",""),"금액 확인 "))&amp;IF(AND(B135&lt;&gt;"",COUNTIFS($A$2:$A$1001,A135,$B$2:$B$1001,B135,$C$2:$C$1001,C135)&gt;1),"중복 의심",""))))</f>
        <v/>
      </c>
      <c r="G135" s="25">
        <f>IF(OR(COUNTA(A135:E135)=0,OR(ISNUMBER(SEARCH("소계",B135)),ISNUMBER(SEARCH("합계",B135)))),"",1+COUNTIF($B$1:B134,"*소계*"))</f>
        <v/>
      </c>
      <c r="H135">
        <f>IF(AND(A135&lt;&gt;"",A135=가족별!$B$1,G135&lt;&gt;""),COUNTIFS($A$2:A135,가족별!$B$1,$G$2:G135,"&gt;0"),"")</f>
        <v/>
      </c>
      <c r="I135">
        <f>IF(ISNUMBER(SEARCH("소계",B135)),COUNTIF($B$2:B135,"*소계*"),"")</f>
        <v/>
      </c>
      <c r="J135">
        <f>IF(F135="",0,1)</f>
        <v/>
      </c>
    </row>
    <row r="136">
      <c r="A136" s="41" t="n"/>
      <c r="B136" s="41" t="n"/>
      <c r="C136" s="24" t="n"/>
      <c r="D136" s="41" t="n"/>
      <c r="E136" s="41" t="n"/>
      <c r="F136" s="19">
        <f>IF(COUNTA(A136:E136)=0,"",IF(OR(ISNUMBER(SEARCH("소계",B136)),ISNUMBER(SEARCH("합계",B136))),"",TRIM(IF(B136="","이름 없음 ","")&amp;IF(A136="","받은 가족 없음 ","")&amp;IF(C136="","금액 없음 ",IF(ISNUMBER(C136),IF(C136&lt;1000,"금액 확인 ",""),"금액 확인 "))&amp;IF(AND(B136&lt;&gt;"",COUNTIFS($A$2:$A$1001,A136,$B$2:$B$1001,B136,$C$2:$C$1001,C136)&gt;1),"중복 의심",""))))</f>
        <v/>
      </c>
      <c r="G136" s="25">
        <f>IF(OR(COUNTA(A136:E136)=0,OR(ISNUMBER(SEARCH("소계",B136)),ISNUMBER(SEARCH("합계",B136)))),"",1+COUNTIF($B$1:B135,"*소계*"))</f>
        <v/>
      </c>
      <c r="H136">
        <f>IF(AND(A136&lt;&gt;"",A136=가족별!$B$1,G136&lt;&gt;""),COUNTIFS($A$2:A136,가족별!$B$1,$G$2:G136,"&gt;0"),"")</f>
        <v/>
      </c>
      <c r="I136">
        <f>IF(ISNUMBER(SEARCH("소계",B136)),COUNTIF($B$2:B136,"*소계*"),"")</f>
        <v/>
      </c>
      <c r="J136">
        <f>IF(F136="",0,1)</f>
        <v/>
      </c>
    </row>
    <row r="137">
      <c r="A137" s="41" t="n"/>
      <c r="B137" s="41" t="n"/>
      <c r="C137" s="24" t="n"/>
      <c r="D137" s="41" t="n"/>
      <c r="E137" s="41" t="n"/>
      <c r="F137" s="19">
        <f>IF(COUNTA(A137:E137)=0,"",IF(OR(ISNUMBER(SEARCH("소계",B137)),ISNUMBER(SEARCH("합계",B137))),"",TRIM(IF(B137="","이름 없음 ","")&amp;IF(A137="","받은 가족 없음 ","")&amp;IF(C137="","금액 없음 ",IF(ISNUMBER(C137),IF(C137&lt;1000,"금액 확인 ",""),"금액 확인 "))&amp;IF(AND(B137&lt;&gt;"",COUNTIFS($A$2:$A$1001,A137,$B$2:$B$1001,B137,$C$2:$C$1001,C137)&gt;1),"중복 의심",""))))</f>
        <v/>
      </c>
      <c r="G137" s="25">
        <f>IF(OR(COUNTA(A137:E137)=0,OR(ISNUMBER(SEARCH("소계",B137)),ISNUMBER(SEARCH("합계",B137)))),"",1+COUNTIF($B$1:B136,"*소계*"))</f>
        <v/>
      </c>
      <c r="H137">
        <f>IF(AND(A137&lt;&gt;"",A137=가족별!$B$1,G137&lt;&gt;""),COUNTIFS($A$2:A137,가족별!$B$1,$G$2:G137,"&gt;0"),"")</f>
        <v/>
      </c>
      <c r="I137">
        <f>IF(ISNUMBER(SEARCH("소계",B137)),COUNTIF($B$2:B137,"*소계*"),"")</f>
        <v/>
      </c>
      <c r="J137">
        <f>IF(F137="",0,1)</f>
        <v/>
      </c>
    </row>
    <row r="138">
      <c r="A138" s="41" t="n"/>
      <c r="B138" s="41" t="n"/>
      <c r="C138" s="24" t="n"/>
      <c r="D138" s="41" t="n"/>
      <c r="E138" s="41" t="n"/>
      <c r="F138" s="19">
        <f>IF(COUNTA(A138:E138)=0,"",IF(OR(ISNUMBER(SEARCH("소계",B138)),ISNUMBER(SEARCH("합계",B138))),"",TRIM(IF(B138="","이름 없음 ","")&amp;IF(A138="","받은 가족 없음 ","")&amp;IF(C138="","금액 없음 ",IF(ISNUMBER(C138),IF(C138&lt;1000,"금액 확인 ",""),"금액 확인 "))&amp;IF(AND(B138&lt;&gt;"",COUNTIFS($A$2:$A$1001,A138,$B$2:$B$1001,B138,$C$2:$C$1001,C138)&gt;1),"중복 의심",""))))</f>
        <v/>
      </c>
      <c r="G138" s="25">
        <f>IF(OR(COUNTA(A138:E138)=0,OR(ISNUMBER(SEARCH("소계",B138)),ISNUMBER(SEARCH("합계",B138)))),"",1+COUNTIF($B$1:B137,"*소계*"))</f>
        <v/>
      </c>
      <c r="H138">
        <f>IF(AND(A138&lt;&gt;"",A138=가족별!$B$1,G138&lt;&gt;""),COUNTIFS($A$2:A138,가족별!$B$1,$G$2:G138,"&gt;0"),"")</f>
        <v/>
      </c>
      <c r="I138">
        <f>IF(ISNUMBER(SEARCH("소계",B138)),COUNTIF($B$2:B138,"*소계*"),"")</f>
        <v/>
      </c>
      <c r="J138">
        <f>IF(F138="",0,1)</f>
        <v/>
      </c>
    </row>
    <row r="139">
      <c r="A139" s="41" t="n"/>
      <c r="B139" s="41" t="n"/>
      <c r="C139" s="24" t="n"/>
      <c r="D139" s="41" t="n"/>
      <c r="E139" s="41" t="n"/>
      <c r="F139" s="19">
        <f>IF(COUNTA(A139:E139)=0,"",IF(OR(ISNUMBER(SEARCH("소계",B139)),ISNUMBER(SEARCH("합계",B139))),"",TRIM(IF(B139="","이름 없음 ","")&amp;IF(A139="","받은 가족 없음 ","")&amp;IF(C139="","금액 없음 ",IF(ISNUMBER(C139),IF(C139&lt;1000,"금액 확인 ",""),"금액 확인 "))&amp;IF(AND(B139&lt;&gt;"",COUNTIFS($A$2:$A$1001,A139,$B$2:$B$1001,B139,$C$2:$C$1001,C139)&gt;1),"중복 의심",""))))</f>
        <v/>
      </c>
      <c r="G139" s="25">
        <f>IF(OR(COUNTA(A139:E139)=0,OR(ISNUMBER(SEARCH("소계",B139)),ISNUMBER(SEARCH("합계",B139)))),"",1+COUNTIF($B$1:B138,"*소계*"))</f>
        <v/>
      </c>
      <c r="H139">
        <f>IF(AND(A139&lt;&gt;"",A139=가족별!$B$1,G139&lt;&gt;""),COUNTIFS($A$2:A139,가족별!$B$1,$G$2:G139,"&gt;0"),"")</f>
        <v/>
      </c>
      <c r="I139">
        <f>IF(ISNUMBER(SEARCH("소계",B139)),COUNTIF($B$2:B139,"*소계*"),"")</f>
        <v/>
      </c>
      <c r="J139">
        <f>IF(F139="",0,1)</f>
        <v/>
      </c>
    </row>
    <row r="140">
      <c r="A140" s="41" t="n"/>
      <c r="B140" s="41" t="n"/>
      <c r="C140" s="24" t="n"/>
      <c r="D140" s="41" t="n"/>
      <c r="E140" s="41" t="n"/>
      <c r="F140" s="19">
        <f>IF(COUNTA(A140:E140)=0,"",IF(OR(ISNUMBER(SEARCH("소계",B140)),ISNUMBER(SEARCH("합계",B140))),"",TRIM(IF(B140="","이름 없음 ","")&amp;IF(A140="","받은 가족 없음 ","")&amp;IF(C140="","금액 없음 ",IF(ISNUMBER(C140),IF(C140&lt;1000,"금액 확인 ",""),"금액 확인 "))&amp;IF(AND(B140&lt;&gt;"",COUNTIFS($A$2:$A$1001,A140,$B$2:$B$1001,B140,$C$2:$C$1001,C140)&gt;1),"중복 의심",""))))</f>
        <v/>
      </c>
      <c r="G140" s="25">
        <f>IF(OR(COUNTA(A140:E140)=0,OR(ISNUMBER(SEARCH("소계",B140)),ISNUMBER(SEARCH("합계",B140)))),"",1+COUNTIF($B$1:B139,"*소계*"))</f>
        <v/>
      </c>
      <c r="H140">
        <f>IF(AND(A140&lt;&gt;"",A140=가족별!$B$1,G140&lt;&gt;""),COUNTIFS($A$2:A140,가족별!$B$1,$G$2:G140,"&gt;0"),"")</f>
        <v/>
      </c>
      <c r="I140">
        <f>IF(ISNUMBER(SEARCH("소계",B140)),COUNTIF($B$2:B140,"*소계*"),"")</f>
        <v/>
      </c>
      <c r="J140">
        <f>IF(F140="",0,1)</f>
        <v/>
      </c>
    </row>
    <row r="141">
      <c r="A141" s="41" t="n"/>
      <c r="B141" s="41" t="n"/>
      <c r="C141" s="24" t="n"/>
      <c r="D141" s="41" t="n"/>
      <c r="E141" s="41" t="n"/>
      <c r="F141" s="19">
        <f>IF(COUNTA(A141:E141)=0,"",IF(OR(ISNUMBER(SEARCH("소계",B141)),ISNUMBER(SEARCH("합계",B141))),"",TRIM(IF(B141="","이름 없음 ","")&amp;IF(A141="","받은 가족 없음 ","")&amp;IF(C141="","금액 없음 ",IF(ISNUMBER(C141),IF(C141&lt;1000,"금액 확인 ",""),"금액 확인 "))&amp;IF(AND(B141&lt;&gt;"",COUNTIFS($A$2:$A$1001,A141,$B$2:$B$1001,B141,$C$2:$C$1001,C141)&gt;1),"중복 의심",""))))</f>
        <v/>
      </c>
      <c r="G141" s="25">
        <f>IF(OR(COUNTA(A141:E141)=0,OR(ISNUMBER(SEARCH("소계",B141)),ISNUMBER(SEARCH("합계",B141)))),"",1+COUNTIF($B$1:B140,"*소계*"))</f>
        <v/>
      </c>
      <c r="H141">
        <f>IF(AND(A141&lt;&gt;"",A141=가족별!$B$1,G141&lt;&gt;""),COUNTIFS($A$2:A141,가족별!$B$1,$G$2:G141,"&gt;0"),"")</f>
        <v/>
      </c>
      <c r="I141">
        <f>IF(ISNUMBER(SEARCH("소계",B141)),COUNTIF($B$2:B141,"*소계*"),"")</f>
        <v/>
      </c>
      <c r="J141">
        <f>IF(F141="",0,1)</f>
        <v/>
      </c>
    </row>
    <row r="142">
      <c r="A142" s="41" t="n"/>
      <c r="B142" s="41" t="n"/>
      <c r="C142" s="24" t="n"/>
      <c r="D142" s="41" t="n"/>
      <c r="E142" s="41" t="n"/>
      <c r="F142" s="19">
        <f>IF(COUNTA(A142:E142)=0,"",IF(OR(ISNUMBER(SEARCH("소계",B142)),ISNUMBER(SEARCH("합계",B142))),"",TRIM(IF(B142="","이름 없음 ","")&amp;IF(A142="","받은 가족 없음 ","")&amp;IF(C142="","금액 없음 ",IF(ISNUMBER(C142),IF(C142&lt;1000,"금액 확인 ",""),"금액 확인 "))&amp;IF(AND(B142&lt;&gt;"",COUNTIFS($A$2:$A$1001,A142,$B$2:$B$1001,B142,$C$2:$C$1001,C142)&gt;1),"중복 의심",""))))</f>
        <v/>
      </c>
      <c r="G142" s="25">
        <f>IF(OR(COUNTA(A142:E142)=0,OR(ISNUMBER(SEARCH("소계",B142)),ISNUMBER(SEARCH("합계",B142)))),"",1+COUNTIF($B$1:B141,"*소계*"))</f>
        <v/>
      </c>
      <c r="H142">
        <f>IF(AND(A142&lt;&gt;"",A142=가족별!$B$1,G142&lt;&gt;""),COUNTIFS($A$2:A142,가족별!$B$1,$G$2:G142,"&gt;0"),"")</f>
        <v/>
      </c>
      <c r="I142">
        <f>IF(ISNUMBER(SEARCH("소계",B142)),COUNTIF($B$2:B142,"*소계*"),"")</f>
        <v/>
      </c>
      <c r="J142">
        <f>IF(F142="",0,1)</f>
        <v/>
      </c>
    </row>
    <row r="143">
      <c r="A143" s="41" t="n"/>
      <c r="B143" s="41" t="n"/>
      <c r="C143" s="24" t="n"/>
      <c r="D143" s="41" t="n"/>
      <c r="E143" s="41" t="n"/>
      <c r="F143" s="19">
        <f>IF(COUNTA(A143:E143)=0,"",IF(OR(ISNUMBER(SEARCH("소계",B143)),ISNUMBER(SEARCH("합계",B143))),"",TRIM(IF(B143="","이름 없음 ","")&amp;IF(A143="","받은 가족 없음 ","")&amp;IF(C143="","금액 없음 ",IF(ISNUMBER(C143),IF(C143&lt;1000,"금액 확인 ",""),"금액 확인 "))&amp;IF(AND(B143&lt;&gt;"",COUNTIFS($A$2:$A$1001,A143,$B$2:$B$1001,B143,$C$2:$C$1001,C143)&gt;1),"중복 의심",""))))</f>
        <v/>
      </c>
      <c r="G143" s="25">
        <f>IF(OR(COUNTA(A143:E143)=0,OR(ISNUMBER(SEARCH("소계",B143)),ISNUMBER(SEARCH("합계",B143)))),"",1+COUNTIF($B$1:B142,"*소계*"))</f>
        <v/>
      </c>
      <c r="H143">
        <f>IF(AND(A143&lt;&gt;"",A143=가족별!$B$1,G143&lt;&gt;""),COUNTIFS($A$2:A143,가족별!$B$1,$G$2:G143,"&gt;0"),"")</f>
        <v/>
      </c>
      <c r="I143">
        <f>IF(ISNUMBER(SEARCH("소계",B143)),COUNTIF($B$2:B143,"*소계*"),"")</f>
        <v/>
      </c>
      <c r="J143">
        <f>IF(F143="",0,1)</f>
        <v/>
      </c>
    </row>
    <row r="144">
      <c r="A144" s="41" t="n"/>
      <c r="B144" s="41" t="n"/>
      <c r="C144" s="24" t="n"/>
      <c r="D144" s="41" t="n"/>
      <c r="E144" s="41" t="n"/>
      <c r="F144" s="19">
        <f>IF(COUNTA(A144:E144)=0,"",IF(OR(ISNUMBER(SEARCH("소계",B144)),ISNUMBER(SEARCH("합계",B144))),"",TRIM(IF(B144="","이름 없음 ","")&amp;IF(A144="","받은 가족 없음 ","")&amp;IF(C144="","금액 없음 ",IF(ISNUMBER(C144),IF(C144&lt;1000,"금액 확인 ",""),"금액 확인 "))&amp;IF(AND(B144&lt;&gt;"",COUNTIFS($A$2:$A$1001,A144,$B$2:$B$1001,B144,$C$2:$C$1001,C144)&gt;1),"중복 의심",""))))</f>
        <v/>
      </c>
      <c r="G144" s="25">
        <f>IF(OR(COUNTA(A144:E144)=0,OR(ISNUMBER(SEARCH("소계",B144)),ISNUMBER(SEARCH("합계",B144)))),"",1+COUNTIF($B$1:B143,"*소계*"))</f>
        <v/>
      </c>
      <c r="H144">
        <f>IF(AND(A144&lt;&gt;"",A144=가족별!$B$1,G144&lt;&gt;""),COUNTIFS($A$2:A144,가족별!$B$1,$G$2:G144,"&gt;0"),"")</f>
        <v/>
      </c>
      <c r="I144">
        <f>IF(ISNUMBER(SEARCH("소계",B144)),COUNTIF($B$2:B144,"*소계*"),"")</f>
        <v/>
      </c>
      <c r="J144">
        <f>IF(F144="",0,1)</f>
        <v/>
      </c>
    </row>
    <row r="145">
      <c r="A145" s="41" t="n"/>
      <c r="B145" s="41" t="n"/>
      <c r="C145" s="24" t="n"/>
      <c r="D145" s="41" t="n"/>
      <c r="E145" s="41" t="n"/>
      <c r="F145" s="19">
        <f>IF(COUNTA(A145:E145)=0,"",IF(OR(ISNUMBER(SEARCH("소계",B145)),ISNUMBER(SEARCH("합계",B145))),"",TRIM(IF(B145="","이름 없음 ","")&amp;IF(A145="","받은 가족 없음 ","")&amp;IF(C145="","금액 없음 ",IF(ISNUMBER(C145),IF(C145&lt;1000,"금액 확인 ",""),"금액 확인 "))&amp;IF(AND(B145&lt;&gt;"",COUNTIFS($A$2:$A$1001,A145,$B$2:$B$1001,B145,$C$2:$C$1001,C145)&gt;1),"중복 의심",""))))</f>
        <v/>
      </c>
      <c r="G145" s="25">
        <f>IF(OR(COUNTA(A145:E145)=0,OR(ISNUMBER(SEARCH("소계",B145)),ISNUMBER(SEARCH("합계",B145)))),"",1+COUNTIF($B$1:B144,"*소계*"))</f>
        <v/>
      </c>
      <c r="H145">
        <f>IF(AND(A145&lt;&gt;"",A145=가족별!$B$1,G145&lt;&gt;""),COUNTIFS($A$2:A145,가족별!$B$1,$G$2:G145,"&gt;0"),"")</f>
        <v/>
      </c>
      <c r="I145">
        <f>IF(ISNUMBER(SEARCH("소계",B145)),COUNTIF($B$2:B145,"*소계*"),"")</f>
        <v/>
      </c>
      <c r="J145">
        <f>IF(F145="",0,1)</f>
        <v/>
      </c>
    </row>
    <row r="146">
      <c r="A146" s="41" t="n"/>
      <c r="B146" s="41" t="n"/>
      <c r="C146" s="24" t="n"/>
      <c r="D146" s="41" t="n"/>
      <c r="E146" s="41" t="n"/>
      <c r="F146" s="19">
        <f>IF(COUNTA(A146:E146)=0,"",IF(OR(ISNUMBER(SEARCH("소계",B146)),ISNUMBER(SEARCH("합계",B146))),"",TRIM(IF(B146="","이름 없음 ","")&amp;IF(A146="","받은 가족 없음 ","")&amp;IF(C146="","금액 없음 ",IF(ISNUMBER(C146),IF(C146&lt;1000,"금액 확인 ",""),"금액 확인 "))&amp;IF(AND(B146&lt;&gt;"",COUNTIFS($A$2:$A$1001,A146,$B$2:$B$1001,B146,$C$2:$C$1001,C146)&gt;1),"중복 의심",""))))</f>
        <v/>
      </c>
      <c r="G146" s="25">
        <f>IF(OR(COUNTA(A146:E146)=0,OR(ISNUMBER(SEARCH("소계",B146)),ISNUMBER(SEARCH("합계",B146)))),"",1+COUNTIF($B$1:B145,"*소계*"))</f>
        <v/>
      </c>
      <c r="H146">
        <f>IF(AND(A146&lt;&gt;"",A146=가족별!$B$1,G146&lt;&gt;""),COUNTIFS($A$2:A146,가족별!$B$1,$G$2:G146,"&gt;0"),"")</f>
        <v/>
      </c>
      <c r="I146">
        <f>IF(ISNUMBER(SEARCH("소계",B146)),COUNTIF($B$2:B146,"*소계*"),"")</f>
        <v/>
      </c>
      <c r="J146">
        <f>IF(F146="",0,1)</f>
        <v/>
      </c>
    </row>
    <row r="147">
      <c r="A147" s="41" t="n"/>
      <c r="B147" s="41" t="n"/>
      <c r="C147" s="24" t="n"/>
      <c r="D147" s="41" t="n"/>
      <c r="E147" s="41" t="n"/>
      <c r="F147" s="19">
        <f>IF(COUNTA(A147:E147)=0,"",IF(OR(ISNUMBER(SEARCH("소계",B147)),ISNUMBER(SEARCH("합계",B147))),"",TRIM(IF(B147="","이름 없음 ","")&amp;IF(A147="","받은 가족 없음 ","")&amp;IF(C147="","금액 없음 ",IF(ISNUMBER(C147),IF(C147&lt;1000,"금액 확인 ",""),"금액 확인 "))&amp;IF(AND(B147&lt;&gt;"",COUNTIFS($A$2:$A$1001,A147,$B$2:$B$1001,B147,$C$2:$C$1001,C147)&gt;1),"중복 의심",""))))</f>
        <v/>
      </c>
      <c r="G147" s="25">
        <f>IF(OR(COUNTA(A147:E147)=0,OR(ISNUMBER(SEARCH("소계",B147)),ISNUMBER(SEARCH("합계",B147)))),"",1+COUNTIF($B$1:B146,"*소계*"))</f>
        <v/>
      </c>
      <c r="H147">
        <f>IF(AND(A147&lt;&gt;"",A147=가족별!$B$1,G147&lt;&gt;""),COUNTIFS($A$2:A147,가족별!$B$1,$G$2:G147,"&gt;0"),"")</f>
        <v/>
      </c>
      <c r="I147">
        <f>IF(ISNUMBER(SEARCH("소계",B147)),COUNTIF($B$2:B147,"*소계*"),"")</f>
        <v/>
      </c>
      <c r="J147">
        <f>IF(F147="",0,1)</f>
        <v/>
      </c>
    </row>
    <row r="148">
      <c r="A148" s="41" t="n"/>
      <c r="B148" s="41" t="n"/>
      <c r="C148" s="24" t="n"/>
      <c r="D148" s="41" t="n"/>
      <c r="E148" s="41" t="n"/>
      <c r="F148" s="19">
        <f>IF(COUNTA(A148:E148)=0,"",IF(OR(ISNUMBER(SEARCH("소계",B148)),ISNUMBER(SEARCH("합계",B148))),"",TRIM(IF(B148="","이름 없음 ","")&amp;IF(A148="","받은 가족 없음 ","")&amp;IF(C148="","금액 없음 ",IF(ISNUMBER(C148),IF(C148&lt;1000,"금액 확인 ",""),"금액 확인 "))&amp;IF(AND(B148&lt;&gt;"",COUNTIFS($A$2:$A$1001,A148,$B$2:$B$1001,B148,$C$2:$C$1001,C148)&gt;1),"중복 의심",""))))</f>
        <v/>
      </c>
      <c r="G148" s="25">
        <f>IF(OR(COUNTA(A148:E148)=0,OR(ISNUMBER(SEARCH("소계",B148)),ISNUMBER(SEARCH("합계",B148)))),"",1+COUNTIF($B$1:B147,"*소계*"))</f>
        <v/>
      </c>
      <c r="H148">
        <f>IF(AND(A148&lt;&gt;"",A148=가족별!$B$1,G148&lt;&gt;""),COUNTIFS($A$2:A148,가족별!$B$1,$G$2:G148,"&gt;0"),"")</f>
        <v/>
      </c>
      <c r="I148">
        <f>IF(ISNUMBER(SEARCH("소계",B148)),COUNTIF($B$2:B148,"*소계*"),"")</f>
        <v/>
      </c>
      <c r="J148">
        <f>IF(F148="",0,1)</f>
        <v/>
      </c>
    </row>
    <row r="149">
      <c r="A149" s="41" t="n"/>
      <c r="B149" s="41" t="n"/>
      <c r="C149" s="24" t="n"/>
      <c r="D149" s="41" t="n"/>
      <c r="E149" s="41" t="n"/>
      <c r="F149" s="19">
        <f>IF(COUNTA(A149:E149)=0,"",IF(OR(ISNUMBER(SEARCH("소계",B149)),ISNUMBER(SEARCH("합계",B149))),"",TRIM(IF(B149="","이름 없음 ","")&amp;IF(A149="","받은 가족 없음 ","")&amp;IF(C149="","금액 없음 ",IF(ISNUMBER(C149),IF(C149&lt;1000,"금액 확인 ",""),"금액 확인 "))&amp;IF(AND(B149&lt;&gt;"",COUNTIFS($A$2:$A$1001,A149,$B$2:$B$1001,B149,$C$2:$C$1001,C149)&gt;1),"중복 의심",""))))</f>
        <v/>
      </c>
      <c r="G149" s="25">
        <f>IF(OR(COUNTA(A149:E149)=0,OR(ISNUMBER(SEARCH("소계",B149)),ISNUMBER(SEARCH("합계",B149)))),"",1+COUNTIF($B$1:B148,"*소계*"))</f>
        <v/>
      </c>
      <c r="H149">
        <f>IF(AND(A149&lt;&gt;"",A149=가족별!$B$1,G149&lt;&gt;""),COUNTIFS($A$2:A149,가족별!$B$1,$G$2:G149,"&gt;0"),"")</f>
        <v/>
      </c>
      <c r="I149">
        <f>IF(ISNUMBER(SEARCH("소계",B149)),COUNTIF($B$2:B149,"*소계*"),"")</f>
        <v/>
      </c>
      <c r="J149">
        <f>IF(F149="",0,1)</f>
        <v/>
      </c>
    </row>
    <row r="150">
      <c r="A150" s="41" t="n"/>
      <c r="B150" s="41" t="n"/>
      <c r="C150" s="24" t="n"/>
      <c r="D150" s="41" t="n"/>
      <c r="E150" s="41" t="n"/>
      <c r="F150" s="19">
        <f>IF(COUNTA(A150:E150)=0,"",IF(OR(ISNUMBER(SEARCH("소계",B150)),ISNUMBER(SEARCH("합계",B150))),"",TRIM(IF(B150="","이름 없음 ","")&amp;IF(A150="","받은 가족 없음 ","")&amp;IF(C150="","금액 없음 ",IF(ISNUMBER(C150),IF(C150&lt;1000,"금액 확인 ",""),"금액 확인 "))&amp;IF(AND(B150&lt;&gt;"",COUNTIFS($A$2:$A$1001,A150,$B$2:$B$1001,B150,$C$2:$C$1001,C150)&gt;1),"중복 의심",""))))</f>
        <v/>
      </c>
      <c r="G150" s="25">
        <f>IF(OR(COUNTA(A150:E150)=0,OR(ISNUMBER(SEARCH("소계",B150)),ISNUMBER(SEARCH("합계",B150)))),"",1+COUNTIF($B$1:B149,"*소계*"))</f>
        <v/>
      </c>
      <c r="H150">
        <f>IF(AND(A150&lt;&gt;"",A150=가족별!$B$1,G150&lt;&gt;""),COUNTIFS($A$2:A150,가족별!$B$1,$G$2:G150,"&gt;0"),"")</f>
        <v/>
      </c>
      <c r="I150">
        <f>IF(ISNUMBER(SEARCH("소계",B150)),COUNTIF($B$2:B150,"*소계*"),"")</f>
        <v/>
      </c>
      <c r="J150">
        <f>IF(F150="",0,1)</f>
        <v/>
      </c>
    </row>
    <row r="151">
      <c r="A151" s="41" t="n"/>
      <c r="B151" s="41" t="n"/>
      <c r="C151" s="24" t="n"/>
      <c r="D151" s="41" t="n"/>
      <c r="E151" s="41" t="n"/>
      <c r="F151" s="19">
        <f>IF(COUNTA(A151:E151)=0,"",IF(OR(ISNUMBER(SEARCH("소계",B151)),ISNUMBER(SEARCH("합계",B151))),"",TRIM(IF(B151="","이름 없음 ","")&amp;IF(A151="","받은 가족 없음 ","")&amp;IF(C151="","금액 없음 ",IF(ISNUMBER(C151),IF(C151&lt;1000,"금액 확인 ",""),"금액 확인 "))&amp;IF(AND(B151&lt;&gt;"",COUNTIFS($A$2:$A$1001,A151,$B$2:$B$1001,B151,$C$2:$C$1001,C151)&gt;1),"중복 의심",""))))</f>
        <v/>
      </c>
      <c r="G151" s="25">
        <f>IF(OR(COUNTA(A151:E151)=0,OR(ISNUMBER(SEARCH("소계",B151)),ISNUMBER(SEARCH("합계",B151)))),"",1+COUNTIF($B$1:B150,"*소계*"))</f>
        <v/>
      </c>
      <c r="H151">
        <f>IF(AND(A151&lt;&gt;"",A151=가족별!$B$1,G151&lt;&gt;""),COUNTIFS($A$2:A151,가족별!$B$1,$G$2:G151,"&gt;0"),"")</f>
        <v/>
      </c>
      <c r="I151">
        <f>IF(ISNUMBER(SEARCH("소계",B151)),COUNTIF($B$2:B151,"*소계*"),"")</f>
        <v/>
      </c>
      <c r="J151">
        <f>IF(F151="",0,1)</f>
        <v/>
      </c>
    </row>
    <row r="152">
      <c r="A152" s="41" t="n"/>
      <c r="B152" s="41" t="n"/>
      <c r="C152" s="24" t="n"/>
      <c r="D152" s="41" t="n"/>
      <c r="E152" s="41" t="n"/>
      <c r="F152" s="19">
        <f>IF(COUNTA(A152:E152)=0,"",IF(OR(ISNUMBER(SEARCH("소계",B152)),ISNUMBER(SEARCH("합계",B152))),"",TRIM(IF(B152="","이름 없음 ","")&amp;IF(A152="","받은 가족 없음 ","")&amp;IF(C152="","금액 없음 ",IF(ISNUMBER(C152),IF(C152&lt;1000,"금액 확인 ",""),"금액 확인 "))&amp;IF(AND(B152&lt;&gt;"",COUNTIFS($A$2:$A$1001,A152,$B$2:$B$1001,B152,$C$2:$C$1001,C152)&gt;1),"중복 의심",""))))</f>
        <v/>
      </c>
      <c r="G152" s="25">
        <f>IF(OR(COUNTA(A152:E152)=0,OR(ISNUMBER(SEARCH("소계",B152)),ISNUMBER(SEARCH("합계",B152)))),"",1+COUNTIF($B$1:B151,"*소계*"))</f>
        <v/>
      </c>
      <c r="H152">
        <f>IF(AND(A152&lt;&gt;"",A152=가족별!$B$1,G152&lt;&gt;""),COUNTIFS($A$2:A152,가족별!$B$1,$G$2:G152,"&gt;0"),"")</f>
        <v/>
      </c>
      <c r="I152">
        <f>IF(ISNUMBER(SEARCH("소계",B152)),COUNTIF($B$2:B152,"*소계*"),"")</f>
        <v/>
      </c>
      <c r="J152">
        <f>IF(F152="",0,1)</f>
        <v/>
      </c>
    </row>
    <row r="153">
      <c r="A153" s="41" t="n"/>
      <c r="B153" s="41" t="n"/>
      <c r="C153" s="24" t="n"/>
      <c r="D153" s="41" t="n"/>
      <c r="E153" s="41" t="n"/>
      <c r="F153" s="19">
        <f>IF(COUNTA(A153:E153)=0,"",IF(OR(ISNUMBER(SEARCH("소계",B153)),ISNUMBER(SEARCH("합계",B153))),"",TRIM(IF(B153="","이름 없음 ","")&amp;IF(A153="","받은 가족 없음 ","")&amp;IF(C153="","금액 없음 ",IF(ISNUMBER(C153),IF(C153&lt;1000,"금액 확인 ",""),"금액 확인 "))&amp;IF(AND(B153&lt;&gt;"",COUNTIFS($A$2:$A$1001,A153,$B$2:$B$1001,B153,$C$2:$C$1001,C153)&gt;1),"중복 의심",""))))</f>
        <v/>
      </c>
      <c r="G153" s="25">
        <f>IF(OR(COUNTA(A153:E153)=0,OR(ISNUMBER(SEARCH("소계",B153)),ISNUMBER(SEARCH("합계",B153)))),"",1+COUNTIF($B$1:B152,"*소계*"))</f>
        <v/>
      </c>
      <c r="H153">
        <f>IF(AND(A153&lt;&gt;"",A153=가족별!$B$1,G153&lt;&gt;""),COUNTIFS($A$2:A153,가족별!$B$1,$G$2:G153,"&gt;0"),"")</f>
        <v/>
      </c>
      <c r="I153">
        <f>IF(ISNUMBER(SEARCH("소계",B153)),COUNTIF($B$2:B153,"*소계*"),"")</f>
        <v/>
      </c>
      <c r="J153">
        <f>IF(F153="",0,1)</f>
        <v/>
      </c>
    </row>
    <row r="154">
      <c r="A154" s="41" t="n"/>
      <c r="B154" s="41" t="n"/>
      <c r="C154" s="24" t="n"/>
      <c r="D154" s="41" t="n"/>
      <c r="E154" s="41" t="n"/>
      <c r="F154" s="19">
        <f>IF(COUNTA(A154:E154)=0,"",IF(OR(ISNUMBER(SEARCH("소계",B154)),ISNUMBER(SEARCH("합계",B154))),"",TRIM(IF(B154="","이름 없음 ","")&amp;IF(A154="","받은 가족 없음 ","")&amp;IF(C154="","금액 없음 ",IF(ISNUMBER(C154),IF(C154&lt;1000,"금액 확인 ",""),"금액 확인 "))&amp;IF(AND(B154&lt;&gt;"",COUNTIFS($A$2:$A$1001,A154,$B$2:$B$1001,B154,$C$2:$C$1001,C154)&gt;1),"중복 의심",""))))</f>
        <v/>
      </c>
      <c r="G154" s="25">
        <f>IF(OR(COUNTA(A154:E154)=0,OR(ISNUMBER(SEARCH("소계",B154)),ISNUMBER(SEARCH("합계",B154)))),"",1+COUNTIF($B$1:B153,"*소계*"))</f>
        <v/>
      </c>
      <c r="H154">
        <f>IF(AND(A154&lt;&gt;"",A154=가족별!$B$1,G154&lt;&gt;""),COUNTIFS($A$2:A154,가족별!$B$1,$G$2:G154,"&gt;0"),"")</f>
        <v/>
      </c>
      <c r="I154">
        <f>IF(ISNUMBER(SEARCH("소계",B154)),COUNTIF($B$2:B154,"*소계*"),"")</f>
        <v/>
      </c>
      <c r="J154">
        <f>IF(F154="",0,1)</f>
        <v/>
      </c>
    </row>
    <row r="155">
      <c r="A155" s="41" t="n"/>
      <c r="B155" s="41" t="n"/>
      <c r="C155" s="24" t="n"/>
      <c r="D155" s="41" t="n"/>
      <c r="E155" s="41" t="n"/>
      <c r="F155" s="19">
        <f>IF(COUNTA(A155:E155)=0,"",IF(OR(ISNUMBER(SEARCH("소계",B155)),ISNUMBER(SEARCH("합계",B155))),"",TRIM(IF(B155="","이름 없음 ","")&amp;IF(A155="","받은 가족 없음 ","")&amp;IF(C155="","금액 없음 ",IF(ISNUMBER(C155),IF(C155&lt;1000,"금액 확인 ",""),"금액 확인 "))&amp;IF(AND(B155&lt;&gt;"",COUNTIFS($A$2:$A$1001,A155,$B$2:$B$1001,B155,$C$2:$C$1001,C155)&gt;1),"중복 의심",""))))</f>
        <v/>
      </c>
      <c r="G155" s="25">
        <f>IF(OR(COUNTA(A155:E155)=0,OR(ISNUMBER(SEARCH("소계",B155)),ISNUMBER(SEARCH("합계",B155)))),"",1+COUNTIF($B$1:B154,"*소계*"))</f>
        <v/>
      </c>
      <c r="H155">
        <f>IF(AND(A155&lt;&gt;"",A155=가족별!$B$1,G155&lt;&gt;""),COUNTIFS($A$2:A155,가족별!$B$1,$G$2:G155,"&gt;0"),"")</f>
        <v/>
      </c>
      <c r="I155">
        <f>IF(ISNUMBER(SEARCH("소계",B155)),COUNTIF($B$2:B155,"*소계*"),"")</f>
        <v/>
      </c>
      <c r="J155">
        <f>IF(F155="",0,1)</f>
        <v/>
      </c>
    </row>
    <row r="156">
      <c r="A156" s="41" t="n"/>
      <c r="B156" s="41" t="n"/>
      <c r="C156" s="24" t="n"/>
      <c r="D156" s="41" t="n"/>
      <c r="E156" s="41" t="n"/>
      <c r="F156" s="19">
        <f>IF(COUNTA(A156:E156)=0,"",IF(OR(ISNUMBER(SEARCH("소계",B156)),ISNUMBER(SEARCH("합계",B156))),"",TRIM(IF(B156="","이름 없음 ","")&amp;IF(A156="","받은 가족 없음 ","")&amp;IF(C156="","금액 없음 ",IF(ISNUMBER(C156),IF(C156&lt;1000,"금액 확인 ",""),"금액 확인 "))&amp;IF(AND(B156&lt;&gt;"",COUNTIFS($A$2:$A$1001,A156,$B$2:$B$1001,B156,$C$2:$C$1001,C156)&gt;1),"중복 의심",""))))</f>
        <v/>
      </c>
      <c r="G156" s="25">
        <f>IF(OR(COUNTA(A156:E156)=0,OR(ISNUMBER(SEARCH("소계",B156)),ISNUMBER(SEARCH("합계",B156)))),"",1+COUNTIF($B$1:B155,"*소계*"))</f>
        <v/>
      </c>
      <c r="H156">
        <f>IF(AND(A156&lt;&gt;"",A156=가족별!$B$1,G156&lt;&gt;""),COUNTIFS($A$2:A156,가족별!$B$1,$G$2:G156,"&gt;0"),"")</f>
        <v/>
      </c>
      <c r="I156">
        <f>IF(ISNUMBER(SEARCH("소계",B156)),COUNTIF($B$2:B156,"*소계*"),"")</f>
        <v/>
      </c>
      <c r="J156">
        <f>IF(F156="",0,1)</f>
        <v/>
      </c>
    </row>
    <row r="157">
      <c r="A157" s="41" t="n"/>
      <c r="B157" s="41" t="n"/>
      <c r="C157" s="24" t="n"/>
      <c r="D157" s="41" t="n"/>
      <c r="E157" s="41" t="n"/>
      <c r="F157" s="19">
        <f>IF(COUNTA(A157:E157)=0,"",IF(OR(ISNUMBER(SEARCH("소계",B157)),ISNUMBER(SEARCH("합계",B157))),"",TRIM(IF(B157="","이름 없음 ","")&amp;IF(A157="","받은 가족 없음 ","")&amp;IF(C157="","금액 없음 ",IF(ISNUMBER(C157),IF(C157&lt;1000,"금액 확인 ",""),"금액 확인 "))&amp;IF(AND(B157&lt;&gt;"",COUNTIFS($A$2:$A$1001,A157,$B$2:$B$1001,B157,$C$2:$C$1001,C157)&gt;1),"중복 의심",""))))</f>
        <v/>
      </c>
      <c r="G157" s="25">
        <f>IF(OR(COUNTA(A157:E157)=0,OR(ISNUMBER(SEARCH("소계",B157)),ISNUMBER(SEARCH("합계",B157)))),"",1+COUNTIF($B$1:B156,"*소계*"))</f>
        <v/>
      </c>
      <c r="H157">
        <f>IF(AND(A157&lt;&gt;"",A157=가족별!$B$1,G157&lt;&gt;""),COUNTIFS($A$2:A157,가족별!$B$1,$G$2:G157,"&gt;0"),"")</f>
        <v/>
      </c>
      <c r="I157">
        <f>IF(ISNUMBER(SEARCH("소계",B157)),COUNTIF($B$2:B157,"*소계*"),"")</f>
        <v/>
      </c>
      <c r="J157">
        <f>IF(F157="",0,1)</f>
        <v/>
      </c>
    </row>
    <row r="158">
      <c r="A158" s="41" t="n"/>
      <c r="B158" s="41" t="n"/>
      <c r="C158" s="24" t="n"/>
      <c r="D158" s="41" t="n"/>
      <c r="E158" s="41" t="n"/>
      <c r="F158" s="19">
        <f>IF(COUNTA(A158:E158)=0,"",IF(OR(ISNUMBER(SEARCH("소계",B158)),ISNUMBER(SEARCH("합계",B158))),"",TRIM(IF(B158="","이름 없음 ","")&amp;IF(A158="","받은 가족 없음 ","")&amp;IF(C158="","금액 없음 ",IF(ISNUMBER(C158),IF(C158&lt;1000,"금액 확인 ",""),"금액 확인 "))&amp;IF(AND(B158&lt;&gt;"",COUNTIFS($A$2:$A$1001,A158,$B$2:$B$1001,B158,$C$2:$C$1001,C158)&gt;1),"중복 의심",""))))</f>
        <v/>
      </c>
      <c r="G158" s="25">
        <f>IF(OR(COUNTA(A158:E158)=0,OR(ISNUMBER(SEARCH("소계",B158)),ISNUMBER(SEARCH("합계",B158)))),"",1+COUNTIF($B$1:B157,"*소계*"))</f>
        <v/>
      </c>
      <c r="H158">
        <f>IF(AND(A158&lt;&gt;"",A158=가족별!$B$1,G158&lt;&gt;""),COUNTIFS($A$2:A158,가족별!$B$1,$G$2:G158,"&gt;0"),"")</f>
        <v/>
      </c>
      <c r="I158">
        <f>IF(ISNUMBER(SEARCH("소계",B158)),COUNTIF($B$2:B158,"*소계*"),"")</f>
        <v/>
      </c>
      <c r="J158">
        <f>IF(F158="",0,1)</f>
        <v/>
      </c>
    </row>
    <row r="159">
      <c r="A159" s="41" t="n"/>
      <c r="B159" s="41" t="n"/>
      <c r="C159" s="24" t="n"/>
      <c r="D159" s="41" t="n"/>
      <c r="E159" s="41" t="n"/>
      <c r="F159" s="19">
        <f>IF(COUNTA(A159:E159)=0,"",IF(OR(ISNUMBER(SEARCH("소계",B159)),ISNUMBER(SEARCH("합계",B159))),"",TRIM(IF(B159="","이름 없음 ","")&amp;IF(A159="","받은 가족 없음 ","")&amp;IF(C159="","금액 없음 ",IF(ISNUMBER(C159),IF(C159&lt;1000,"금액 확인 ",""),"금액 확인 "))&amp;IF(AND(B159&lt;&gt;"",COUNTIFS($A$2:$A$1001,A159,$B$2:$B$1001,B159,$C$2:$C$1001,C159)&gt;1),"중복 의심",""))))</f>
        <v/>
      </c>
      <c r="G159" s="25">
        <f>IF(OR(COUNTA(A159:E159)=0,OR(ISNUMBER(SEARCH("소계",B159)),ISNUMBER(SEARCH("합계",B159)))),"",1+COUNTIF($B$1:B158,"*소계*"))</f>
        <v/>
      </c>
      <c r="H159">
        <f>IF(AND(A159&lt;&gt;"",A159=가족별!$B$1,G159&lt;&gt;""),COUNTIFS($A$2:A159,가족별!$B$1,$G$2:G159,"&gt;0"),"")</f>
        <v/>
      </c>
      <c r="I159">
        <f>IF(ISNUMBER(SEARCH("소계",B159)),COUNTIF($B$2:B159,"*소계*"),"")</f>
        <v/>
      </c>
      <c r="J159">
        <f>IF(F159="",0,1)</f>
        <v/>
      </c>
    </row>
    <row r="160">
      <c r="A160" s="41" t="n"/>
      <c r="B160" s="41" t="n"/>
      <c r="C160" s="24" t="n"/>
      <c r="D160" s="41" t="n"/>
      <c r="E160" s="41" t="n"/>
      <c r="F160" s="19">
        <f>IF(COUNTA(A160:E160)=0,"",IF(OR(ISNUMBER(SEARCH("소계",B160)),ISNUMBER(SEARCH("합계",B160))),"",TRIM(IF(B160="","이름 없음 ","")&amp;IF(A160="","받은 가족 없음 ","")&amp;IF(C160="","금액 없음 ",IF(ISNUMBER(C160),IF(C160&lt;1000,"금액 확인 ",""),"금액 확인 "))&amp;IF(AND(B160&lt;&gt;"",COUNTIFS($A$2:$A$1001,A160,$B$2:$B$1001,B160,$C$2:$C$1001,C160)&gt;1),"중복 의심",""))))</f>
        <v/>
      </c>
      <c r="G160" s="25">
        <f>IF(OR(COUNTA(A160:E160)=0,OR(ISNUMBER(SEARCH("소계",B160)),ISNUMBER(SEARCH("합계",B160)))),"",1+COUNTIF($B$1:B159,"*소계*"))</f>
        <v/>
      </c>
      <c r="H160">
        <f>IF(AND(A160&lt;&gt;"",A160=가족별!$B$1,G160&lt;&gt;""),COUNTIFS($A$2:A160,가족별!$B$1,$G$2:G160,"&gt;0"),"")</f>
        <v/>
      </c>
      <c r="I160">
        <f>IF(ISNUMBER(SEARCH("소계",B160)),COUNTIF($B$2:B160,"*소계*"),"")</f>
        <v/>
      </c>
      <c r="J160">
        <f>IF(F160="",0,1)</f>
        <v/>
      </c>
    </row>
    <row r="161">
      <c r="A161" s="41" t="n"/>
      <c r="B161" s="41" t="n"/>
      <c r="C161" s="24" t="n"/>
      <c r="D161" s="41" t="n"/>
      <c r="E161" s="41" t="n"/>
      <c r="F161" s="19">
        <f>IF(COUNTA(A161:E161)=0,"",IF(OR(ISNUMBER(SEARCH("소계",B161)),ISNUMBER(SEARCH("합계",B161))),"",TRIM(IF(B161="","이름 없음 ","")&amp;IF(A161="","받은 가족 없음 ","")&amp;IF(C161="","금액 없음 ",IF(ISNUMBER(C161),IF(C161&lt;1000,"금액 확인 ",""),"금액 확인 "))&amp;IF(AND(B161&lt;&gt;"",COUNTIFS($A$2:$A$1001,A161,$B$2:$B$1001,B161,$C$2:$C$1001,C161)&gt;1),"중복 의심",""))))</f>
        <v/>
      </c>
      <c r="G161" s="25">
        <f>IF(OR(COUNTA(A161:E161)=0,OR(ISNUMBER(SEARCH("소계",B161)),ISNUMBER(SEARCH("합계",B161)))),"",1+COUNTIF($B$1:B160,"*소계*"))</f>
        <v/>
      </c>
      <c r="H161">
        <f>IF(AND(A161&lt;&gt;"",A161=가족별!$B$1,G161&lt;&gt;""),COUNTIFS($A$2:A161,가족별!$B$1,$G$2:G161,"&gt;0"),"")</f>
        <v/>
      </c>
      <c r="I161">
        <f>IF(ISNUMBER(SEARCH("소계",B161)),COUNTIF($B$2:B161,"*소계*"),"")</f>
        <v/>
      </c>
      <c r="J161">
        <f>IF(F161="",0,1)</f>
        <v/>
      </c>
    </row>
    <row r="162">
      <c r="A162" s="41" t="n"/>
      <c r="B162" s="41" t="n"/>
      <c r="C162" s="24" t="n"/>
      <c r="D162" s="41" t="n"/>
      <c r="E162" s="41" t="n"/>
      <c r="F162" s="19">
        <f>IF(COUNTA(A162:E162)=0,"",IF(OR(ISNUMBER(SEARCH("소계",B162)),ISNUMBER(SEARCH("합계",B162))),"",TRIM(IF(B162="","이름 없음 ","")&amp;IF(A162="","받은 가족 없음 ","")&amp;IF(C162="","금액 없음 ",IF(ISNUMBER(C162),IF(C162&lt;1000,"금액 확인 ",""),"금액 확인 "))&amp;IF(AND(B162&lt;&gt;"",COUNTIFS($A$2:$A$1001,A162,$B$2:$B$1001,B162,$C$2:$C$1001,C162)&gt;1),"중복 의심",""))))</f>
        <v/>
      </c>
      <c r="G162" s="25">
        <f>IF(OR(COUNTA(A162:E162)=0,OR(ISNUMBER(SEARCH("소계",B162)),ISNUMBER(SEARCH("합계",B162)))),"",1+COUNTIF($B$1:B161,"*소계*"))</f>
        <v/>
      </c>
      <c r="H162">
        <f>IF(AND(A162&lt;&gt;"",A162=가족별!$B$1,G162&lt;&gt;""),COUNTIFS($A$2:A162,가족별!$B$1,$G$2:G162,"&gt;0"),"")</f>
        <v/>
      </c>
      <c r="I162">
        <f>IF(ISNUMBER(SEARCH("소계",B162)),COUNTIF($B$2:B162,"*소계*"),"")</f>
        <v/>
      </c>
      <c r="J162">
        <f>IF(F162="",0,1)</f>
        <v/>
      </c>
    </row>
    <row r="163">
      <c r="A163" s="41" t="n"/>
      <c r="B163" s="41" t="n"/>
      <c r="C163" s="24" t="n"/>
      <c r="D163" s="41" t="n"/>
      <c r="E163" s="41" t="n"/>
      <c r="F163" s="19">
        <f>IF(COUNTA(A163:E163)=0,"",IF(OR(ISNUMBER(SEARCH("소계",B163)),ISNUMBER(SEARCH("합계",B163))),"",TRIM(IF(B163="","이름 없음 ","")&amp;IF(A163="","받은 가족 없음 ","")&amp;IF(C163="","금액 없음 ",IF(ISNUMBER(C163),IF(C163&lt;1000,"금액 확인 ",""),"금액 확인 "))&amp;IF(AND(B163&lt;&gt;"",COUNTIFS($A$2:$A$1001,A163,$B$2:$B$1001,B163,$C$2:$C$1001,C163)&gt;1),"중복 의심",""))))</f>
        <v/>
      </c>
      <c r="G163" s="25">
        <f>IF(OR(COUNTA(A163:E163)=0,OR(ISNUMBER(SEARCH("소계",B163)),ISNUMBER(SEARCH("합계",B163)))),"",1+COUNTIF($B$1:B162,"*소계*"))</f>
        <v/>
      </c>
      <c r="H163">
        <f>IF(AND(A163&lt;&gt;"",A163=가족별!$B$1,G163&lt;&gt;""),COUNTIFS($A$2:A163,가족별!$B$1,$G$2:G163,"&gt;0"),"")</f>
        <v/>
      </c>
      <c r="I163">
        <f>IF(ISNUMBER(SEARCH("소계",B163)),COUNTIF($B$2:B163,"*소계*"),"")</f>
        <v/>
      </c>
      <c r="J163">
        <f>IF(F163="",0,1)</f>
        <v/>
      </c>
    </row>
    <row r="164">
      <c r="A164" s="41" t="n"/>
      <c r="B164" s="41" t="n"/>
      <c r="C164" s="24" t="n"/>
      <c r="D164" s="41" t="n"/>
      <c r="E164" s="41" t="n"/>
      <c r="F164" s="19">
        <f>IF(COUNTA(A164:E164)=0,"",IF(OR(ISNUMBER(SEARCH("소계",B164)),ISNUMBER(SEARCH("합계",B164))),"",TRIM(IF(B164="","이름 없음 ","")&amp;IF(A164="","받은 가족 없음 ","")&amp;IF(C164="","금액 없음 ",IF(ISNUMBER(C164),IF(C164&lt;1000,"금액 확인 ",""),"금액 확인 "))&amp;IF(AND(B164&lt;&gt;"",COUNTIFS($A$2:$A$1001,A164,$B$2:$B$1001,B164,$C$2:$C$1001,C164)&gt;1),"중복 의심",""))))</f>
        <v/>
      </c>
      <c r="G164" s="25">
        <f>IF(OR(COUNTA(A164:E164)=0,OR(ISNUMBER(SEARCH("소계",B164)),ISNUMBER(SEARCH("합계",B164)))),"",1+COUNTIF($B$1:B163,"*소계*"))</f>
        <v/>
      </c>
      <c r="H164">
        <f>IF(AND(A164&lt;&gt;"",A164=가족별!$B$1,G164&lt;&gt;""),COUNTIFS($A$2:A164,가족별!$B$1,$G$2:G164,"&gt;0"),"")</f>
        <v/>
      </c>
      <c r="I164">
        <f>IF(ISNUMBER(SEARCH("소계",B164)),COUNTIF($B$2:B164,"*소계*"),"")</f>
        <v/>
      </c>
      <c r="J164">
        <f>IF(F164="",0,1)</f>
        <v/>
      </c>
    </row>
    <row r="165">
      <c r="A165" s="41" t="n"/>
      <c r="B165" s="41" t="n"/>
      <c r="C165" s="24" t="n"/>
      <c r="D165" s="41" t="n"/>
      <c r="E165" s="41" t="n"/>
      <c r="F165" s="19">
        <f>IF(COUNTA(A165:E165)=0,"",IF(OR(ISNUMBER(SEARCH("소계",B165)),ISNUMBER(SEARCH("합계",B165))),"",TRIM(IF(B165="","이름 없음 ","")&amp;IF(A165="","받은 가족 없음 ","")&amp;IF(C165="","금액 없음 ",IF(ISNUMBER(C165),IF(C165&lt;1000,"금액 확인 ",""),"금액 확인 "))&amp;IF(AND(B165&lt;&gt;"",COUNTIFS($A$2:$A$1001,A165,$B$2:$B$1001,B165,$C$2:$C$1001,C165)&gt;1),"중복 의심",""))))</f>
        <v/>
      </c>
      <c r="G165" s="25">
        <f>IF(OR(COUNTA(A165:E165)=0,OR(ISNUMBER(SEARCH("소계",B165)),ISNUMBER(SEARCH("합계",B165)))),"",1+COUNTIF($B$1:B164,"*소계*"))</f>
        <v/>
      </c>
      <c r="H165">
        <f>IF(AND(A165&lt;&gt;"",A165=가족별!$B$1,G165&lt;&gt;""),COUNTIFS($A$2:A165,가족별!$B$1,$G$2:G165,"&gt;0"),"")</f>
        <v/>
      </c>
      <c r="I165">
        <f>IF(ISNUMBER(SEARCH("소계",B165)),COUNTIF($B$2:B165,"*소계*"),"")</f>
        <v/>
      </c>
      <c r="J165">
        <f>IF(F165="",0,1)</f>
        <v/>
      </c>
    </row>
    <row r="166">
      <c r="A166" s="41" t="n"/>
      <c r="B166" s="41" t="n"/>
      <c r="C166" s="24" t="n"/>
      <c r="D166" s="41" t="n"/>
      <c r="E166" s="41" t="n"/>
      <c r="F166" s="19">
        <f>IF(COUNTA(A166:E166)=0,"",IF(OR(ISNUMBER(SEARCH("소계",B166)),ISNUMBER(SEARCH("합계",B166))),"",TRIM(IF(B166="","이름 없음 ","")&amp;IF(A166="","받은 가족 없음 ","")&amp;IF(C166="","금액 없음 ",IF(ISNUMBER(C166),IF(C166&lt;1000,"금액 확인 ",""),"금액 확인 "))&amp;IF(AND(B166&lt;&gt;"",COUNTIFS($A$2:$A$1001,A166,$B$2:$B$1001,B166,$C$2:$C$1001,C166)&gt;1),"중복 의심",""))))</f>
        <v/>
      </c>
      <c r="G166" s="25">
        <f>IF(OR(COUNTA(A166:E166)=0,OR(ISNUMBER(SEARCH("소계",B166)),ISNUMBER(SEARCH("합계",B166)))),"",1+COUNTIF($B$1:B165,"*소계*"))</f>
        <v/>
      </c>
      <c r="H166">
        <f>IF(AND(A166&lt;&gt;"",A166=가족별!$B$1,G166&lt;&gt;""),COUNTIFS($A$2:A166,가족별!$B$1,$G$2:G166,"&gt;0"),"")</f>
        <v/>
      </c>
      <c r="I166">
        <f>IF(ISNUMBER(SEARCH("소계",B166)),COUNTIF($B$2:B166,"*소계*"),"")</f>
        <v/>
      </c>
      <c r="J166">
        <f>IF(F166="",0,1)</f>
        <v/>
      </c>
    </row>
    <row r="167">
      <c r="A167" s="41" t="n"/>
      <c r="B167" s="41" t="n"/>
      <c r="C167" s="24" t="n"/>
      <c r="D167" s="41" t="n"/>
      <c r="E167" s="41" t="n"/>
      <c r="F167" s="19">
        <f>IF(COUNTA(A167:E167)=0,"",IF(OR(ISNUMBER(SEARCH("소계",B167)),ISNUMBER(SEARCH("합계",B167))),"",TRIM(IF(B167="","이름 없음 ","")&amp;IF(A167="","받은 가족 없음 ","")&amp;IF(C167="","금액 없음 ",IF(ISNUMBER(C167),IF(C167&lt;1000,"금액 확인 ",""),"금액 확인 "))&amp;IF(AND(B167&lt;&gt;"",COUNTIFS($A$2:$A$1001,A167,$B$2:$B$1001,B167,$C$2:$C$1001,C167)&gt;1),"중복 의심",""))))</f>
        <v/>
      </c>
      <c r="G167" s="25">
        <f>IF(OR(COUNTA(A167:E167)=0,OR(ISNUMBER(SEARCH("소계",B167)),ISNUMBER(SEARCH("합계",B167)))),"",1+COUNTIF($B$1:B166,"*소계*"))</f>
        <v/>
      </c>
      <c r="H167">
        <f>IF(AND(A167&lt;&gt;"",A167=가족별!$B$1,G167&lt;&gt;""),COUNTIFS($A$2:A167,가족별!$B$1,$G$2:G167,"&gt;0"),"")</f>
        <v/>
      </c>
      <c r="I167">
        <f>IF(ISNUMBER(SEARCH("소계",B167)),COUNTIF($B$2:B167,"*소계*"),"")</f>
        <v/>
      </c>
      <c r="J167">
        <f>IF(F167="",0,1)</f>
        <v/>
      </c>
    </row>
    <row r="168">
      <c r="A168" s="41" t="n"/>
      <c r="B168" s="41" t="n"/>
      <c r="C168" s="24" t="n"/>
      <c r="D168" s="41" t="n"/>
      <c r="E168" s="41" t="n"/>
      <c r="F168" s="19">
        <f>IF(COUNTA(A168:E168)=0,"",IF(OR(ISNUMBER(SEARCH("소계",B168)),ISNUMBER(SEARCH("합계",B168))),"",TRIM(IF(B168="","이름 없음 ","")&amp;IF(A168="","받은 가족 없음 ","")&amp;IF(C168="","금액 없음 ",IF(ISNUMBER(C168),IF(C168&lt;1000,"금액 확인 ",""),"금액 확인 "))&amp;IF(AND(B168&lt;&gt;"",COUNTIFS($A$2:$A$1001,A168,$B$2:$B$1001,B168,$C$2:$C$1001,C168)&gt;1),"중복 의심",""))))</f>
        <v/>
      </c>
      <c r="G168" s="25">
        <f>IF(OR(COUNTA(A168:E168)=0,OR(ISNUMBER(SEARCH("소계",B168)),ISNUMBER(SEARCH("합계",B168)))),"",1+COUNTIF($B$1:B167,"*소계*"))</f>
        <v/>
      </c>
      <c r="H168">
        <f>IF(AND(A168&lt;&gt;"",A168=가족별!$B$1,G168&lt;&gt;""),COUNTIFS($A$2:A168,가족별!$B$1,$G$2:G168,"&gt;0"),"")</f>
        <v/>
      </c>
      <c r="I168">
        <f>IF(ISNUMBER(SEARCH("소계",B168)),COUNTIF($B$2:B168,"*소계*"),"")</f>
        <v/>
      </c>
      <c r="J168">
        <f>IF(F168="",0,1)</f>
        <v/>
      </c>
    </row>
    <row r="169">
      <c r="A169" s="41" t="n"/>
      <c r="B169" s="41" t="n"/>
      <c r="C169" s="24" t="n"/>
      <c r="D169" s="41" t="n"/>
      <c r="E169" s="41" t="n"/>
      <c r="F169" s="19">
        <f>IF(COUNTA(A169:E169)=0,"",IF(OR(ISNUMBER(SEARCH("소계",B169)),ISNUMBER(SEARCH("합계",B169))),"",TRIM(IF(B169="","이름 없음 ","")&amp;IF(A169="","받은 가족 없음 ","")&amp;IF(C169="","금액 없음 ",IF(ISNUMBER(C169),IF(C169&lt;1000,"금액 확인 ",""),"금액 확인 "))&amp;IF(AND(B169&lt;&gt;"",COUNTIFS($A$2:$A$1001,A169,$B$2:$B$1001,B169,$C$2:$C$1001,C169)&gt;1),"중복 의심",""))))</f>
        <v/>
      </c>
      <c r="G169" s="25">
        <f>IF(OR(COUNTA(A169:E169)=0,OR(ISNUMBER(SEARCH("소계",B169)),ISNUMBER(SEARCH("합계",B169)))),"",1+COUNTIF($B$1:B168,"*소계*"))</f>
        <v/>
      </c>
      <c r="H169">
        <f>IF(AND(A169&lt;&gt;"",A169=가족별!$B$1,G169&lt;&gt;""),COUNTIFS($A$2:A169,가족별!$B$1,$G$2:G169,"&gt;0"),"")</f>
        <v/>
      </c>
      <c r="I169">
        <f>IF(ISNUMBER(SEARCH("소계",B169)),COUNTIF($B$2:B169,"*소계*"),"")</f>
        <v/>
      </c>
      <c r="J169">
        <f>IF(F169="",0,1)</f>
        <v/>
      </c>
    </row>
    <row r="170">
      <c r="A170" s="41" t="n"/>
      <c r="B170" s="41" t="n"/>
      <c r="C170" s="24" t="n"/>
      <c r="D170" s="41" t="n"/>
      <c r="E170" s="41" t="n"/>
      <c r="F170" s="19">
        <f>IF(COUNTA(A170:E170)=0,"",IF(OR(ISNUMBER(SEARCH("소계",B170)),ISNUMBER(SEARCH("합계",B170))),"",TRIM(IF(B170="","이름 없음 ","")&amp;IF(A170="","받은 가족 없음 ","")&amp;IF(C170="","금액 없음 ",IF(ISNUMBER(C170),IF(C170&lt;1000,"금액 확인 ",""),"금액 확인 "))&amp;IF(AND(B170&lt;&gt;"",COUNTIFS($A$2:$A$1001,A170,$B$2:$B$1001,B170,$C$2:$C$1001,C170)&gt;1),"중복 의심",""))))</f>
        <v/>
      </c>
      <c r="G170" s="25">
        <f>IF(OR(COUNTA(A170:E170)=0,OR(ISNUMBER(SEARCH("소계",B170)),ISNUMBER(SEARCH("합계",B170)))),"",1+COUNTIF($B$1:B169,"*소계*"))</f>
        <v/>
      </c>
      <c r="H170">
        <f>IF(AND(A170&lt;&gt;"",A170=가족별!$B$1,G170&lt;&gt;""),COUNTIFS($A$2:A170,가족별!$B$1,$G$2:G170,"&gt;0"),"")</f>
        <v/>
      </c>
      <c r="I170">
        <f>IF(ISNUMBER(SEARCH("소계",B170)),COUNTIF($B$2:B170,"*소계*"),"")</f>
        <v/>
      </c>
      <c r="J170">
        <f>IF(F170="",0,1)</f>
        <v/>
      </c>
    </row>
    <row r="171">
      <c r="A171" s="41" t="n"/>
      <c r="B171" s="41" t="n"/>
      <c r="C171" s="24" t="n"/>
      <c r="D171" s="41" t="n"/>
      <c r="E171" s="41" t="n"/>
      <c r="F171" s="19">
        <f>IF(COUNTA(A171:E171)=0,"",IF(OR(ISNUMBER(SEARCH("소계",B171)),ISNUMBER(SEARCH("합계",B171))),"",TRIM(IF(B171="","이름 없음 ","")&amp;IF(A171="","받은 가족 없음 ","")&amp;IF(C171="","금액 없음 ",IF(ISNUMBER(C171),IF(C171&lt;1000,"금액 확인 ",""),"금액 확인 "))&amp;IF(AND(B171&lt;&gt;"",COUNTIFS($A$2:$A$1001,A171,$B$2:$B$1001,B171,$C$2:$C$1001,C171)&gt;1),"중복 의심",""))))</f>
        <v/>
      </c>
      <c r="G171" s="25">
        <f>IF(OR(COUNTA(A171:E171)=0,OR(ISNUMBER(SEARCH("소계",B171)),ISNUMBER(SEARCH("합계",B171)))),"",1+COUNTIF($B$1:B170,"*소계*"))</f>
        <v/>
      </c>
      <c r="H171">
        <f>IF(AND(A171&lt;&gt;"",A171=가족별!$B$1,G171&lt;&gt;""),COUNTIFS($A$2:A171,가족별!$B$1,$G$2:G171,"&gt;0"),"")</f>
        <v/>
      </c>
      <c r="I171">
        <f>IF(ISNUMBER(SEARCH("소계",B171)),COUNTIF($B$2:B171,"*소계*"),"")</f>
        <v/>
      </c>
      <c r="J171">
        <f>IF(F171="",0,1)</f>
        <v/>
      </c>
    </row>
    <row r="172">
      <c r="A172" s="41" t="n"/>
      <c r="B172" s="41" t="n"/>
      <c r="C172" s="24" t="n"/>
      <c r="D172" s="41" t="n"/>
      <c r="E172" s="41" t="n"/>
      <c r="F172" s="19">
        <f>IF(COUNTA(A172:E172)=0,"",IF(OR(ISNUMBER(SEARCH("소계",B172)),ISNUMBER(SEARCH("합계",B172))),"",TRIM(IF(B172="","이름 없음 ","")&amp;IF(A172="","받은 가족 없음 ","")&amp;IF(C172="","금액 없음 ",IF(ISNUMBER(C172),IF(C172&lt;1000,"금액 확인 ",""),"금액 확인 "))&amp;IF(AND(B172&lt;&gt;"",COUNTIFS($A$2:$A$1001,A172,$B$2:$B$1001,B172,$C$2:$C$1001,C172)&gt;1),"중복 의심",""))))</f>
        <v/>
      </c>
      <c r="G172" s="25">
        <f>IF(OR(COUNTA(A172:E172)=0,OR(ISNUMBER(SEARCH("소계",B172)),ISNUMBER(SEARCH("합계",B172)))),"",1+COUNTIF($B$1:B171,"*소계*"))</f>
        <v/>
      </c>
      <c r="H172">
        <f>IF(AND(A172&lt;&gt;"",A172=가족별!$B$1,G172&lt;&gt;""),COUNTIFS($A$2:A172,가족별!$B$1,$G$2:G172,"&gt;0"),"")</f>
        <v/>
      </c>
      <c r="I172">
        <f>IF(ISNUMBER(SEARCH("소계",B172)),COUNTIF($B$2:B172,"*소계*"),"")</f>
        <v/>
      </c>
      <c r="J172">
        <f>IF(F172="",0,1)</f>
        <v/>
      </c>
    </row>
    <row r="173">
      <c r="A173" s="41" t="n"/>
      <c r="B173" s="41" t="n"/>
      <c r="C173" s="24" t="n"/>
      <c r="D173" s="41" t="n"/>
      <c r="E173" s="41" t="n"/>
      <c r="F173" s="19">
        <f>IF(COUNTA(A173:E173)=0,"",IF(OR(ISNUMBER(SEARCH("소계",B173)),ISNUMBER(SEARCH("합계",B173))),"",TRIM(IF(B173="","이름 없음 ","")&amp;IF(A173="","받은 가족 없음 ","")&amp;IF(C173="","금액 없음 ",IF(ISNUMBER(C173),IF(C173&lt;1000,"금액 확인 ",""),"금액 확인 "))&amp;IF(AND(B173&lt;&gt;"",COUNTIFS($A$2:$A$1001,A173,$B$2:$B$1001,B173,$C$2:$C$1001,C173)&gt;1),"중복 의심",""))))</f>
        <v/>
      </c>
      <c r="G173" s="25">
        <f>IF(OR(COUNTA(A173:E173)=0,OR(ISNUMBER(SEARCH("소계",B173)),ISNUMBER(SEARCH("합계",B173)))),"",1+COUNTIF($B$1:B172,"*소계*"))</f>
        <v/>
      </c>
      <c r="H173">
        <f>IF(AND(A173&lt;&gt;"",A173=가족별!$B$1,G173&lt;&gt;""),COUNTIFS($A$2:A173,가족별!$B$1,$G$2:G173,"&gt;0"),"")</f>
        <v/>
      </c>
      <c r="I173">
        <f>IF(ISNUMBER(SEARCH("소계",B173)),COUNTIF($B$2:B173,"*소계*"),"")</f>
        <v/>
      </c>
      <c r="J173">
        <f>IF(F173="",0,1)</f>
        <v/>
      </c>
    </row>
    <row r="174">
      <c r="A174" s="41" t="n"/>
      <c r="B174" s="41" t="n"/>
      <c r="C174" s="24" t="n"/>
      <c r="D174" s="41" t="n"/>
      <c r="E174" s="41" t="n"/>
      <c r="F174" s="19">
        <f>IF(COUNTA(A174:E174)=0,"",IF(OR(ISNUMBER(SEARCH("소계",B174)),ISNUMBER(SEARCH("합계",B174))),"",TRIM(IF(B174="","이름 없음 ","")&amp;IF(A174="","받은 가족 없음 ","")&amp;IF(C174="","금액 없음 ",IF(ISNUMBER(C174),IF(C174&lt;1000,"금액 확인 ",""),"금액 확인 "))&amp;IF(AND(B174&lt;&gt;"",COUNTIFS($A$2:$A$1001,A174,$B$2:$B$1001,B174,$C$2:$C$1001,C174)&gt;1),"중복 의심",""))))</f>
        <v/>
      </c>
      <c r="G174" s="25">
        <f>IF(OR(COUNTA(A174:E174)=0,OR(ISNUMBER(SEARCH("소계",B174)),ISNUMBER(SEARCH("합계",B174)))),"",1+COUNTIF($B$1:B173,"*소계*"))</f>
        <v/>
      </c>
      <c r="H174">
        <f>IF(AND(A174&lt;&gt;"",A174=가족별!$B$1,G174&lt;&gt;""),COUNTIFS($A$2:A174,가족별!$B$1,$G$2:G174,"&gt;0"),"")</f>
        <v/>
      </c>
      <c r="I174">
        <f>IF(ISNUMBER(SEARCH("소계",B174)),COUNTIF($B$2:B174,"*소계*"),"")</f>
        <v/>
      </c>
      <c r="J174">
        <f>IF(F174="",0,1)</f>
        <v/>
      </c>
    </row>
    <row r="175">
      <c r="A175" s="41" t="n"/>
      <c r="B175" s="41" t="n"/>
      <c r="C175" s="24" t="n"/>
      <c r="D175" s="41" t="n"/>
      <c r="E175" s="41" t="n"/>
      <c r="F175" s="19">
        <f>IF(COUNTA(A175:E175)=0,"",IF(OR(ISNUMBER(SEARCH("소계",B175)),ISNUMBER(SEARCH("합계",B175))),"",TRIM(IF(B175="","이름 없음 ","")&amp;IF(A175="","받은 가족 없음 ","")&amp;IF(C175="","금액 없음 ",IF(ISNUMBER(C175),IF(C175&lt;1000,"금액 확인 ",""),"금액 확인 "))&amp;IF(AND(B175&lt;&gt;"",COUNTIFS($A$2:$A$1001,A175,$B$2:$B$1001,B175,$C$2:$C$1001,C175)&gt;1),"중복 의심",""))))</f>
        <v/>
      </c>
      <c r="G175" s="25">
        <f>IF(OR(COUNTA(A175:E175)=0,OR(ISNUMBER(SEARCH("소계",B175)),ISNUMBER(SEARCH("합계",B175)))),"",1+COUNTIF($B$1:B174,"*소계*"))</f>
        <v/>
      </c>
      <c r="H175">
        <f>IF(AND(A175&lt;&gt;"",A175=가족별!$B$1,G175&lt;&gt;""),COUNTIFS($A$2:A175,가족별!$B$1,$G$2:G175,"&gt;0"),"")</f>
        <v/>
      </c>
      <c r="I175">
        <f>IF(ISNUMBER(SEARCH("소계",B175)),COUNTIF($B$2:B175,"*소계*"),"")</f>
        <v/>
      </c>
      <c r="J175">
        <f>IF(F175="",0,1)</f>
        <v/>
      </c>
    </row>
    <row r="176">
      <c r="A176" s="41" t="n"/>
      <c r="B176" s="41" t="n"/>
      <c r="C176" s="24" t="n"/>
      <c r="D176" s="41" t="n"/>
      <c r="E176" s="41" t="n"/>
      <c r="F176" s="19">
        <f>IF(COUNTA(A176:E176)=0,"",IF(OR(ISNUMBER(SEARCH("소계",B176)),ISNUMBER(SEARCH("합계",B176))),"",TRIM(IF(B176="","이름 없음 ","")&amp;IF(A176="","받은 가족 없음 ","")&amp;IF(C176="","금액 없음 ",IF(ISNUMBER(C176),IF(C176&lt;1000,"금액 확인 ",""),"금액 확인 "))&amp;IF(AND(B176&lt;&gt;"",COUNTIFS($A$2:$A$1001,A176,$B$2:$B$1001,B176,$C$2:$C$1001,C176)&gt;1),"중복 의심",""))))</f>
        <v/>
      </c>
      <c r="G176" s="25">
        <f>IF(OR(COUNTA(A176:E176)=0,OR(ISNUMBER(SEARCH("소계",B176)),ISNUMBER(SEARCH("합계",B176)))),"",1+COUNTIF($B$1:B175,"*소계*"))</f>
        <v/>
      </c>
      <c r="H176">
        <f>IF(AND(A176&lt;&gt;"",A176=가족별!$B$1,G176&lt;&gt;""),COUNTIFS($A$2:A176,가족별!$B$1,$G$2:G176,"&gt;0"),"")</f>
        <v/>
      </c>
      <c r="I176">
        <f>IF(ISNUMBER(SEARCH("소계",B176)),COUNTIF($B$2:B176,"*소계*"),"")</f>
        <v/>
      </c>
      <c r="J176">
        <f>IF(F176="",0,1)</f>
        <v/>
      </c>
    </row>
    <row r="177">
      <c r="A177" s="41" t="n"/>
      <c r="B177" s="41" t="n"/>
      <c r="C177" s="24" t="n"/>
      <c r="D177" s="41" t="n"/>
      <c r="E177" s="41" t="n"/>
      <c r="F177" s="19">
        <f>IF(COUNTA(A177:E177)=0,"",IF(OR(ISNUMBER(SEARCH("소계",B177)),ISNUMBER(SEARCH("합계",B177))),"",TRIM(IF(B177="","이름 없음 ","")&amp;IF(A177="","받은 가족 없음 ","")&amp;IF(C177="","금액 없음 ",IF(ISNUMBER(C177),IF(C177&lt;1000,"금액 확인 ",""),"금액 확인 "))&amp;IF(AND(B177&lt;&gt;"",COUNTIFS($A$2:$A$1001,A177,$B$2:$B$1001,B177,$C$2:$C$1001,C177)&gt;1),"중복 의심",""))))</f>
        <v/>
      </c>
      <c r="G177" s="25">
        <f>IF(OR(COUNTA(A177:E177)=0,OR(ISNUMBER(SEARCH("소계",B177)),ISNUMBER(SEARCH("합계",B177)))),"",1+COUNTIF($B$1:B176,"*소계*"))</f>
        <v/>
      </c>
      <c r="H177">
        <f>IF(AND(A177&lt;&gt;"",A177=가족별!$B$1,G177&lt;&gt;""),COUNTIFS($A$2:A177,가족별!$B$1,$G$2:G177,"&gt;0"),"")</f>
        <v/>
      </c>
      <c r="I177">
        <f>IF(ISNUMBER(SEARCH("소계",B177)),COUNTIF($B$2:B177,"*소계*"),"")</f>
        <v/>
      </c>
      <c r="J177">
        <f>IF(F177="",0,1)</f>
        <v/>
      </c>
    </row>
    <row r="178">
      <c r="A178" s="41" t="n"/>
      <c r="B178" s="41" t="n"/>
      <c r="C178" s="24" t="n"/>
      <c r="D178" s="41" t="n"/>
      <c r="E178" s="41" t="n"/>
      <c r="F178" s="19">
        <f>IF(COUNTA(A178:E178)=0,"",IF(OR(ISNUMBER(SEARCH("소계",B178)),ISNUMBER(SEARCH("합계",B178))),"",TRIM(IF(B178="","이름 없음 ","")&amp;IF(A178="","받은 가족 없음 ","")&amp;IF(C178="","금액 없음 ",IF(ISNUMBER(C178),IF(C178&lt;1000,"금액 확인 ",""),"금액 확인 "))&amp;IF(AND(B178&lt;&gt;"",COUNTIFS($A$2:$A$1001,A178,$B$2:$B$1001,B178,$C$2:$C$1001,C178)&gt;1),"중복 의심",""))))</f>
        <v/>
      </c>
      <c r="G178" s="25">
        <f>IF(OR(COUNTA(A178:E178)=0,OR(ISNUMBER(SEARCH("소계",B178)),ISNUMBER(SEARCH("합계",B178)))),"",1+COUNTIF($B$1:B177,"*소계*"))</f>
        <v/>
      </c>
      <c r="H178">
        <f>IF(AND(A178&lt;&gt;"",A178=가족별!$B$1,G178&lt;&gt;""),COUNTIFS($A$2:A178,가족별!$B$1,$G$2:G178,"&gt;0"),"")</f>
        <v/>
      </c>
      <c r="I178">
        <f>IF(ISNUMBER(SEARCH("소계",B178)),COUNTIF($B$2:B178,"*소계*"),"")</f>
        <v/>
      </c>
      <c r="J178">
        <f>IF(F178="",0,1)</f>
        <v/>
      </c>
    </row>
    <row r="179">
      <c r="A179" s="41" t="n"/>
      <c r="B179" s="41" t="n"/>
      <c r="C179" s="24" t="n"/>
      <c r="D179" s="41" t="n"/>
      <c r="E179" s="41" t="n"/>
      <c r="F179" s="19">
        <f>IF(COUNTA(A179:E179)=0,"",IF(OR(ISNUMBER(SEARCH("소계",B179)),ISNUMBER(SEARCH("합계",B179))),"",TRIM(IF(B179="","이름 없음 ","")&amp;IF(A179="","받은 가족 없음 ","")&amp;IF(C179="","금액 없음 ",IF(ISNUMBER(C179),IF(C179&lt;1000,"금액 확인 ",""),"금액 확인 "))&amp;IF(AND(B179&lt;&gt;"",COUNTIFS($A$2:$A$1001,A179,$B$2:$B$1001,B179,$C$2:$C$1001,C179)&gt;1),"중복 의심",""))))</f>
        <v/>
      </c>
      <c r="G179" s="25">
        <f>IF(OR(COUNTA(A179:E179)=0,OR(ISNUMBER(SEARCH("소계",B179)),ISNUMBER(SEARCH("합계",B179)))),"",1+COUNTIF($B$1:B178,"*소계*"))</f>
        <v/>
      </c>
      <c r="H179">
        <f>IF(AND(A179&lt;&gt;"",A179=가족별!$B$1,G179&lt;&gt;""),COUNTIFS($A$2:A179,가족별!$B$1,$G$2:G179,"&gt;0"),"")</f>
        <v/>
      </c>
      <c r="I179">
        <f>IF(ISNUMBER(SEARCH("소계",B179)),COUNTIF($B$2:B179,"*소계*"),"")</f>
        <v/>
      </c>
      <c r="J179">
        <f>IF(F179="",0,1)</f>
        <v/>
      </c>
    </row>
    <row r="180">
      <c r="A180" s="41" t="n"/>
      <c r="B180" s="41" t="n"/>
      <c r="C180" s="24" t="n"/>
      <c r="D180" s="41" t="n"/>
      <c r="E180" s="41" t="n"/>
      <c r="F180" s="19">
        <f>IF(COUNTA(A180:E180)=0,"",IF(OR(ISNUMBER(SEARCH("소계",B180)),ISNUMBER(SEARCH("합계",B180))),"",TRIM(IF(B180="","이름 없음 ","")&amp;IF(A180="","받은 가족 없음 ","")&amp;IF(C180="","금액 없음 ",IF(ISNUMBER(C180),IF(C180&lt;1000,"금액 확인 ",""),"금액 확인 "))&amp;IF(AND(B180&lt;&gt;"",COUNTIFS($A$2:$A$1001,A180,$B$2:$B$1001,B180,$C$2:$C$1001,C180)&gt;1),"중복 의심",""))))</f>
        <v/>
      </c>
      <c r="G180" s="25">
        <f>IF(OR(COUNTA(A180:E180)=0,OR(ISNUMBER(SEARCH("소계",B180)),ISNUMBER(SEARCH("합계",B180)))),"",1+COUNTIF($B$1:B179,"*소계*"))</f>
        <v/>
      </c>
      <c r="H180">
        <f>IF(AND(A180&lt;&gt;"",A180=가족별!$B$1,G180&lt;&gt;""),COUNTIFS($A$2:A180,가족별!$B$1,$G$2:G180,"&gt;0"),"")</f>
        <v/>
      </c>
      <c r="I180">
        <f>IF(ISNUMBER(SEARCH("소계",B180)),COUNTIF($B$2:B180,"*소계*"),"")</f>
        <v/>
      </c>
      <c r="J180">
        <f>IF(F180="",0,1)</f>
        <v/>
      </c>
    </row>
    <row r="181">
      <c r="A181" s="41" t="n"/>
      <c r="B181" s="41" t="n"/>
      <c r="C181" s="24" t="n"/>
      <c r="D181" s="41" t="n"/>
      <c r="E181" s="41" t="n"/>
      <c r="F181" s="19">
        <f>IF(COUNTA(A181:E181)=0,"",IF(OR(ISNUMBER(SEARCH("소계",B181)),ISNUMBER(SEARCH("합계",B181))),"",TRIM(IF(B181="","이름 없음 ","")&amp;IF(A181="","받은 가족 없음 ","")&amp;IF(C181="","금액 없음 ",IF(ISNUMBER(C181),IF(C181&lt;1000,"금액 확인 ",""),"금액 확인 "))&amp;IF(AND(B181&lt;&gt;"",COUNTIFS($A$2:$A$1001,A181,$B$2:$B$1001,B181,$C$2:$C$1001,C181)&gt;1),"중복 의심",""))))</f>
        <v/>
      </c>
      <c r="G181" s="25">
        <f>IF(OR(COUNTA(A181:E181)=0,OR(ISNUMBER(SEARCH("소계",B181)),ISNUMBER(SEARCH("합계",B181)))),"",1+COUNTIF($B$1:B180,"*소계*"))</f>
        <v/>
      </c>
      <c r="H181">
        <f>IF(AND(A181&lt;&gt;"",A181=가족별!$B$1,G181&lt;&gt;""),COUNTIFS($A$2:A181,가족별!$B$1,$G$2:G181,"&gt;0"),"")</f>
        <v/>
      </c>
      <c r="I181">
        <f>IF(ISNUMBER(SEARCH("소계",B181)),COUNTIF($B$2:B181,"*소계*"),"")</f>
        <v/>
      </c>
      <c r="J181">
        <f>IF(F181="",0,1)</f>
        <v/>
      </c>
    </row>
    <row r="182">
      <c r="A182" s="41" t="n"/>
      <c r="B182" s="41" t="n"/>
      <c r="C182" s="24" t="n"/>
      <c r="D182" s="41" t="n"/>
      <c r="E182" s="41" t="n"/>
      <c r="F182" s="19">
        <f>IF(COUNTA(A182:E182)=0,"",IF(OR(ISNUMBER(SEARCH("소계",B182)),ISNUMBER(SEARCH("합계",B182))),"",TRIM(IF(B182="","이름 없음 ","")&amp;IF(A182="","받은 가족 없음 ","")&amp;IF(C182="","금액 없음 ",IF(ISNUMBER(C182),IF(C182&lt;1000,"금액 확인 ",""),"금액 확인 "))&amp;IF(AND(B182&lt;&gt;"",COUNTIFS($A$2:$A$1001,A182,$B$2:$B$1001,B182,$C$2:$C$1001,C182)&gt;1),"중복 의심",""))))</f>
        <v/>
      </c>
      <c r="G182" s="25">
        <f>IF(OR(COUNTA(A182:E182)=0,OR(ISNUMBER(SEARCH("소계",B182)),ISNUMBER(SEARCH("합계",B182)))),"",1+COUNTIF($B$1:B181,"*소계*"))</f>
        <v/>
      </c>
      <c r="H182">
        <f>IF(AND(A182&lt;&gt;"",A182=가족별!$B$1,G182&lt;&gt;""),COUNTIFS($A$2:A182,가족별!$B$1,$G$2:G182,"&gt;0"),"")</f>
        <v/>
      </c>
      <c r="I182">
        <f>IF(ISNUMBER(SEARCH("소계",B182)),COUNTIF($B$2:B182,"*소계*"),"")</f>
        <v/>
      </c>
      <c r="J182">
        <f>IF(F182="",0,1)</f>
        <v/>
      </c>
    </row>
    <row r="183">
      <c r="A183" s="41" t="n"/>
      <c r="B183" s="41" t="n"/>
      <c r="C183" s="24" t="n"/>
      <c r="D183" s="41" t="n"/>
      <c r="E183" s="41" t="n"/>
      <c r="F183" s="19">
        <f>IF(COUNTA(A183:E183)=0,"",IF(OR(ISNUMBER(SEARCH("소계",B183)),ISNUMBER(SEARCH("합계",B183))),"",TRIM(IF(B183="","이름 없음 ","")&amp;IF(A183="","받은 가족 없음 ","")&amp;IF(C183="","금액 없음 ",IF(ISNUMBER(C183),IF(C183&lt;1000,"금액 확인 ",""),"금액 확인 "))&amp;IF(AND(B183&lt;&gt;"",COUNTIFS($A$2:$A$1001,A183,$B$2:$B$1001,B183,$C$2:$C$1001,C183)&gt;1),"중복 의심",""))))</f>
        <v/>
      </c>
      <c r="G183" s="25">
        <f>IF(OR(COUNTA(A183:E183)=0,OR(ISNUMBER(SEARCH("소계",B183)),ISNUMBER(SEARCH("합계",B183)))),"",1+COUNTIF($B$1:B182,"*소계*"))</f>
        <v/>
      </c>
      <c r="H183">
        <f>IF(AND(A183&lt;&gt;"",A183=가족별!$B$1,G183&lt;&gt;""),COUNTIFS($A$2:A183,가족별!$B$1,$G$2:G183,"&gt;0"),"")</f>
        <v/>
      </c>
      <c r="I183">
        <f>IF(ISNUMBER(SEARCH("소계",B183)),COUNTIF($B$2:B183,"*소계*"),"")</f>
        <v/>
      </c>
      <c r="J183">
        <f>IF(F183="",0,1)</f>
        <v/>
      </c>
    </row>
    <row r="184">
      <c r="A184" s="41" t="n"/>
      <c r="B184" s="41" t="n"/>
      <c r="C184" s="24" t="n"/>
      <c r="D184" s="41" t="n"/>
      <c r="E184" s="41" t="n"/>
      <c r="F184" s="19">
        <f>IF(COUNTA(A184:E184)=0,"",IF(OR(ISNUMBER(SEARCH("소계",B184)),ISNUMBER(SEARCH("합계",B184))),"",TRIM(IF(B184="","이름 없음 ","")&amp;IF(A184="","받은 가족 없음 ","")&amp;IF(C184="","금액 없음 ",IF(ISNUMBER(C184),IF(C184&lt;1000,"금액 확인 ",""),"금액 확인 "))&amp;IF(AND(B184&lt;&gt;"",COUNTIFS($A$2:$A$1001,A184,$B$2:$B$1001,B184,$C$2:$C$1001,C184)&gt;1),"중복 의심",""))))</f>
        <v/>
      </c>
      <c r="G184" s="25">
        <f>IF(OR(COUNTA(A184:E184)=0,OR(ISNUMBER(SEARCH("소계",B184)),ISNUMBER(SEARCH("합계",B184)))),"",1+COUNTIF($B$1:B183,"*소계*"))</f>
        <v/>
      </c>
      <c r="H184">
        <f>IF(AND(A184&lt;&gt;"",A184=가족별!$B$1,G184&lt;&gt;""),COUNTIFS($A$2:A184,가족별!$B$1,$G$2:G184,"&gt;0"),"")</f>
        <v/>
      </c>
      <c r="I184">
        <f>IF(ISNUMBER(SEARCH("소계",B184)),COUNTIF($B$2:B184,"*소계*"),"")</f>
        <v/>
      </c>
      <c r="J184">
        <f>IF(F184="",0,1)</f>
        <v/>
      </c>
    </row>
    <row r="185">
      <c r="A185" s="41" t="n"/>
      <c r="B185" s="41" t="n"/>
      <c r="C185" s="24" t="n"/>
      <c r="D185" s="41" t="n"/>
      <c r="E185" s="41" t="n"/>
      <c r="F185" s="19">
        <f>IF(COUNTA(A185:E185)=0,"",IF(OR(ISNUMBER(SEARCH("소계",B185)),ISNUMBER(SEARCH("합계",B185))),"",TRIM(IF(B185="","이름 없음 ","")&amp;IF(A185="","받은 가족 없음 ","")&amp;IF(C185="","금액 없음 ",IF(ISNUMBER(C185),IF(C185&lt;1000,"금액 확인 ",""),"금액 확인 "))&amp;IF(AND(B185&lt;&gt;"",COUNTIFS($A$2:$A$1001,A185,$B$2:$B$1001,B185,$C$2:$C$1001,C185)&gt;1),"중복 의심",""))))</f>
        <v/>
      </c>
      <c r="G185" s="25">
        <f>IF(OR(COUNTA(A185:E185)=0,OR(ISNUMBER(SEARCH("소계",B185)),ISNUMBER(SEARCH("합계",B185)))),"",1+COUNTIF($B$1:B184,"*소계*"))</f>
        <v/>
      </c>
      <c r="H185">
        <f>IF(AND(A185&lt;&gt;"",A185=가족별!$B$1,G185&lt;&gt;""),COUNTIFS($A$2:A185,가족별!$B$1,$G$2:G185,"&gt;0"),"")</f>
        <v/>
      </c>
      <c r="I185">
        <f>IF(ISNUMBER(SEARCH("소계",B185)),COUNTIF($B$2:B185,"*소계*"),"")</f>
        <v/>
      </c>
      <c r="J185">
        <f>IF(F185="",0,1)</f>
        <v/>
      </c>
    </row>
    <row r="186">
      <c r="A186" s="41" t="n"/>
      <c r="B186" s="41" t="n"/>
      <c r="C186" s="24" t="n"/>
      <c r="D186" s="41" t="n"/>
      <c r="E186" s="41" t="n"/>
      <c r="F186" s="19">
        <f>IF(COUNTA(A186:E186)=0,"",IF(OR(ISNUMBER(SEARCH("소계",B186)),ISNUMBER(SEARCH("합계",B186))),"",TRIM(IF(B186="","이름 없음 ","")&amp;IF(A186="","받은 가족 없음 ","")&amp;IF(C186="","금액 없음 ",IF(ISNUMBER(C186),IF(C186&lt;1000,"금액 확인 ",""),"금액 확인 "))&amp;IF(AND(B186&lt;&gt;"",COUNTIFS($A$2:$A$1001,A186,$B$2:$B$1001,B186,$C$2:$C$1001,C186)&gt;1),"중복 의심",""))))</f>
        <v/>
      </c>
      <c r="G186" s="25">
        <f>IF(OR(COUNTA(A186:E186)=0,OR(ISNUMBER(SEARCH("소계",B186)),ISNUMBER(SEARCH("합계",B186)))),"",1+COUNTIF($B$1:B185,"*소계*"))</f>
        <v/>
      </c>
      <c r="H186">
        <f>IF(AND(A186&lt;&gt;"",A186=가족별!$B$1,G186&lt;&gt;""),COUNTIFS($A$2:A186,가족별!$B$1,$G$2:G186,"&gt;0"),"")</f>
        <v/>
      </c>
      <c r="I186">
        <f>IF(ISNUMBER(SEARCH("소계",B186)),COUNTIF($B$2:B186,"*소계*"),"")</f>
        <v/>
      </c>
      <c r="J186">
        <f>IF(F186="",0,1)</f>
        <v/>
      </c>
    </row>
    <row r="187">
      <c r="A187" s="41" t="n"/>
      <c r="B187" s="41" t="n"/>
      <c r="C187" s="24" t="n"/>
      <c r="D187" s="41" t="n"/>
      <c r="E187" s="41" t="n"/>
      <c r="F187" s="19">
        <f>IF(COUNTA(A187:E187)=0,"",IF(OR(ISNUMBER(SEARCH("소계",B187)),ISNUMBER(SEARCH("합계",B187))),"",TRIM(IF(B187="","이름 없음 ","")&amp;IF(A187="","받은 가족 없음 ","")&amp;IF(C187="","금액 없음 ",IF(ISNUMBER(C187),IF(C187&lt;1000,"금액 확인 ",""),"금액 확인 "))&amp;IF(AND(B187&lt;&gt;"",COUNTIFS($A$2:$A$1001,A187,$B$2:$B$1001,B187,$C$2:$C$1001,C187)&gt;1),"중복 의심",""))))</f>
        <v/>
      </c>
      <c r="G187" s="25">
        <f>IF(OR(COUNTA(A187:E187)=0,OR(ISNUMBER(SEARCH("소계",B187)),ISNUMBER(SEARCH("합계",B187)))),"",1+COUNTIF($B$1:B186,"*소계*"))</f>
        <v/>
      </c>
      <c r="H187">
        <f>IF(AND(A187&lt;&gt;"",A187=가족별!$B$1,G187&lt;&gt;""),COUNTIFS($A$2:A187,가족별!$B$1,$G$2:G187,"&gt;0"),"")</f>
        <v/>
      </c>
      <c r="I187">
        <f>IF(ISNUMBER(SEARCH("소계",B187)),COUNTIF($B$2:B187,"*소계*"),"")</f>
        <v/>
      </c>
      <c r="J187">
        <f>IF(F187="",0,1)</f>
        <v/>
      </c>
    </row>
    <row r="188">
      <c r="A188" s="41" t="n"/>
      <c r="B188" s="41" t="n"/>
      <c r="C188" s="24" t="n"/>
      <c r="D188" s="41" t="n"/>
      <c r="E188" s="41" t="n"/>
      <c r="F188" s="19">
        <f>IF(COUNTA(A188:E188)=0,"",IF(OR(ISNUMBER(SEARCH("소계",B188)),ISNUMBER(SEARCH("합계",B188))),"",TRIM(IF(B188="","이름 없음 ","")&amp;IF(A188="","받은 가족 없음 ","")&amp;IF(C188="","금액 없음 ",IF(ISNUMBER(C188),IF(C188&lt;1000,"금액 확인 ",""),"금액 확인 "))&amp;IF(AND(B188&lt;&gt;"",COUNTIFS($A$2:$A$1001,A188,$B$2:$B$1001,B188,$C$2:$C$1001,C188)&gt;1),"중복 의심",""))))</f>
        <v/>
      </c>
      <c r="G188" s="25">
        <f>IF(OR(COUNTA(A188:E188)=0,OR(ISNUMBER(SEARCH("소계",B188)),ISNUMBER(SEARCH("합계",B188)))),"",1+COUNTIF($B$1:B187,"*소계*"))</f>
        <v/>
      </c>
      <c r="H188">
        <f>IF(AND(A188&lt;&gt;"",A188=가족별!$B$1,G188&lt;&gt;""),COUNTIFS($A$2:A188,가족별!$B$1,$G$2:G188,"&gt;0"),"")</f>
        <v/>
      </c>
      <c r="I188">
        <f>IF(ISNUMBER(SEARCH("소계",B188)),COUNTIF($B$2:B188,"*소계*"),"")</f>
        <v/>
      </c>
      <c r="J188">
        <f>IF(F188="",0,1)</f>
        <v/>
      </c>
    </row>
    <row r="189">
      <c r="A189" s="41" t="n"/>
      <c r="B189" s="41" t="n"/>
      <c r="C189" s="24" t="n"/>
      <c r="D189" s="41" t="n"/>
      <c r="E189" s="41" t="n"/>
      <c r="F189" s="19">
        <f>IF(COUNTA(A189:E189)=0,"",IF(OR(ISNUMBER(SEARCH("소계",B189)),ISNUMBER(SEARCH("합계",B189))),"",TRIM(IF(B189="","이름 없음 ","")&amp;IF(A189="","받은 가족 없음 ","")&amp;IF(C189="","금액 없음 ",IF(ISNUMBER(C189),IF(C189&lt;1000,"금액 확인 ",""),"금액 확인 "))&amp;IF(AND(B189&lt;&gt;"",COUNTIFS($A$2:$A$1001,A189,$B$2:$B$1001,B189,$C$2:$C$1001,C189)&gt;1),"중복 의심",""))))</f>
        <v/>
      </c>
      <c r="G189" s="25">
        <f>IF(OR(COUNTA(A189:E189)=0,OR(ISNUMBER(SEARCH("소계",B189)),ISNUMBER(SEARCH("합계",B189)))),"",1+COUNTIF($B$1:B188,"*소계*"))</f>
        <v/>
      </c>
      <c r="H189">
        <f>IF(AND(A189&lt;&gt;"",A189=가족별!$B$1,G189&lt;&gt;""),COUNTIFS($A$2:A189,가족별!$B$1,$G$2:G189,"&gt;0"),"")</f>
        <v/>
      </c>
      <c r="I189">
        <f>IF(ISNUMBER(SEARCH("소계",B189)),COUNTIF($B$2:B189,"*소계*"),"")</f>
        <v/>
      </c>
      <c r="J189">
        <f>IF(F189="",0,1)</f>
        <v/>
      </c>
    </row>
    <row r="190">
      <c r="A190" s="41" t="n"/>
      <c r="B190" s="41" t="n"/>
      <c r="C190" s="24" t="n"/>
      <c r="D190" s="41" t="n"/>
      <c r="E190" s="41" t="n"/>
      <c r="F190" s="19">
        <f>IF(COUNTA(A190:E190)=0,"",IF(OR(ISNUMBER(SEARCH("소계",B190)),ISNUMBER(SEARCH("합계",B190))),"",TRIM(IF(B190="","이름 없음 ","")&amp;IF(A190="","받은 가족 없음 ","")&amp;IF(C190="","금액 없음 ",IF(ISNUMBER(C190),IF(C190&lt;1000,"금액 확인 ",""),"금액 확인 "))&amp;IF(AND(B190&lt;&gt;"",COUNTIFS($A$2:$A$1001,A190,$B$2:$B$1001,B190,$C$2:$C$1001,C190)&gt;1),"중복 의심",""))))</f>
        <v/>
      </c>
      <c r="G190" s="25">
        <f>IF(OR(COUNTA(A190:E190)=0,OR(ISNUMBER(SEARCH("소계",B190)),ISNUMBER(SEARCH("합계",B190)))),"",1+COUNTIF($B$1:B189,"*소계*"))</f>
        <v/>
      </c>
      <c r="H190">
        <f>IF(AND(A190&lt;&gt;"",A190=가족별!$B$1,G190&lt;&gt;""),COUNTIFS($A$2:A190,가족별!$B$1,$G$2:G190,"&gt;0"),"")</f>
        <v/>
      </c>
      <c r="I190">
        <f>IF(ISNUMBER(SEARCH("소계",B190)),COUNTIF($B$2:B190,"*소계*"),"")</f>
        <v/>
      </c>
      <c r="J190">
        <f>IF(F190="",0,1)</f>
        <v/>
      </c>
    </row>
    <row r="191">
      <c r="A191" s="41" t="n"/>
      <c r="B191" s="41" t="n"/>
      <c r="C191" s="24" t="n"/>
      <c r="D191" s="41" t="n"/>
      <c r="E191" s="41" t="n"/>
      <c r="F191" s="19">
        <f>IF(COUNTA(A191:E191)=0,"",IF(OR(ISNUMBER(SEARCH("소계",B191)),ISNUMBER(SEARCH("합계",B191))),"",TRIM(IF(B191="","이름 없음 ","")&amp;IF(A191="","받은 가족 없음 ","")&amp;IF(C191="","금액 없음 ",IF(ISNUMBER(C191),IF(C191&lt;1000,"금액 확인 ",""),"금액 확인 "))&amp;IF(AND(B191&lt;&gt;"",COUNTIFS($A$2:$A$1001,A191,$B$2:$B$1001,B191,$C$2:$C$1001,C191)&gt;1),"중복 의심",""))))</f>
        <v/>
      </c>
      <c r="G191" s="25">
        <f>IF(OR(COUNTA(A191:E191)=0,OR(ISNUMBER(SEARCH("소계",B191)),ISNUMBER(SEARCH("합계",B191)))),"",1+COUNTIF($B$1:B190,"*소계*"))</f>
        <v/>
      </c>
      <c r="H191">
        <f>IF(AND(A191&lt;&gt;"",A191=가족별!$B$1,G191&lt;&gt;""),COUNTIFS($A$2:A191,가족별!$B$1,$G$2:G191,"&gt;0"),"")</f>
        <v/>
      </c>
      <c r="I191">
        <f>IF(ISNUMBER(SEARCH("소계",B191)),COUNTIF($B$2:B191,"*소계*"),"")</f>
        <v/>
      </c>
      <c r="J191">
        <f>IF(F191="",0,1)</f>
        <v/>
      </c>
    </row>
    <row r="192">
      <c r="A192" s="41" t="n"/>
      <c r="B192" s="41" t="n"/>
      <c r="C192" s="24" t="n"/>
      <c r="D192" s="41" t="n"/>
      <c r="E192" s="41" t="n"/>
      <c r="F192" s="19">
        <f>IF(COUNTA(A192:E192)=0,"",IF(OR(ISNUMBER(SEARCH("소계",B192)),ISNUMBER(SEARCH("합계",B192))),"",TRIM(IF(B192="","이름 없음 ","")&amp;IF(A192="","받은 가족 없음 ","")&amp;IF(C192="","금액 없음 ",IF(ISNUMBER(C192),IF(C192&lt;1000,"금액 확인 ",""),"금액 확인 "))&amp;IF(AND(B192&lt;&gt;"",COUNTIFS($A$2:$A$1001,A192,$B$2:$B$1001,B192,$C$2:$C$1001,C192)&gt;1),"중복 의심",""))))</f>
        <v/>
      </c>
      <c r="G192" s="25">
        <f>IF(OR(COUNTA(A192:E192)=0,OR(ISNUMBER(SEARCH("소계",B192)),ISNUMBER(SEARCH("합계",B192)))),"",1+COUNTIF($B$1:B191,"*소계*"))</f>
        <v/>
      </c>
      <c r="H192">
        <f>IF(AND(A192&lt;&gt;"",A192=가족별!$B$1,G192&lt;&gt;""),COUNTIFS($A$2:A192,가족별!$B$1,$G$2:G192,"&gt;0"),"")</f>
        <v/>
      </c>
      <c r="I192">
        <f>IF(ISNUMBER(SEARCH("소계",B192)),COUNTIF($B$2:B192,"*소계*"),"")</f>
        <v/>
      </c>
      <c r="J192">
        <f>IF(F192="",0,1)</f>
        <v/>
      </c>
    </row>
    <row r="193">
      <c r="A193" s="41" t="n"/>
      <c r="B193" s="41" t="n"/>
      <c r="C193" s="24" t="n"/>
      <c r="D193" s="41" t="n"/>
      <c r="E193" s="41" t="n"/>
      <c r="F193" s="19">
        <f>IF(COUNTA(A193:E193)=0,"",IF(OR(ISNUMBER(SEARCH("소계",B193)),ISNUMBER(SEARCH("합계",B193))),"",TRIM(IF(B193="","이름 없음 ","")&amp;IF(A193="","받은 가족 없음 ","")&amp;IF(C193="","금액 없음 ",IF(ISNUMBER(C193),IF(C193&lt;1000,"금액 확인 ",""),"금액 확인 "))&amp;IF(AND(B193&lt;&gt;"",COUNTIFS($A$2:$A$1001,A193,$B$2:$B$1001,B193,$C$2:$C$1001,C193)&gt;1),"중복 의심",""))))</f>
        <v/>
      </c>
      <c r="G193" s="25">
        <f>IF(OR(COUNTA(A193:E193)=0,OR(ISNUMBER(SEARCH("소계",B193)),ISNUMBER(SEARCH("합계",B193)))),"",1+COUNTIF($B$1:B192,"*소계*"))</f>
        <v/>
      </c>
      <c r="H193">
        <f>IF(AND(A193&lt;&gt;"",A193=가족별!$B$1,G193&lt;&gt;""),COUNTIFS($A$2:A193,가족별!$B$1,$G$2:G193,"&gt;0"),"")</f>
        <v/>
      </c>
      <c r="I193">
        <f>IF(ISNUMBER(SEARCH("소계",B193)),COUNTIF($B$2:B193,"*소계*"),"")</f>
        <v/>
      </c>
      <c r="J193">
        <f>IF(F193="",0,1)</f>
        <v/>
      </c>
    </row>
    <row r="194">
      <c r="A194" s="41" t="n"/>
      <c r="B194" s="41" t="n"/>
      <c r="C194" s="24" t="n"/>
      <c r="D194" s="41" t="n"/>
      <c r="E194" s="41" t="n"/>
      <c r="F194" s="19">
        <f>IF(COUNTA(A194:E194)=0,"",IF(OR(ISNUMBER(SEARCH("소계",B194)),ISNUMBER(SEARCH("합계",B194))),"",TRIM(IF(B194="","이름 없음 ","")&amp;IF(A194="","받은 가족 없음 ","")&amp;IF(C194="","금액 없음 ",IF(ISNUMBER(C194),IF(C194&lt;1000,"금액 확인 ",""),"금액 확인 "))&amp;IF(AND(B194&lt;&gt;"",COUNTIFS($A$2:$A$1001,A194,$B$2:$B$1001,B194,$C$2:$C$1001,C194)&gt;1),"중복 의심",""))))</f>
        <v/>
      </c>
      <c r="G194" s="25">
        <f>IF(OR(COUNTA(A194:E194)=0,OR(ISNUMBER(SEARCH("소계",B194)),ISNUMBER(SEARCH("합계",B194)))),"",1+COUNTIF($B$1:B193,"*소계*"))</f>
        <v/>
      </c>
      <c r="H194">
        <f>IF(AND(A194&lt;&gt;"",A194=가족별!$B$1,G194&lt;&gt;""),COUNTIFS($A$2:A194,가족별!$B$1,$G$2:G194,"&gt;0"),"")</f>
        <v/>
      </c>
      <c r="I194">
        <f>IF(ISNUMBER(SEARCH("소계",B194)),COUNTIF($B$2:B194,"*소계*"),"")</f>
        <v/>
      </c>
      <c r="J194">
        <f>IF(F194="",0,1)</f>
        <v/>
      </c>
    </row>
    <row r="195">
      <c r="A195" s="41" t="n"/>
      <c r="B195" s="41" t="n"/>
      <c r="C195" s="24" t="n"/>
      <c r="D195" s="41" t="n"/>
      <c r="E195" s="41" t="n"/>
      <c r="F195" s="19">
        <f>IF(COUNTA(A195:E195)=0,"",IF(OR(ISNUMBER(SEARCH("소계",B195)),ISNUMBER(SEARCH("합계",B195))),"",TRIM(IF(B195="","이름 없음 ","")&amp;IF(A195="","받은 가족 없음 ","")&amp;IF(C195="","금액 없음 ",IF(ISNUMBER(C195),IF(C195&lt;1000,"금액 확인 ",""),"금액 확인 "))&amp;IF(AND(B195&lt;&gt;"",COUNTIFS($A$2:$A$1001,A195,$B$2:$B$1001,B195,$C$2:$C$1001,C195)&gt;1),"중복 의심",""))))</f>
        <v/>
      </c>
      <c r="G195" s="25">
        <f>IF(OR(COUNTA(A195:E195)=0,OR(ISNUMBER(SEARCH("소계",B195)),ISNUMBER(SEARCH("합계",B195)))),"",1+COUNTIF($B$1:B194,"*소계*"))</f>
        <v/>
      </c>
      <c r="H195">
        <f>IF(AND(A195&lt;&gt;"",A195=가족별!$B$1,G195&lt;&gt;""),COUNTIFS($A$2:A195,가족별!$B$1,$G$2:G195,"&gt;0"),"")</f>
        <v/>
      </c>
      <c r="I195">
        <f>IF(ISNUMBER(SEARCH("소계",B195)),COUNTIF($B$2:B195,"*소계*"),"")</f>
        <v/>
      </c>
      <c r="J195">
        <f>IF(F195="",0,1)</f>
        <v/>
      </c>
    </row>
    <row r="196">
      <c r="A196" s="41" t="n"/>
      <c r="B196" s="41" t="n"/>
      <c r="C196" s="24" t="n"/>
      <c r="D196" s="41" t="n"/>
      <c r="E196" s="41" t="n"/>
      <c r="F196" s="19">
        <f>IF(COUNTA(A196:E196)=0,"",IF(OR(ISNUMBER(SEARCH("소계",B196)),ISNUMBER(SEARCH("합계",B196))),"",TRIM(IF(B196="","이름 없음 ","")&amp;IF(A196="","받은 가족 없음 ","")&amp;IF(C196="","금액 없음 ",IF(ISNUMBER(C196),IF(C196&lt;1000,"금액 확인 ",""),"금액 확인 "))&amp;IF(AND(B196&lt;&gt;"",COUNTIFS($A$2:$A$1001,A196,$B$2:$B$1001,B196,$C$2:$C$1001,C196)&gt;1),"중복 의심",""))))</f>
        <v/>
      </c>
      <c r="G196" s="25">
        <f>IF(OR(COUNTA(A196:E196)=0,OR(ISNUMBER(SEARCH("소계",B196)),ISNUMBER(SEARCH("합계",B196)))),"",1+COUNTIF($B$1:B195,"*소계*"))</f>
        <v/>
      </c>
      <c r="H196">
        <f>IF(AND(A196&lt;&gt;"",A196=가족별!$B$1,G196&lt;&gt;""),COUNTIFS($A$2:A196,가족별!$B$1,$G$2:G196,"&gt;0"),"")</f>
        <v/>
      </c>
      <c r="I196">
        <f>IF(ISNUMBER(SEARCH("소계",B196)),COUNTIF($B$2:B196,"*소계*"),"")</f>
        <v/>
      </c>
      <c r="J196">
        <f>IF(F196="",0,1)</f>
        <v/>
      </c>
    </row>
    <row r="197">
      <c r="A197" s="41" t="n"/>
      <c r="B197" s="41" t="n"/>
      <c r="C197" s="24" t="n"/>
      <c r="D197" s="41" t="n"/>
      <c r="E197" s="41" t="n"/>
      <c r="F197" s="19">
        <f>IF(COUNTA(A197:E197)=0,"",IF(OR(ISNUMBER(SEARCH("소계",B197)),ISNUMBER(SEARCH("합계",B197))),"",TRIM(IF(B197="","이름 없음 ","")&amp;IF(A197="","받은 가족 없음 ","")&amp;IF(C197="","금액 없음 ",IF(ISNUMBER(C197),IF(C197&lt;1000,"금액 확인 ",""),"금액 확인 "))&amp;IF(AND(B197&lt;&gt;"",COUNTIFS($A$2:$A$1001,A197,$B$2:$B$1001,B197,$C$2:$C$1001,C197)&gt;1),"중복 의심",""))))</f>
        <v/>
      </c>
      <c r="G197" s="25">
        <f>IF(OR(COUNTA(A197:E197)=0,OR(ISNUMBER(SEARCH("소계",B197)),ISNUMBER(SEARCH("합계",B197)))),"",1+COUNTIF($B$1:B196,"*소계*"))</f>
        <v/>
      </c>
      <c r="H197">
        <f>IF(AND(A197&lt;&gt;"",A197=가족별!$B$1,G197&lt;&gt;""),COUNTIFS($A$2:A197,가족별!$B$1,$G$2:G197,"&gt;0"),"")</f>
        <v/>
      </c>
      <c r="I197">
        <f>IF(ISNUMBER(SEARCH("소계",B197)),COUNTIF($B$2:B197,"*소계*"),"")</f>
        <v/>
      </c>
      <c r="J197">
        <f>IF(F197="",0,1)</f>
        <v/>
      </c>
    </row>
    <row r="198">
      <c r="A198" s="41" t="n"/>
      <c r="B198" s="41" t="n"/>
      <c r="C198" s="24" t="n"/>
      <c r="D198" s="41" t="n"/>
      <c r="E198" s="41" t="n"/>
      <c r="F198" s="19">
        <f>IF(COUNTA(A198:E198)=0,"",IF(OR(ISNUMBER(SEARCH("소계",B198)),ISNUMBER(SEARCH("합계",B198))),"",TRIM(IF(B198="","이름 없음 ","")&amp;IF(A198="","받은 가족 없음 ","")&amp;IF(C198="","금액 없음 ",IF(ISNUMBER(C198),IF(C198&lt;1000,"금액 확인 ",""),"금액 확인 "))&amp;IF(AND(B198&lt;&gt;"",COUNTIFS($A$2:$A$1001,A198,$B$2:$B$1001,B198,$C$2:$C$1001,C198)&gt;1),"중복 의심",""))))</f>
        <v/>
      </c>
      <c r="G198" s="25">
        <f>IF(OR(COUNTA(A198:E198)=0,OR(ISNUMBER(SEARCH("소계",B198)),ISNUMBER(SEARCH("합계",B198)))),"",1+COUNTIF($B$1:B197,"*소계*"))</f>
        <v/>
      </c>
      <c r="H198">
        <f>IF(AND(A198&lt;&gt;"",A198=가족별!$B$1,G198&lt;&gt;""),COUNTIFS($A$2:A198,가족별!$B$1,$G$2:G198,"&gt;0"),"")</f>
        <v/>
      </c>
      <c r="I198">
        <f>IF(ISNUMBER(SEARCH("소계",B198)),COUNTIF($B$2:B198,"*소계*"),"")</f>
        <v/>
      </c>
      <c r="J198">
        <f>IF(F198="",0,1)</f>
        <v/>
      </c>
    </row>
    <row r="199">
      <c r="A199" s="41" t="n"/>
      <c r="B199" s="41" t="n"/>
      <c r="C199" s="24" t="n"/>
      <c r="D199" s="41" t="n"/>
      <c r="E199" s="41" t="n"/>
      <c r="F199" s="19">
        <f>IF(COUNTA(A199:E199)=0,"",IF(OR(ISNUMBER(SEARCH("소계",B199)),ISNUMBER(SEARCH("합계",B199))),"",TRIM(IF(B199="","이름 없음 ","")&amp;IF(A199="","받은 가족 없음 ","")&amp;IF(C199="","금액 없음 ",IF(ISNUMBER(C199),IF(C199&lt;1000,"금액 확인 ",""),"금액 확인 "))&amp;IF(AND(B199&lt;&gt;"",COUNTIFS($A$2:$A$1001,A199,$B$2:$B$1001,B199,$C$2:$C$1001,C199)&gt;1),"중복 의심",""))))</f>
        <v/>
      </c>
      <c r="G199" s="25">
        <f>IF(OR(COUNTA(A199:E199)=0,OR(ISNUMBER(SEARCH("소계",B199)),ISNUMBER(SEARCH("합계",B199)))),"",1+COUNTIF($B$1:B198,"*소계*"))</f>
        <v/>
      </c>
      <c r="H199">
        <f>IF(AND(A199&lt;&gt;"",A199=가족별!$B$1,G199&lt;&gt;""),COUNTIFS($A$2:A199,가족별!$B$1,$G$2:G199,"&gt;0"),"")</f>
        <v/>
      </c>
      <c r="I199">
        <f>IF(ISNUMBER(SEARCH("소계",B199)),COUNTIF($B$2:B199,"*소계*"),"")</f>
        <v/>
      </c>
      <c r="J199">
        <f>IF(F199="",0,1)</f>
        <v/>
      </c>
    </row>
    <row r="200">
      <c r="A200" s="41" t="n"/>
      <c r="B200" s="41" t="n"/>
      <c r="C200" s="24" t="n"/>
      <c r="D200" s="41" t="n"/>
      <c r="E200" s="41" t="n"/>
      <c r="F200" s="19">
        <f>IF(COUNTA(A200:E200)=0,"",IF(OR(ISNUMBER(SEARCH("소계",B200)),ISNUMBER(SEARCH("합계",B200))),"",TRIM(IF(B200="","이름 없음 ","")&amp;IF(A200="","받은 가족 없음 ","")&amp;IF(C200="","금액 없음 ",IF(ISNUMBER(C200),IF(C200&lt;1000,"금액 확인 ",""),"금액 확인 "))&amp;IF(AND(B200&lt;&gt;"",COUNTIFS($A$2:$A$1001,A200,$B$2:$B$1001,B200,$C$2:$C$1001,C200)&gt;1),"중복 의심",""))))</f>
        <v/>
      </c>
      <c r="G200" s="25">
        <f>IF(OR(COUNTA(A200:E200)=0,OR(ISNUMBER(SEARCH("소계",B200)),ISNUMBER(SEARCH("합계",B200)))),"",1+COUNTIF($B$1:B199,"*소계*"))</f>
        <v/>
      </c>
      <c r="H200">
        <f>IF(AND(A200&lt;&gt;"",A200=가족별!$B$1,G200&lt;&gt;""),COUNTIFS($A$2:A200,가족별!$B$1,$G$2:G200,"&gt;0"),"")</f>
        <v/>
      </c>
      <c r="I200">
        <f>IF(ISNUMBER(SEARCH("소계",B200)),COUNTIF($B$2:B200,"*소계*"),"")</f>
        <v/>
      </c>
      <c r="J200">
        <f>IF(F200="",0,1)</f>
        <v/>
      </c>
    </row>
    <row r="201">
      <c r="A201" s="41" t="n"/>
      <c r="B201" s="41" t="n"/>
      <c r="C201" s="24" t="n"/>
      <c r="D201" s="41" t="n"/>
      <c r="E201" s="41" t="n"/>
      <c r="F201" s="19">
        <f>IF(COUNTA(A201:E201)=0,"",IF(OR(ISNUMBER(SEARCH("소계",B201)),ISNUMBER(SEARCH("합계",B201))),"",TRIM(IF(B201="","이름 없음 ","")&amp;IF(A201="","받은 가족 없음 ","")&amp;IF(C201="","금액 없음 ",IF(ISNUMBER(C201),IF(C201&lt;1000,"금액 확인 ",""),"금액 확인 "))&amp;IF(AND(B201&lt;&gt;"",COUNTIFS($A$2:$A$1001,A201,$B$2:$B$1001,B201,$C$2:$C$1001,C201)&gt;1),"중복 의심",""))))</f>
        <v/>
      </c>
      <c r="G201" s="25">
        <f>IF(OR(COUNTA(A201:E201)=0,OR(ISNUMBER(SEARCH("소계",B201)),ISNUMBER(SEARCH("합계",B201)))),"",1+COUNTIF($B$1:B200,"*소계*"))</f>
        <v/>
      </c>
      <c r="H201">
        <f>IF(AND(A201&lt;&gt;"",A201=가족별!$B$1,G201&lt;&gt;""),COUNTIFS($A$2:A201,가족별!$B$1,$G$2:G201,"&gt;0"),"")</f>
        <v/>
      </c>
      <c r="I201">
        <f>IF(ISNUMBER(SEARCH("소계",B201)),COUNTIF($B$2:B201,"*소계*"),"")</f>
        <v/>
      </c>
      <c r="J201">
        <f>IF(F201="",0,1)</f>
        <v/>
      </c>
    </row>
    <row r="202">
      <c r="A202" s="41" t="n"/>
      <c r="B202" s="41" t="n"/>
      <c r="C202" s="24" t="n"/>
      <c r="D202" s="41" t="n"/>
      <c r="E202" s="41" t="n"/>
      <c r="F202" s="19">
        <f>IF(COUNTA(A202:E202)=0,"",IF(OR(ISNUMBER(SEARCH("소계",B202)),ISNUMBER(SEARCH("합계",B202))),"",TRIM(IF(B202="","이름 없음 ","")&amp;IF(A202="","받은 가족 없음 ","")&amp;IF(C202="","금액 없음 ",IF(ISNUMBER(C202),IF(C202&lt;1000,"금액 확인 ",""),"금액 확인 "))&amp;IF(AND(B202&lt;&gt;"",COUNTIFS($A$2:$A$1001,A202,$B$2:$B$1001,B202,$C$2:$C$1001,C202)&gt;1),"중복 의심",""))))</f>
        <v/>
      </c>
      <c r="G202" s="25">
        <f>IF(OR(COUNTA(A202:E202)=0,OR(ISNUMBER(SEARCH("소계",B202)),ISNUMBER(SEARCH("합계",B202)))),"",1+COUNTIF($B$1:B201,"*소계*"))</f>
        <v/>
      </c>
      <c r="H202">
        <f>IF(AND(A202&lt;&gt;"",A202=가족별!$B$1,G202&lt;&gt;""),COUNTIFS($A$2:A202,가족별!$B$1,$G$2:G202,"&gt;0"),"")</f>
        <v/>
      </c>
      <c r="I202">
        <f>IF(ISNUMBER(SEARCH("소계",B202)),COUNTIF($B$2:B202,"*소계*"),"")</f>
        <v/>
      </c>
      <c r="J202">
        <f>IF(F202="",0,1)</f>
        <v/>
      </c>
    </row>
    <row r="203">
      <c r="A203" s="41" t="n"/>
      <c r="B203" s="41" t="n"/>
      <c r="C203" s="24" t="n"/>
      <c r="D203" s="41" t="n"/>
      <c r="E203" s="41" t="n"/>
      <c r="F203" s="19">
        <f>IF(COUNTA(A203:E203)=0,"",IF(OR(ISNUMBER(SEARCH("소계",B203)),ISNUMBER(SEARCH("합계",B203))),"",TRIM(IF(B203="","이름 없음 ","")&amp;IF(A203="","받은 가족 없음 ","")&amp;IF(C203="","금액 없음 ",IF(ISNUMBER(C203),IF(C203&lt;1000,"금액 확인 ",""),"금액 확인 "))&amp;IF(AND(B203&lt;&gt;"",COUNTIFS($A$2:$A$1001,A203,$B$2:$B$1001,B203,$C$2:$C$1001,C203)&gt;1),"중복 의심",""))))</f>
        <v/>
      </c>
      <c r="G203" s="25">
        <f>IF(OR(COUNTA(A203:E203)=0,OR(ISNUMBER(SEARCH("소계",B203)),ISNUMBER(SEARCH("합계",B203)))),"",1+COUNTIF($B$1:B202,"*소계*"))</f>
        <v/>
      </c>
      <c r="H203">
        <f>IF(AND(A203&lt;&gt;"",A203=가족별!$B$1,G203&lt;&gt;""),COUNTIFS($A$2:A203,가족별!$B$1,$G$2:G203,"&gt;0"),"")</f>
        <v/>
      </c>
      <c r="I203">
        <f>IF(ISNUMBER(SEARCH("소계",B203)),COUNTIF($B$2:B203,"*소계*"),"")</f>
        <v/>
      </c>
      <c r="J203">
        <f>IF(F203="",0,1)</f>
        <v/>
      </c>
    </row>
    <row r="204">
      <c r="A204" s="41" t="n"/>
      <c r="B204" s="41" t="n"/>
      <c r="C204" s="24" t="n"/>
      <c r="D204" s="41" t="n"/>
      <c r="E204" s="41" t="n"/>
      <c r="F204" s="19">
        <f>IF(COUNTA(A204:E204)=0,"",IF(OR(ISNUMBER(SEARCH("소계",B204)),ISNUMBER(SEARCH("합계",B204))),"",TRIM(IF(B204="","이름 없음 ","")&amp;IF(A204="","받은 가족 없음 ","")&amp;IF(C204="","금액 없음 ",IF(ISNUMBER(C204),IF(C204&lt;1000,"금액 확인 ",""),"금액 확인 "))&amp;IF(AND(B204&lt;&gt;"",COUNTIFS($A$2:$A$1001,A204,$B$2:$B$1001,B204,$C$2:$C$1001,C204)&gt;1),"중복 의심",""))))</f>
        <v/>
      </c>
      <c r="G204" s="25">
        <f>IF(OR(COUNTA(A204:E204)=0,OR(ISNUMBER(SEARCH("소계",B204)),ISNUMBER(SEARCH("합계",B204)))),"",1+COUNTIF($B$1:B203,"*소계*"))</f>
        <v/>
      </c>
      <c r="H204">
        <f>IF(AND(A204&lt;&gt;"",A204=가족별!$B$1,G204&lt;&gt;""),COUNTIFS($A$2:A204,가족별!$B$1,$G$2:G204,"&gt;0"),"")</f>
        <v/>
      </c>
      <c r="I204">
        <f>IF(ISNUMBER(SEARCH("소계",B204)),COUNTIF($B$2:B204,"*소계*"),"")</f>
        <v/>
      </c>
      <c r="J204">
        <f>IF(F204="",0,1)</f>
        <v/>
      </c>
    </row>
    <row r="205">
      <c r="A205" s="41" t="n"/>
      <c r="B205" s="41" t="n"/>
      <c r="C205" s="24" t="n"/>
      <c r="D205" s="41" t="n"/>
      <c r="E205" s="41" t="n"/>
      <c r="F205" s="19">
        <f>IF(COUNTA(A205:E205)=0,"",IF(OR(ISNUMBER(SEARCH("소계",B205)),ISNUMBER(SEARCH("합계",B205))),"",TRIM(IF(B205="","이름 없음 ","")&amp;IF(A205="","받은 가족 없음 ","")&amp;IF(C205="","금액 없음 ",IF(ISNUMBER(C205),IF(C205&lt;1000,"금액 확인 ",""),"금액 확인 "))&amp;IF(AND(B205&lt;&gt;"",COUNTIFS($A$2:$A$1001,A205,$B$2:$B$1001,B205,$C$2:$C$1001,C205)&gt;1),"중복 의심",""))))</f>
        <v/>
      </c>
      <c r="G205" s="25">
        <f>IF(OR(COUNTA(A205:E205)=0,OR(ISNUMBER(SEARCH("소계",B205)),ISNUMBER(SEARCH("합계",B205)))),"",1+COUNTIF($B$1:B204,"*소계*"))</f>
        <v/>
      </c>
      <c r="H205">
        <f>IF(AND(A205&lt;&gt;"",A205=가족별!$B$1,G205&lt;&gt;""),COUNTIFS($A$2:A205,가족별!$B$1,$G$2:G205,"&gt;0"),"")</f>
        <v/>
      </c>
      <c r="I205">
        <f>IF(ISNUMBER(SEARCH("소계",B205)),COUNTIF($B$2:B205,"*소계*"),"")</f>
        <v/>
      </c>
      <c r="J205">
        <f>IF(F205="",0,1)</f>
        <v/>
      </c>
    </row>
    <row r="206">
      <c r="A206" s="41" t="n"/>
      <c r="B206" s="41" t="n"/>
      <c r="C206" s="24" t="n"/>
      <c r="D206" s="41" t="n"/>
      <c r="E206" s="41" t="n"/>
      <c r="F206" s="19">
        <f>IF(COUNTA(A206:E206)=0,"",IF(OR(ISNUMBER(SEARCH("소계",B206)),ISNUMBER(SEARCH("합계",B206))),"",TRIM(IF(B206="","이름 없음 ","")&amp;IF(A206="","받은 가족 없음 ","")&amp;IF(C206="","금액 없음 ",IF(ISNUMBER(C206),IF(C206&lt;1000,"금액 확인 ",""),"금액 확인 "))&amp;IF(AND(B206&lt;&gt;"",COUNTIFS($A$2:$A$1001,A206,$B$2:$B$1001,B206,$C$2:$C$1001,C206)&gt;1),"중복 의심",""))))</f>
        <v/>
      </c>
      <c r="G206" s="25">
        <f>IF(OR(COUNTA(A206:E206)=0,OR(ISNUMBER(SEARCH("소계",B206)),ISNUMBER(SEARCH("합계",B206)))),"",1+COUNTIF($B$1:B205,"*소계*"))</f>
        <v/>
      </c>
      <c r="H206">
        <f>IF(AND(A206&lt;&gt;"",A206=가족별!$B$1,G206&lt;&gt;""),COUNTIFS($A$2:A206,가족별!$B$1,$G$2:G206,"&gt;0"),"")</f>
        <v/>
      </c>
      <c r="I206">
        <f>IF(ISNUMBER(SEARCH("소계",B206)),COUNTIF($B$2:B206,"*소계*"),"")</f>
        <v/>
      </c>
      <c r="J206">
        <f>IF(F206="",0,1)</f>
        <v/>
      </c>
    </row>
    <row r="207">
      <c r="A207" s="41" t="n"/>
      <c r="B207" s="41" t="n"/>
      <c r="C207" s="24" t="n"/>
      <c r="D207" s="41" t="n"/>
      <c r="E207" s="41" t="n"/>
      <c r="F207" s="19">
        <f>IF(COUNTA(A207:E207)=0,"",IF(OR(ISNUMBER(SEARCH("소계",B207)),ISNUMBER(SEARCH("합계",B207))),"",TRIM(IF(B207="","이름 없음 ","")&amp;IF(A207="","받은 가족 없음 ","")&amp;IF(C207="","금액 없음 ",IF(ISNUMBER(C207),IF(C207&lt;1000,"금액 확인 ",""),"금액 확인 "))&amp;IF(AND(B207&lt;&gt;"",COUNTIFS($A$2:$A$1001,A207,$B$2:$B$1001,B207,$C$2:$C$1001,C207)&gt;1),"중복 의심",""))))</f>
        <v/>
      </c>
      <c r="G207" s="25">
        <f>IF(OR(COUNTA(A207:E207)=0,OR(ISNUMBER(SEARCH("소계",B207)),ISNUMBER(SEARCH("합계",B207)))),"",1+COUNTIF($B$1:B206,"*소계*"))</f>
        <v/>
      </c>
      <c r="H207">
        <f>IF(AND(A207&lt;&gt;"",A207=가족별!$B$1,G207&lt;&gt;""),COUNTIFS($A$2:A207,가족별!$B$1,$G$2:G207,"&gt;0"),"")</f>
        <v/>
      </c>
      <c r="I207">
        <f>IF(ISNUMBER(SEARCH("소계",B207)),COUNTIF($B$2:B207,"*소계*"),"")</f>
        <v/>
      </c>
      <c r="J207">
        <f>IF(F207="",0,1)</f>
        <v/>
      </c>
    </row>
    <row r="208">
      <c r="A208" s="41" t="n"/>
      <c r="B208" s="41" t="n"/>
      <c r="C208" s="24" t="n"/>
      <c r="D208" s="41" t="n"/>
      <c r="E208" s="41" t="n"/>
      <c r="F208" s="19">
        <f>IF(COUNTA(A208:E208)=0,"",IF(OR(ISNUMBER(SEARCH("소계",B208)),ISNUMBER(SEARCH("합계",B208))),"",TRIM(IF(B208="","이름 없음 ","")&amp;IF(A208="","받은 가족 없음 ","")&amp;IF(C208="","금액 없음 ",IF(ISNUMBER(C208),IF(C208&lt;1000,"금액 확인 ",""),"금액 확인 "))&amp;IF(AND(B208&lt;&gt;"",COUNTIFS($A$2:$A$1001,A208,$B$2:$B$1001,B208,$C$2:$C$1001,C208)&gt;1),"중복 의심",""))))</f>
        <v/>
      </c>
      <c r="G208" s="25">
        <f>IF(OR(COUNTA(A208:E208)=0,OR(ISNUMBER(SEARCH("소계",B208)),ISNUMBER(SEARCH("합계",B208)))),"",1+COUNTIF($B$1:B207,"*소계*"))</f>
        <v/>
      </c>
      <c r="H208">
        <f>IF(AND(A208&lt;&gt;"",A208=가족별!$B$1,G208&lt;&gt;""),COUNTIFS($A$2:A208,가족별!$B$1,$G$2:G208,"&gt;0"),"")</f>
        <v/>
      </c>
      <c r="I208">
        <f>IF(ISNUMBER(SEARCH("소계",B208)),COUNTIF($B$2:B208,"*소계*"),"")</f>
        <v/>
      </c>
      <c r="J208">
        <f>IF(F208="",0,1)</f>
        <v/>
      </c>
    </row>
    <row r="209">
      <c r="A209" s="41" t="n"/>
      <c r="B209" s="41" t="n"/>
      <c r="C209" s="24" t="n"/>
      <c r="D209" s="41" t="n"/>
      <c r="E209" s="41" t="n"/>
      <c r="F209" s="19">
        <f>IF(COUNTA(A209:E209)=0,"",IF(OR(ISNUMBER(SEARCH("소계",B209)),ISNUMBER(SEARCH("합계",B209))),"",TRIM(IF(B209="","이름 없음 ","")&amp;IF(A209="","받은 가족 없음 ","")&amp;IF(C209="","금액 없음 ",IF(ISNUMBER(C209),IF(C209&lt;1000,"금액 확인 ",""),"금액 확인 "))&amp;IF(AND(B209&lt;&gt;"",COUNTIFS($A$2:$A$1001,A209,$B$2:$B$1001,B209,$C$2:$C$1001,C209)&gt;1),"중복 의심",""))))</f>
        <v/>
      </c>
      <c r="G209" s="25">
        <f>IF(OR(COUNTA(A209:E209)=0,OR(ISNUMBER(SEARCH("소계",B209)),ISNUMBER(SEARCH("합계",B209)))),"",1+COUNTIF($B$1:B208,"*소계*"))</f>
        <v/>
      </c>
      <c r="H209">
        <f>IF(AND(A209&lt;&gt;"",A209=가족별!$B$1,G209&lt;&gt;""),COUNTIFS($A$2:A209,가족별!$B$1,$G$2:G209,"&gt;0"),"")</f>
        <v/>
      </c>
      <c r="I209">
        <f>IF(ISNUMBER(SEARCH("소계",B209)),COUNTIF($B$2:B209,"*소계*"),"")</f>
        <v/>
      </c>
      <c r="J209">
        <f>IF(F209="",0,1)</f>
        <v/>
      </c>
    </row>
    <row r="210">
      <c r="A210" s="41" t="n"/>
      <c r="B210" s="41" t="n"/>
      <c r="C210" s="24" t="n"/>
      <c r="D210" s="41" t="n"/>
      <c r="E210" s="41" t="n"/>
      <c r="F210" s="19">
        <f>IF(COUNTA(A210:E210)=0,"",IF(OR(ISNUMBER(SEARCH("소계",B210)),ISNUMBER(SEARCH("합계",B210))),"",TRIM(IF(B210="","이름 없음 ","")&amp;IF(A210="","받은 가족 없음 ","")&amp;IF(C210="","금액 없음 ",IF(ISNUMBER(C210),IF(C210&lt;1000,"금액 확인 ",""),"금액 확인 "))&amp;IF(AND(B210&lt;&gt;"",COUNTIFS($A$2:$A$1001,A210,$B$2:$B$1001,B210,$C$2:$C$1001,C210)&gt;1),"중복 의심",""))))</f>
        <v/>
      </c>
      <c r="G210" s="25">
        <f>IF(OR(COUNTA(A210:E210)=0,OR(ISNUMBER(SEARCH("소계",B210)),ISNUMBER(SEARCH("합계",B210)))),"",1+COUNTIF($B$1:B209,"*소계*"))</f>
        <v/>
      </c>
      <c r="H210">
        <f>IF(AND(A210&lt;&gt;"",A210=가족별!$B$1,G210&lt;&gt;""),COUNTIFS($A$2:A210,가족별!$B$1,$G$2:G210,"&gt;0"),"")</f>
        <v/>
      </c>
      <c r="I210">
        <f>IF(ISNUMBER(SEARCH("소계",B210)),COUNTIF($B$2:B210,"*소계*"),"")</f>
        <v/>
      </c>
      <c r="J210">
        <f>IF(F210="",0,1)</f>
        <v/>
      </c>
    </row>
    <row r="211">
      <c r="A211" s="41" t="n"/>
      <c r="B211" s="41" t="n"/>
      <c r="C211" s="24" t="n"/>
      <c r="D211" s="41" t="n"/>
      <c r="E211" s="41" t="n"/>
      <c r="F211" s="19">
        <f>IF(COUNTA(A211:E211)=0,"",IF(OR(ISNUMBER(SEARCH("소계",B211)),ISNUMBER(SEARCH("합계",B211))),"",TRIM(IF(B211="","이름 없음 ","")&amp;IF(A211="","받은 가족 없음 ","")&amp;IF(C211="","금액 없음 ",IF(ISNUMBER(C211),IF(C211&lt;1000,"금액 확인 ",""),"금액 확인 "))&amp;IF(AND(B211&lt;&gt;"",COUNTIFS($A$2:$A$1001,A211,$B$2:$B$1001,B211,$C$2:$C$1001,C211)&gt;1),"중복 의심",""))))</f>
        <v/>
      </c>
      <c r="G211" s="25">
        <f>IF(OR(COUNTA(A211:E211)=0,OR(ISNUMBER(SEARCH("소계",B211)),ISNUMBER(SEARCH("합계",B211)))),"",1+COUNTIF($B$1:B210,"*소계*"))</f>
        <v/>
      </c>
      <c r="H211">
        <f>IF(AND(A211&lt;&gt;"",A211=가족별!$B$1,G211&lt;&gt;""),COUNTIFS($A$2:A211,가족별!$B$1,$G$2:G211,"&gt;0"),"")</f>
        <v/>
      </c>
      <c r="I211">
        <f>IF(ISNUMBER(SEARCH("소계",B211)),COUNTIF($B$2:B211,"*소계*"),"")</f>
        <v/>
      </c>
      <c r="J211">
        <f>IF(F211="",0,1)</f>
        <v/>
      </c>
    </row>
    <row r="212">
      <c r="A212" s="41" t="n"/>
      <c r="B212" s="41" t="n"/>
      <c r="C212" s="24" t="n"/>
      <c r="D212" s="41" t="n"/>
      <c r="E212" s="41" t="n"/>
      <c r="F212" s="19">
        <f>IF(COUNTA(A212:E212)=0,"",IF(OR(ISNUMBER(SEARCH("소계",B212)),ISNUMBER(SEARCH("합계",B212))),"",TRIM(IF(B212="","이름 없음 ","")&amp;IF(A212="","받은 가족 없음 ","")&amp;IF(C212="","금액 없음 ",IF(ISNUMBER(C212),IF(C212&lt;1000,"금액 확인 ",""),"금액 확인 "))&amp;IF(AND(B212&lt;&gt;"",COUNTIFS($A$2:$A$1001,A212,$B$2:$B$1001,B212,$C$2:$C$1001,C212)&gt;1),"중복 의심",""))))</f>
        <v/>
      </c>
      <c r="G212" s="25">
        <f>IF(OR(COUNTA(A212:E212)=0,OR(ISNUMBER(SEARCH("소계",B212)),ISNUMBER(SEARCH("합계",B212)))),"",1+COUNTIF($B$1:B211,"*소계*"))</f>
        <v/>
      </c>
      <c r="H212">
        <f>IF(AND(A212&lt;&gt;"",A212=가족별!$B$1,G212&lt;&gt;""),COUNTIFS($A$2:A212,가족별!$B$1,$G$2:G212,"&gt;0"),"")</f>
        <v/>
      </c>
      <c r="I212">
        <f>IF(ISNUMBER(SEARCH("소계",B212)),COUNTIF($B$2:B212,"*소계*"),"")</f>
        <v/>
      </c>
      <c r="J212">
        <f>IF(F212="",0,1)</f>
        <v/>
      </c>
    </row>
    <row r="213">
      <c r="A213" s="41" t="n"/>
      <c r="B213" s="41" t="n"/>
      <c r="C213" s="24" t="n"/>
      <c r="D213" s="41" t="n"/>
      <c r="E213" s="41" t="n"/>
      <c r="F213" s="19">
        <f>IF(COUNTA(A213:E213)=0,"",IF(OR(ISNUMBER(SEARCH("소계",B213)),ISNUMBER(SEARCH("합계",B213))),"",TRIM(IF(B213="","이름 없음 ","")&amp;IF(A213="","받은 가족 없음 ","")&amp;IF(C213="","금액 없음 ",IF(ISNUMBER(C213),IF(C213&lt;1000,"금액 확인 ",""),"금액 확인 "))&amp;IF(AND(B213&lt;&gt;"",COUNTIFS($A$2:$A$1001,A213,$B$2:$B$1001,B213,$C$2:$C$1001,C213)&gt;1),"중복 의심",""))))</f>
        <v/>
      </c>
      <c r="G213" s="25">
        <f>IF(OR(COUNTA(A213:E213)=0,OR(ISNUMBER(SEARCH("소계",B213)),ISNUMBER(SEARCH("합계",B213)))),"",1+COUNTIF($B$1:B212,"*소계*"))</f>
        <v/>
      </c>
      <c r="H213">
        <f>IF(AND(A213&lt;&gt;"",A213=가족별!$B$1,G213&lt;&gt;""),COUNTIFS($A$2:A213,가족별!$B$1,$G$2:G213,"&gt;0"),"")</f>
        <v/>
      </c>
      <c r="I213">
        <f>IF(ISNUMBER(SEARCH("소계",B213)),COUNTIF($B$2:B213,"*소계*"),"")</f>
        <v/>
      </c>
      <c r="J213">
        <f>IF(F213="",0,1)</f>
        <v/>
      </c>
    </row>
    <row r="214">
      <c r="A214" s="41" t="n"/>
      <c r="B214" s="41" t="n"/>
      <c r="C214" s="24" t="n"/>
      <c r="D214" s="41" t="n"/>
      <c r="E214" s="41" t="n"/>
      <c r="F214" s="19">
        <f>IF(COUNTA(A214:E214)=0,"",IF(OR(ISNUMBER(SEARCH("소계",B214)),ISNUMBER(SEARCH("합계",B214))),"",TRIM(IF(B214="","이름 없음 ","")&amp;IF(A214="","받은 가족 없음 ","")&amp;IF(C214="","금액 없음 ",IF(ISNUMBER(C214),IF(C214&lt;1000,"금액 확인 ",""),"금액 확인 "))&amp;IF(AND(B214&lt;&gt;"",COUNTIFS($A$2:$A$1001,A214,$B$2:$B$1001,B214,$C$2:$C$1001,C214)&gt;1),"중복 의심",""))))</f>
        <v/>
      </c>
      <c r="G214" s="25">
        <f>IF(OR(COUNTA(A214:E214)=0,OR(ISNUMBER(SEARCH("소계",B214)),ISNUMBER(SEARCH("합계",B214)))),"",1+COUNTIF($B$1:B213,"*소계*"))</f>
        <v/>
      </c>
      <c r="H214">
        <f>IF(AND(A214&lt;&gt;"",A214=가족별!$B$1,G214&lt;&gt;""),COUNTIFS($A$2:A214,가족별!$B$1,$G$2:G214,"&gt;0"),"")</f>
        <v/>
      </c>
      <c r="I214">
        <f>IF(ISNUMBER(SEARCH("소계",B214)),COUNTIF($B$2:B214,"*소계*"),"")</f>
        <v/>
      </c>
      <c r="J214">
        <f>IF(F214="",0,1)</f>
        <v/>
      </c>
    </row>
    <row r="215">
      <c r="A215" s="41" t="n"/>
      <c r="B215" s="41" t="n"/>
      <c r="C215" s="24" t="n"/>
      <c r="D215" s="41" t="n"/>
      <c r="E215" s="41" t="n"/>
      <c r="F215" s="19">
        <f>IF(COUNTA(A215:E215)=0,"",IF(OR(ISNUMBER(SEARCH("소계",B215)),ISNUMBER(SEARCH("합계",B215))),"",TRIM(IF(B215="","이름 없음 ","")&amp;IF(A215="","받은 가족 없음 ","")&amp;IF(C215="","금액 없음 ",IF(ISNUMBER(C215),IF(C215&lt;1000,"금액 확인 ",""),"금액 확인 "))&amp;IF(AND(B215&lt;&gt;"",COUNTIFS($A$2:$A$1001,A215,$B$2:$B$1001,B215,$C$2:$C$1001,C215)&gt;1),"중복 의심",""))))</f>
        <v/>
      </c>
      <c r="G215" s="25">
        <f>IF(OR(COUNTA(A215:E215)=0,OR(ISNUMBER(SEARCH("소계",B215)),ISNUMBER(SEARCH("합계",B215)))),"",1+COUNTIF($B$1:B214,"*소계*"))</f>
        <v/>
      </c>
      <c r="H215">
        <f>IF(AND(A215&lt;&gt;"",A215=가족별!$B$1,G215&lt;&gt;""),COUNTIFS($A$2:A215,가족별!$B$1,$G$2:G215,"&gt;0"),"")</f>
        <v/>
      </c>
      <c r="I215">
        <f>IF(ISNUMBER(SEARCH("소계",B215)),COUNTIF($B$2:B215,"*소계*"),"")</f>
        <v/>
      </c>
      <c r="J215">
        <f>IF(F215="",0,1)</f>
        <v/>
      </c>
    </row>
    <row r="216">
      <c r="A216" s="41" t="n"/>
      <c r="B216" s="41" t="n"/>
      <c r="C216" s="24" t="n"/>
      <c r="D216" s="41" t="n"/>
      <c r="E216" s="41" t="n"/>
      <c r="F216" s="19">
        <f>IF(COUNTA(A216:E216)=0,"",IF(OR(ISNUMBER(SEARCH("소계",B216)),ISNUMBER(SEARCH("합계",B216))),"",TRIM(IF(B216="","이름 없음 ","")&amp;IF(A216="","받은 가족 없음 ","")&amp;IF(C216="","금액 없음 ",IF(ISNUMBER(C216),IF(C216&lt;1000,"금액 확인 ",""),"금액 확인 "))&amp;IF(AND(B216&lt;&gt;"",COUNTIFS($A$2:$A$1001,A216,$B$2:$B$1001,B216,$C$2:$C$1001,C216)&gt;1),"중복 의심",""))))</f>
        <v/>
      </c>
      <c r="G216" s="25">
        <f>IF(OR(COUNTA(A216:E216)=0,OR(ISNUMBER(SEARCH("소계",B216)),ISNUMBER(SEARCH("합계",B216)))),"",1+COUNTIF($B$1:B215,"*소계*"))</f>
        <v/>
      </c>
      <c r="H216">
        <f>IF(AND(A216&lt;&gt;"",A216=가족별!$B$1,G216&lt;&gt;""),COUNTIFS($A$2:A216,가족별!$B$1,$G$2:G216,"&gt;0"),"")</f>
        <v/>
      </c>
      <c r="I216">
        <f>IF(ISNUMBER(SEARCH("소계",B216)),COUNTIF($B$2:B216,"*소계*"),"")</f>
        <v/>
      </c>
      <c r="J216">
        <f>IF(F216="",0,1)</f>
        <v/>
      </c>
    </row>
    <row r="217">
      <c r="A217" s="41" t="n"/>
      <c r="B217" s="41" t="n"/>
      <c r="C217" s="24" t="n"/>
      <c r="D217" s="41" t="n"/>
      <c r="E217" s="41" t="n"/>
      <c r="F217" s="19">
        <f>IF(COUNTA(A217:E217)=0,"",IF(OR(ISNUMBER(SEARCH("소계",B217)),ISNUMBER(SEARCH("합계",B217))),"",TRIM(IF(B217="","이름 없음 ","")&amp;IF(A217="","받은 가족 없음 ","")&amp;IF(C217="","금액 없음 ",IF(ISNUMBER(C217),IF(C217&lt;1000,"금액 확인 ",""),"금액 확인 "))&amp;IF(AND(B217&lt;&gt;"",COUNTIFS($A$2:$A$1001,A217,$B$2:$B$1001,B217,$C$2:$C$1001,C217)&gt;1),"중복 의심",""))))</f>
        <v/>
      </c>
      <c r="G217" s="25">
        <f>IF(OR(COUNTA(A217:E217)=0,OR(ISNUMBER(SEARCH("소계",B217)),ISNUMBER(SEARCH("합계",B217)))),"",1+COUNTIF($B$1:B216,"*소계*"))</f>
        <v/>
      </c>
      <c r="H217">
        <f>IF(AND(A217&lt;&gt;"",A217=가족별!$B$1,G217&lt;&gt;""),COUNTIFS($A$2:A217,가족별!$B$1,$G$2:G217,"&gt;0"),"")</f>
        <v/>
      </c>
      <c r="I217">
        <f>IF(ISNUMBER(SEARCH("소계",B217)),COUNTIF($B$2:B217,"*소계*"),"")</f>
        <v/>
      </c>
      <c r="J217">
        <f>IF(F217="",0,1)</f>
        <v/>
      </c>
    </row>
    <row r="218">
      <c r="A218" s="41" t="n"/>
      <c r="B218" s="41" t="n"/>
      <c r="C218" s="24" t="n"/>
      <c r="D218" s="41" t="n"/>
      <c r="E218" s="41" t="n"/>
      <c r="F218" s="19">
        <f>IF(COUNTA(A218:E218)=0,"",IF(OR(ISNUMBER(SEARCH("소계",B218)),ISNUMBER(SEARCH("합계",B218))),"",TRIM(IF(B218="","이름 없음 ","")&amp;IF(A218="","받은 가족 없음 ","")&amp;IF(C218="","금액 없음 ",IF(ISNUMBER(C218),IF(C218&lt;1000,"금액 확인 ",""),"금액 확인 "))&amp;IF(AND(B218&lt;&gt;"",COUNTIFS($A$2:$A$1001,A218,$B$2:$B$1001,B218,$C$2:$C$1001,C218)&gt;1),"중복 의심",""))))</f>
        <v/>
      </c>
      <c r="G218" s="25">
        <f>IF(OR(COUNTA(A218:E218)=0,OR(ISNUMBER(SEARCH("소계",B218)),ISNUMBER(SEARCH("합계",B218)))),"",1+COUNTIF($B$1:B217,"*소계*"))</f>
        <v/>
      </c>
      <c r="H218">
        <f>IF(AND(A218&lt;&gt;"",A218=가족별!$B$1,G218&lt;&gt;""),COUNTIFS($A$2:A218,가족별!$B$1,$G$2:G218,"&gt;0"),"")</f>
        <v/>
      </c>
      <c r="I218">
        <f>IF(ISNUMBER(SEARCH("소계",B218)),COUNTIF($B$2:B218,"*소계*"),"")</f>
        <v/>
      </c>
      <c r="J218">
        <f>IF(F218="",0,1)</f>
        <v/>
      </c>
    </row>
    <row r="219">
      <c r="A219" s="41" t="n"/>
      <c r="B219" s="41" t="n"/>
      <c r="C219" s="24" t="n"/>
      <c r="D219" s="41" t="n"/>
      <c r="E219" s="41" t="n"/>
      <c r="F219" s="19">
        <f>IF(COUNTA(A219:E219)=0,"",IF(OR(ISNUMBER(SEARCH("소계",B219)),ISNUMBER(SEARCH("합계",B219))),"",TRIM(IF(B219="","이름 없음 ","")&amp;IF(A219="","받은 가족 없음 ","")&amp;IF(C219="","금액 없음 ",IF(ISNUMBER(C219),IF(C219&lt;1000,"금액 확인 ",""),"금액 확인 "))&amp;IF(AND(B219&lt;&gt;"",COUNTIFS($A$2:$A$1001,A219,$B$2:$B$1001,B219,$C$2:$C$1001,C219)&gt;1),"중복 의심",""))))</f>
        <v/>
      </c>
      <c r="G219" s="25">
        <f>IF(OR(COUNTA(A219:E219)=0,OR(ISNUMBER(SEARCH("소계",B219)),ISNUMBER(SEARCH("합계",B219)))),"",1+COUNTIF($B$1:B218,"*소계*"))</f>
        <v/>
      </c>
      <c r="H219">
        <f>IF(AND(A219&lt;&gt;"",A219=가족별!$B$1,G219&lt;&gt;""),COUNTIFS($A$2:A219,가족별!$B$1,$G$2:G219,"&gt;0"),"")</f>
        <v/>
      </c>
      <c r="I219">
        <f>IF(ISNUMBER(SEARCH("소계",B219)),COUNTIF($B$2:B219,"*소계*"),"")</f>
        <v/>
      </c>
      <c r="J219">
        <f>IF(F219="",0,1)</f>
        <v/>
      </c>
    </row>
    <row r="220">
      <c r="A220" s="41" t="n"/>
      <c r="B220" s="41" t="n"/>
      <c r="C220" s="24" t="n"/>
      <c r="D220" s="41" t="n"/>
      <c r="E220" s="41" t="n"/>
      <c r="F220" s="19">
        <f>IF(COUNTA(A220:E220)=0,"",IF(OR(ISNUMBER(SEARCH("소계",B220)),ISNUMBER(SEARCH("합계",B220))),"",TRIM(IF(B220="","이름 없음 ","")&amp;IF(A220="","받은 가족 없음 ","")&amp;IF(C220="","금액 없음 ",IF(ISNUMBER(C220),IF(C220&lt;1000,"금액 확인 ",""),"금액 확인 "))&amp;IF(AND(B220&lt;&gt;"",COUNTIFS($A$2:$A$1001,A220,$B$2:$B$1001,B220,$C$2:$C$1001,C220)&gt;1),"중복 의심",""))))</f>
        <v/>
      </c>
      <c r="G220" s="25">
        <f>IF(OR(COUNTA(A220:E220)=0,OR(ISNUMBER(SEARCH("소계",B220)),ISNUMBER(SEARCH("합계",B220)))),"",1+COUNTIF($B$1:B219,"*소계*"))</f>
        <v/>
      </c>
      <c r="H220">
        <f>IF(AND(A220&lt;&gt;"",A220=가족별!$B$1,G220&lt;&gt;""),COUNTIFS($A$2:A220,가족별!$B$1,$G$2:G220,"&gt;0"),"")</f>
        <v/>
      </c>
      <c r="I220">
        <f>IF(ISNUMBER(SEARCH("소계",B220)),COUNTIF($B$2:B220,"*소계*"),"")</f>
        <v/>
      </c>
      <c r="J220">
        <f>IF(F220="",0,1)</f>
        <v/>
      </c>
    </row>
    <row r="221">
      <c r="A221" s="41" t="n"/>
      <c r="B221" s="41" t="n"/>
      <c r="C221" s="24" t="n"/>
      <c r="D221" s="41" t="n"/>
      <c r="E221" s="41" t="n"/>
      <c r="F221" s="19">
        <f>IF(COUNTA(A221:E221)=0,"",IF(OR(ISNUMBER(SEARCH("소계",B221)),ISNUMBER(SEARCH("합계",B221))),"",TRIM(IF(B221="","이름 없음 ","")&amp;IF(A221="","받은 가족 없음 ","")&amp;IF(C221="","금액 없음 ",IF(ISNUMBER(C221),IF(C221&lt;1000,"금액 확인 ",""),"금액 확인 "))&amp;IF(AND(B221&lt;&gt;"",COUNTIFS($A$2:$A$1001,A221,$B$2:$B$1001,B221,$C$2:$C$1001,C221)&gt;1),"중복 의심",""))))</f>
        <v/>
      </c>
      <c r="G221" s="25">
        <f>IF(OR(COUNTA(A221:E221)=0,OR(ISNUMBER(SEARCH("소계",B221)),ISNUMBER(SEARCH("합계",B221)))),"",1+COUNTIF($B$1:B220,"*소계*"))</f>
        <v/>
      </c>
      <c r="H221">
        <f>IF(AND(A221&lt;&gt;"",A221=가족별!$B$1,G221&lt;&gt;""),COUNTIFS($A$2:A221,가족별!$B$1,$G$2:G221,"&gt;0"),"")</f>
        <v/>
      </c>
      <c r="I221">
        <f>IF(ISNUMBER(SEARCH("소계",B221)),COUNTIF($B$2:B221,"*소계*"),"")</f>
        <v/>
      </c>
      <c r="J221">
        <f>IF(F221="",0,1)</f>
        <v/>
      </c>
    </row>
    <row r="222">
      <c r="A222" s="41" t="n"/>
      <c r="B222" s="41" t="n"/>
      <c r="C222" s="24" t="n"/>
      <c r="D222" s="41" t="n"/>
      <c r="E222" s="41" t="n"/>
      <c r="F222" s="19">
        <f>IF(COUNTA(A222:E222)=0,"",IF(OR(ISNUMBER(SEARCH("소계",B222)),ISNUMBER(SEARCH("합계",B222))),"",TRIM(IF(B222="","이름 없음 ","")&amp;IF(A222="","받은 가족 없음 ","")&amp;IF(C222="","금액 없음 ",IF(ISNUMBER(C222),IF(C222&lt;1000,"금액 확인 ",""),"금액 확인 "))&amp;IF(AND(B222&lt;&gt;"",COUNTIFS($A$2:$A$1001,A222,$B$2:$B$1001,B222,$C$2:$C$1001,C222)&gt;1),"중복 의심",""))))</f>
        <v/>
      </c>
      <c r="G222" s="25">
        <f>IF(OR(COUNTA(A222:E222)=0,OR(ISNUMBER(SEARCH("소계",B222)),ISNUMBER(SEARCH("합계",B222)))),"",1+COUNTIF($B$1:B221,"*소계*"))</f>
        <v/>
      </c>
      <c r="H222">
        <f>IF(AND(A222&lt;&gt;"",A222=가족별!$B$1,G222&lt;&gt;""),COUNTIFS($A$2:A222,가족별!$B$1,$G$2:G222,"&gt;0"),"")</f>
        <v/>
      </c>
      <c r="I222">
        <f>IF(ISNUMBER(SEARCH("소계",B222)),COUNTIF($B$2:B222,"*소계*"),"")</f>
        <v/>
      </c>
      <c r="J222">
        <f>IF(F222="",0,1)</f>
        <v/>
      </c>
    </row>
    <row r="223">
      <c r="A223" s="41" t="n"/>
      <c r="B223" s="41" t="n"/>
      <c r="C223" s="24" t="n"/>
      <c r="D223" s="41" t="n"/>
      <c r="E223" s="41" t="n"/>
      <c r="F223" s="19">
        <f>IF(COUNTA(A223:E223)=0,"",IF(OR(ISNUMBER(SEARCH("소계",B223)),ISNUMBER(SEARCH("합계",B223))),"",TRIM(IF(B223="","이름 없음 ","")&amp;IF(A223="","받은 가족 없음 ","")&amp;IF(C223="","금액 없음 ",IF(ISNUMBER(C223),IF(C223&lt;1000,"금액 확인 ",""),"금액 확인 "))&amp;IF(AND(B223&lt;&gt;"",COUNTIFS($A$2:$A$1001,A223,$B$2:$B$1001,B223,$C$2:$C$1001,C223)&gt;1),"중복 의심",""))))</f>
        <v/>
      </c>
      <c r="G223" s="25">
        <f>IF(OR(COUNTA(A223:E223)=0,OR(ISNUMBER(SEARCH("소계",B223)),ISNUMBER(SEARCH("합계",B223)))),"",1+COUNTIF($B$1:B222,"*소계*"))</f>
        <v/>
      </c>
      <c r="H223">
        <f>IF(AND(A223&lt;&gt;"",A223=가족별!$B$1,G223&lt;&gt;""),COUNTIFS($A$2:A223,가족별!$B$1,$G$2:G223,"&gt;0"),"")</f>
        <v/>
      </c>
      <c r="I223">
        <f>IF(ISNUMBER(SEARCH("소계",B223)),COUNTIF($B$2:B223,"*소계*"),"")</f>
        <v/>
      </c>
      <c r="J223">
        <f>IF(F223="",0,1)</f>
        <v/>
      </c>
    </row>
    <row r="224">
      <c r="A224" s="41" t="n"/>
      <c r="B224" s="41" t="n"/>
      <c r="C224" s="24" t="n"/>
      <c r="D224" s="41" t="n"/>
      <c r="E224" s="41" t="n"/>
      <c r="F224" s="19">
        <f>IF(COUNTA(A224:E224)=0,"",IF(OR(ISNUMBER(SEARCH("소계",B224)),ISNUMBER(SEARCH("합계",B224))),"",TRIM(IF(B224="","이름 없음 ","")&amp;IF(A224="","받은 가족 없음 ","")&amp;IF(C224="","금액 없음 ",IF(ISNUMBER(C224),IF(C224&lt;1000,"금액 확인 ",""),"금액 확인 "))&amp;IF(AND(B224&lt;&gt;"",COUNTIFS($A$2:$A$1001,A224,$B$2:$B$1001,B224,$C$2:$C$1001,C224)&gt;1),"중복 의심",""))))</f>
        <v/>
      </c>
      <c r="G224" s="25">
        <f>IF(OR(COUNTA(A224:E224)=0,OR(ISNUMBER(SEARCH("소계",B224)),ISNUMBER(SEARCH("합계",B224)))),"",1+COUNTIF($B$1:B223,"*소계*"))</f>
        <v/>
      </c>
      <c r="H224">
        <f>IF(AND(A224&lt;&gt;"",A224=가족별!$B$1,G224&lt;&gt;""),COUNTIFS($A$2:A224,가족별!$B$1,$G$2:G224,"&gt;0"),"")</f>
        <v/>
      </c>
      <c r="I224">
        <f>IF(ISNUMBER(SEARCH("소계",B224)),COUNTIF($B$2:B224,"*소계*"),"")</f>
        <v/>
      </c>
      <c r="J224">
        <f>IF(F224="",0,1)</f>
        <v/>
      </c>
    </row>
    <row r="225">
      <c r="A225" s="41" t="n"/>
      <c r="B225" s="41" t="n"/>
      <c r="C225" s="24" t="n"/>
      <c r="D225" s="41" t="n"/>
      <c r="E225" s="41" t="n"/>
      <c r="F225" s="19">
        <f>IF(COUNTA(A225:E225)=0,"",IF(OR(ISNUMBER(SEARCH("소계",B225)),ISNUMBER(SEARCH("합계",B225))),"",TRIM(IF(B225="","이름 없음 ","")&amp;IF(A225="","받은 가족 없음 ","")&amp;IF(C225="","금액 없음 ",IF(ISNUMBER(C225),IF(C225&lt;1000,"금액 확인 ",""),"금액 확인 "))&amp;IF(AND(B225&lt;&gt;"",COUNTIFS($A$2:$A$1001,A225,$B$2:$B$1001,B225,$C$2:$C$1001,C225)&gt;1),"중복 의심",""))))</f>
        <v/>
      </c>
      <c r="G225" s="25">
        <f>IF(OR(COUNTA(A225:E225)=0,OR(ISNUMBER(SEARCH("소계",B225)),ISNUMBER(SEARCH("합계",B225)))),"",1+COUNTIF($B$1:B224,"*소계*"))</f>
        <v/>
      </c>
      <c r="H225">
        <f>IF(AND(A225&lt;&gt;"",A225=가족별!$B$1,G225&lt;&gt;""),COUNTIFS($A$2:A225,가족별!$B$1,$G$2:G225,"&gt;0"),"")</f>
        <v/>
      </c>
      <c r="I225">
        <f>IF(ISNUMBER(SEARCH("소계",B225)),COUNTIF($B$2:B225,"*소계*"),"")</f>
        <v/>
      </c>
      <c r="J225">
        <f>IF(F225="",0,1)</f>
        <v/>
      </c>
    </row>
    <row r="226">
      <c r="A226" s="41" t="n"/>
      <c r="B226" s="41" t="n"/>
      <c r="C226" s="24" t="n"/>
      <c r="D226" s="41" t="n"/>
      <c r="E226" s="41" t="n"/>
      <c r="F226" s="19">
        <f>IF(COUNTA(A226:E226)=0,"",IF(OR(ISNUMBER(SEARCH("소계",B226)),ISNUMBER(SEARCH("합계",B226))),"",TRIM(IF(B226="","이름 없음 ","")&amp;IF(A226="","받은 가족 없음 ","")&amp;IF(C226="","금액 없음 ",IF(ISNUMBER(C226),IF(C226&lt;1000,"금액 확인 ",""),"금액 확인 "))&amp;IF(AND(B226&lt;&gt;"",COUNTIFS($A$2:$A$1001,A226,$B$2:$B$1001,B226,$C$2:$C$1001,C226)&gt;1),"중복 의심",""))))</f>
        <v/>
      </c>
      <c r="G226" s="25">
        <f>IF(OR(COUNTA(A226:E226)=0,OR(ISNUMBER(SEARCH("소계",B226)),ISNUMBER(SEARCH("합계",B226)))),"",1+COUNTIF($B$1:B225,"*소계*"))</f>
        <v/>
      </c>
      <c r="H226">
        <f>IF(AND(A226&lt;&gt;"",A226=가족별!$B$1,G226&lt;&gt;""),COUNTIFS($A$2:A226,가족별!$B$1,$G$2:G226,"&gt;0"),"")</f>
        <v/>
      </c>
      <c r="I226">
        <f>IF(ISNUMBER(SEARCH("소계",B226)),COUNTIF($B$2:B226,"*소계*"),"")</f>
        <v/>
      </c>
      <c r="J226">
        <f>IF(F226="",0,1)</f>
        <v/>
      </c>
    </row>
    <row r="227">
      <c r="A227" s="41" t="n"/>
      <c r="B227" s="41" t="n"/>
      <c r="C227" s="24" t="n"/>
      <c r="D227" s="41" t="n"/>
      <c r="E227" s="41" t="n"/>
      <c r="F227" s="19">
        <f>IF(COUNTA(A227:E227)=0,"",IF(OR(ISNUMBER(SEARCH("소계",B227)),ISNUMBER(SEARCH("합계",B227))),"",TRIM(IF(B227="","이름 없음 ","")&amp;IF(A227="","받은 가족 없음 ","")&amp;IF(C227="","금액 없음 ",IF(ISNUMBER(C227),IF(C227&lt;1000,"금액 확인 ",""),"금액 확인 "))&amp;IF(AND(B227&lt;&gt;"",COUNTIFS($A$2:$A$1001,A227,$B$2:$B$1001,B227,$C$2:$C$1001,C227)&gt;1),"중복 의심",""))))</f>
        <v/>
      </c>
      <c r="G227" s="25">
        <f>IF(OR(COUNTA(A227:E227)=0,OR(ISNUMBER(SEARCH("소계",B227)),ISNUMBER(SEARCH("합계",B227)))),"",1+COUNTIF($B$1:B226,"*소계*"))</f>
        <v/>
      </c>
      <c r="H227">
        <f>IF(AND(A227&lt;&gt;"",A227=가족별!$B$1,G227&lt;&gt;""),COUNTIFS($A$2:A227,가족별!$B$1,$G$2:G227,"&gt;0"),"")</f>
        <v/>
      </c>
      <c r="I227">
        <f>IF(ISNUMBER(SEARCH("소계",B227)),COUNTIF($B$2:B227,"*소계*"),"")</f>
        <v/>
      </c>
      <c r="J227">
        <f>IF(F227="",0,1)</f>
        <v/>
      </c>
    </row>
    <row r="228">
      <c r="A228" s="41" t="n"/>
      <c r="B228" s="41" t="n"/>
      <c r="C228" s="24" t="n"/>
      <c r="D228" s="41" t="n"/>
      <c r="E228" s="41" t="n"/>
      <c r="F228" s="19">
        <f>IF(COUNTA(A228:E228)=0,"",IF(OR(ISNUMBER(SEARCH("소계",B228)),ISNUMBER(SEARCH("합계",B228))),"",TRIM(IF(B228="","이름 없음 ","")&amp;IF(A228="","받은 가족 없음 ","")&amp;IF(C228="","금액 없음 ",IF(ISNUMBER(C228),IF(C228&lt;1000,"금액 확인 ",""),"금액 확인 "))&amp;IF(AND(B228&lt;&gt;"",COUNTIFS($A$2:$A$1001,A228,$B$2:$B$1001,B228,$C$2:$C$1001,C228)&gt;1),"중복 의심",""))))</f>
        <v/>
      </c>
      <c r="G228" s="25">
        <f>IF(OR(COUNTA(A228:E228)=0,OR(ISNUMBER(SEARCH("소계",B228)),ISNUMBER(SEARCH("합계",B228)))),"",1+COUNTIF($B$1:B227,"*소계*"))</f>
        <v/>
      </c>
      <c r="H228">
        <f>IF(AND(A228&lt;&gt;"",A228=가족별!$B$1,G228&lt;&gt;""),COUNTIFS($A$2:A228,가족별!$B$1,$G$2:G228,"&gt;0"),"")</f>
        <v/>
      </c>
      <c r="I228">
        <f>IF(ISNUMBER(SEARCH("소계",B228)),COUNTIF($B$2:B228,"*소계*"),"")</f>
        <v/>
      </c>
      <c r="J228">
        <f>IF(F228="",0,1)</f>
        <v/>
      </c>
    </row>
    <row r="229">
      <c r="A229" s="41" t="n"/>
      <c r="B229" s="41" t="n"/>
      <c r="C229" s="24" t="n"/>
      <c r="D229" s="41" t="n"/>
      <c r="E229" s="41" t="n"/>
      <c r="F229" s="19">
        <f>IF(COUNTA(A229:E229)=0,"",IF(OR(ISNUMBER(SEARCH("소계",B229)),ISNUMBER(SEARCH("합계",B229))),"",TRIM(IF(B229="","이름 없음 ","")&amp;IF(A229="","받은 가족 없음 ","")&amp;IF(C229="","금액 없음 ",IF(ISNUMBER(C229),IF(C229&lt;1000,"금액 확인 ",""),"금액 확인 "))&amp;IF(AND(B229&lt;&gt;"",COUNTIFS($A$2:$A$1001,A229,$B$2:$B$1001,B229,$C$2:$C$1001,C229)&gt;1),"중복 의심",""))))</f>
        <v/>
      </c>
      <c r="G229" s="25">
        <f>IF(OR(COUNTA(A229:E229)=0,OR(ISNUMBER(SEARCH("소계",B229)),ISNUMBER(SEARCH("합계",B229)))),"",1+COUNTIF($B$1:B228,"*소계*"))</f>
        <v/>
      </c>
      <c r="H229">
        <f>IF(AND(A229&lt;&gt;"",A229=가족별!$B$1,G229&lt;&gt;""),COUNTIFS($A$2:A229,가족별!$B$1,$G$2:G229,"&gt;0"),"")</f>
        <v/>
      </c>
      <c r="I229">
        <f>IF(ISNUMBER(SEARCH("소계",B229)),COUNTIF($B$2:B229,"*소계*"),"")</f>
        <v/>
      </c>
      <c r="J229">
        <f>IF(F229="",0,1)</f>
        <v/>
      </c>
    </row>
    <row r="230">
      <c r="A230" s="41" t="n"/>
      <c r="B230" s="41" t="n"/>
      <c r="C230" s="24" t="n"/>
      <c r="D230" s="41" t="n"/>
      <c r="E230" s="41" t="n"/>
      <c r="F230" s="19">
        <f>IF(COUNTA(A230:E230)=0,"",IF(OR(ISNUMBER(SEARCH("소계",B230)),ISNUMBER(SEARCH("합계",B230))),"",TRIM(IF(B230="","이름 없음 ","")&amp;IF(A230="","받은 가족 없음 ","")&amp;IF(C230="","금액 없음 ",IF(ISNUMBER(C230),IF(C230&lt;1000,"금액 확인 ",""),"금액 확인 "))&amp;IF(AND(B230&lt;&gt;"",COUNTIFS($A$2:$A$1001,A230,$B$2:$B$1001,B230,$C$2:$C$1001,C230)&gt;1),"중복 의심",""))))</f>
        <v/>
      </c>
      <c r="G230" s="25">
        <f>IF(OR(COUNTA(A230:E230)=0,OR(ISNUMBER(SEARCH("소계",B230)),ISNUMBER(SEARCH("합계",B230)))),"",1+COUNTIF($B$1:B229,"*소계*"))</f>
        <v/>
      </c>
      <c r="H230">
        <f>IF(AND(A230&lt;&gt;"",A230=가족별!$B$1,G230&lt;&gt;""),COUNTIFS($A$2:A230,가족별!$B$1,$G$2:G230,"&gt;0"),"")</f>
        <v/>
      </c>
      <c r="I230">
        <f>IF(ISNUMBER(SEARCH("소계",B230)),COUNTIF($B$2:B230,"*소계*"),"")</f>
        <v/>
      </c>
      <c r="J230">
        <f>IF(F230="",0,1)</f>
        <v/>
      </c>
    </row>
    <row r="231">
      <c r="A231" s="41" t="n"/>
      <c r="B231" s="41" t="n"/>
      <c r="C231" s="24" t="n"/>
      <c r="D231" s="41" t="n"/>
      <c r="E231" s="41" t="n"/>
      <c r="F231" s="19">
        <f>IF(COUNTA(A231:E231)=0,"",IF(OR(ISNUMBER(SEARCH("소계",B231)),ISNUMBER(SEARCH("합계",B231))),"",TRIM(IF(B231="","이름 없음 ","")&amp;IF(A231="","받은 가족 없음 ","")&amp;IF(C231="","금액 없음 ",IF(ISNUMBER(C231),IF(C231&lt;1000,"금액 확인 ",""),"금액 확인 "))&amp;IF(AND(B231&lt;&gt;"",COUNTIFS($A$2:$A$1001,A231,$B$2:$B$1001,B231,$C$2:$C$1001,C231)&gt;1),"중복 의심",""))))</f>
        <v/>
      </c>
      <c r="G231" s="25">
        <f>IF(OR(COUNTA(A231:E231)=0,OR(ISNUMBER(SEARCH("소계",B231)),ISNUMBER(SEARCH("합계",B231)))),"",1+COUNTIF($B$1:B230,"*소계*"))</f>
        <v/>
      </c>
      <c r="H231">
        <f>IF(AND(A231&lt;&gt;"",A231=가족별!$B$1,G231&lt;&gt;""),COUNTIFS($A$2:A231,가족별!$B$1,$G$2:G231,"&gt;0"),"")</f>
        <v/>
      </c>
      <c r="I231">
        <f>IF(ISNUMBER(SEARCH("소계",B231)),COUNTIF($B$2:B231,"*소계*"),"")</f>
        <v/>
      </c>
      <c r="J231">
        <f>IF(F231="",0,1)</f>
        <v/>
      </c>
    </row>
    <row r="232">
      <c r="A232" s="41" t="n"/>
      <c r="B232" s="41" t="n"/>
      <c r="C232" s="24" t="n"/>
      <c r="D232" s="41" t="n"/>
      <c r="E232" s="41" t="n"/>
      <c r="F232" s="19">
        <f>IF(COUNTA(A232:E232)=0,"",IF(OR(ISNUMBER(SEARCH("소계",B232)),ISNUMBER(SEARCH("합계",B232))),"",TRIM(IF(B232="","이름 없음 ","")&amp;IF(A232="","받은 가족 없음 ","")&amp;IF(C232="","금액 없음 ",IF(ISNUMBER(C232),IF(C232&lt;1000,"금액 확인 ",""),"금액 확인 "))&amp;IF(AND(B232&lt;&gt;"",COUNTIFS($A$2:$A$1001,A232,$B$2:$B$1001,B232,$C$2:$C$1001,C232)&gt;1),"중복 의심",""))))</f>
        <v/>
      </c>
      <c r="G232" s="25">
        <f>IF(OR(COUNTA(A232:E232)=0,OR(ISNUMBER(SEARCH("소계",B232)),ISNUMBER(SEARCH("합계",B232)))),"",1+COUNTIF($B$1:B231,"*소계*"))</f>
        <v/>
      </c>
      <c r="H232">
        <f>IF(AND(A232&lt;&gt;"",A232=가족별!$B$1,G232&lt;&gt;""),COUNTIFS($A$2:A232,가족별!$B$1,$G$2:G232,"&gt;0"),"")</f>
        <v/>
      </c>
      <c r="I232">
        <f>IF(ISNUMBER(SEARCH("소계",B232)),COUNTIF($B$2:B232,"*소계*"),"")</f>
        <v/>
      </c>
      <c r="J232">
        <f>IF(F232="",0,1)</f>
        <v/>
      </c>
    </row>
    <row r="233">
      <c r="A233" s="41" t="n"/>
      <c r="B233" s="41" t="n"/>
      <c r="C233" s="24" t="n"/>
      <c r="D233" s="41" t="n"/>
      <c r="E233" s="41" t="n"/>
      <c r="F233" s="19">
        <f>IF(COUNTA(A233:E233)=0,"",IF(OR(ISNUMBER(SEARCH("소계",B233)),ISNUMBER(SEARCH("합계",B233))),"",TRIM(IF(B233="","이름 없음 ","")&amp;IF(A233="","받은 가족 없음 ","")&amp;IF(C233="","금액 없음 ",IF(ISNUMBER(C233),IF(C233&lt;1000,"금액 확인 ",""),"금액 확인 "))&amp;IF(AND(B233&lt;&gt;"",COUNTIFS($A$2:$A$1001,A233,$B$2:$B$1001,B233,$C$2:$C$1001,C233)&gt;1),"중복 의심",""))))</f>
        <v/>
      </c>
      <c r="G233" s="25">
        <f>IF(OR(COUNTA(A233:E233)=0,OR(ISNUMBER(SEARCH("소계",B233)),ISNUMBER(SEARCH("합계",B233)))),"",1+COUNTIF($B$1:B232,"*소계*"))</f>
        <v/>
      </c>
      <c r="H233">
        <f>IF(AND(A233&lt;&gt;"",A233=가족별!$B$1,G233&lt;&gt;""),COUNTIFS($A$2:A233,가족별!$B$1,$G$2:G233,"&gt;0"),"")</f>
        <v/>
      </c>
      <c r="I233">
        <f>IF(ISNUMBER(SEARCH("소계",B233)),COUNTIF($B$2:B233,"*소계*"),"")</f>
        <v/>
      </c>
      <c r="J233">
        <f>IF(F233="",0,1)</f>
        <v/>
      </c>
    </row>
    <row r="234">
      <c r="A234" s="41" t="n"/>
      <c r="B234" s="41" t="n"/>
      <c r="C234" s="24" t="n"/>
      <c r="D234" s="41" t="n"/>
      <c r="E234" s="41" t="n"/>
      <c r="F234" s="19">
        <f>IF(COUNTA(A234:E234)=0,"",IF(OR(ISNUMBER(SEARCH("소계",B234)),ISNUMBER(SEARCH("합계",B234))),"",TRIM(IF(B234="","이름 없음 ","")&amp;IF(A234="","받은 가족 없음 ","")&amp;IF(C234="","금액 없음 ",IF(ISNUMBER(C234),IF(C234&lt;1000,"금액 확인 ",""),"금액 확인 "))&amp;IF(AND(B234&lt;&gt;"",COUNTIFS($A$2:$A$1001,A234,$B$2:$B$1001,B234,$C$2:$C$1001,C234)&gt;1),"중복 의심",""))))</f>
        <v/>
      </c>
      <c r="G234" s="25">
        <f>IF(OR(COUNTA(A234:E234)=0,OR(ISNUMBER(SEARCH("소계",B234)),ISNUMBER(SEARCH("합계",B234)))),"",1+COUNTIF($B$1:B233,"*소계*"))</f>
        <v/>
      </c>
      <c r="H234">
        <f>IF(AND(A234&lt;&gt;"",A234=가족별!$B$1,G234&lt;&gt;""),COUNTIFS($A$2:A234,가족별!$B$1,$G$2:G234,"&gt;0"),"")</f>
        <v/>
      </c>
      <c r="I234">
        <f>IF(ISNUMBER(SEARCH("소계",B234)),COUNTIF($B$2:B234,"*소계*"),"")</f>
        <v/>
      </c>
      <c r="J234">
        <f>IF(F234="",0,1)</f>
        <v/>
      </c>
    </row>
    <row r="235">
      <c r="A235" s="41" t="n"/>
      <c r="B235" s="41" t="n"/>
      <c r="C235" s="24" t="n"/>
      <c r="D235" s="41" t="n"/>
      <c r="E235" s="41" t="n"/>
      <c r="F235" s="19">
        <f>IF(COUNTA(A235:E235)=0,"",IF(OR(ISNUMBER(SEARCH("소계",B235)),ISNUMBER(SEARCH("합계",B235))),"",TRIM(IF(B235="","이름 없음 ","")&amp;IF(A235="","받은 가족 없음 ","")&amp;IF(C235="","금액 없음 ",IF(ISNUMBER(C235),IF(C235&lt;1000,"금액 확인 ",""),"금액 확인 "))&amp;IF(AND(B235&lt;&gt;"",COUNTIFS($A$2:$A$1001,A235,$B$2:$B$1001,B235,$C$2:$C$1001,C235)&gt;1),"중복 의심",""))))</f>
        <v/>
      </c>
      <c r="G235" s="25">
        <f>IF(OR(COUNTA(A235:E235)=0,OR(ISNUMBER(SEARCH("소계",B235)),ISNUMBER(SEARCH("합계",B235)))),"",1+COUNTIF($B$1:B234,"*소계*"))</f>
        <v/>
      </c>
      <c r="H235">
        <f>IF(AND(A235&lt;&gt;"",A235=가족별!$B$1,G235&lt;&gt;""),COUNTIFS($A$2:A235,가족별!$B$1,$G$2:G235,"&gt;0"),"")</f>
        <v/>
      </c>
      <c r="I235">
        <f>IF(ISNUMBER(SEARCH("소계",B235)),COUNTIF($B$2:B235,"*소계*"),"")</f>
        <v/>
      </c>
      <c r="J235">
        <f>IF(F235="",0,1)</f>
        <v/>
      </c>
    </row>
    <row r="236">
      <c r="A236" s="41" t="n"/>
      <c r="B236" s="41" t="n"/>
      <c r="C236" s="24" t="n"/>
      <c r="D236" s="41" t="n"/>
      <c r="E236" s="41" t="n"/>
      <c r="F236" s="19">
        <f>IF(COUNTA(A236:E236)=0,"",IF(OR(ISNUMBER(SEARCH("소계",B236)),ISNUMBER(SEARCH("합계",B236))),"",TRIM(IF(B236="","이름 없음 ","")&amp;IF(A236="","받은 가족 없음 ","")&amp;IF(C236="","금액 없음 ",IF(ISNUMBER(C236),IF(C236&lt;1000,"금액 확인 ",""),"금액 확인 "))&amp;IF(AND(B236&lt;&gt;"",COUNTIFS($A$2:$A$1001,A236,$B$2:$B$1001,B236,$C$2:$C$1001,C236)&gt;1),"중복 의심",""))))</f>
        <v/>
      </c>
      <c r="G236" s="25">
        <f>IF(OR(COUNTA(A236:E236)=0,OR(ISNUMBER(SEARCH("소계",B236)),ISNUMBER(SEARCH("합계",B236)))),"",1+COUNTIF($B$1:B235,"*소계*"))</f>
        <v/>
      </c>
      <c r="H236">
        <f>IF(AND(A236&lt;&gt;"",A236=가족별!$B$1,G236&lt;&gt;""),COUNTIFS($A$2:A236,가족별!$B$1,$G$2:G236,"&gt;0"),"")</f>
        <v/>
      </c>
      <c r="I236">
        <f>IF(ISNUMBER(SEARCH("소계",B236)),COUNTIF($B$2:B236,"*소계*"),"")</f>
        <v/>
      </c>
      <c r="J236">
        <f>IF(F236="",0,1)</f>
        <v/>
      </c>
    </row>
    <row r="237">
      <c r="A237" s="41" t="n"/>
      <c r="B237" s="41" t="n"/>
      <c r="C237" s="24" t="n"/>
      <c r="D237" s="41" t="n"/>
      <c r="E237" s="41" t="n"/>
      <c r="F237" s="19">
        <f>IF(COUNTA(A237:E237)=0,"",IF(OR(ISNUMBER(SEARCH("소계",B237)),ISNUMBER(SEARCH("합계",B237))),"",TRIM(IF(B237="","이름 없음 ","")&amp;IF(A237="","받은 가족 없음 ","")&amp;IF(C237="","금액 없음 ",IF(ISNUMBER(C237),IF(C237&lt;1000,"금액 확인 ",""),"금액 확인 "))&amp;IF(AND(B237&lt;&gt;"",COUNTIFS($A$2:$A$1001,A237,$B$2:$B$1001,B237,$C$2:$C$1001,C237)&gt;1),"중복 의심",""))))</f>
        <v/>
      </c>
      <c r="G237" s="25">
        <f>IF(OR(COUNTA(A237:E237)=0,OR(ISNUMBER(SEARCH("소계",B237)),ISNUMBER(SEARCH("합계",B237)))),"",1+COUNTIF($B$1:B236,"*소계*"))</f>
        <v/>
      </c>
      <c r="H237">
        <f>IF(AND(A237&lt;&gt;"",A237=가족별!$B$1,G237&lt;&gt;""),COUNTIFS($A$2:A237,가족별!$B$1,$G$2:G237,"&gt;0"),"")</f>
        <v/>
      </c>
      <c r="I237">
        <f>IF(ISNUMBER(SEARCH("소계",B237)),COUNTIF($B$2:B237,"*소계*"),"")</f>
        <v/>
      </c>
      <c r="J237">
        <f>IF(F237="",0,1)</f>
        <v/>
      </c>
    </row>
    <row r="238">
      <c r="A238" s="41" t="n"/>
      <c r="B238" s="41" t="n"/>
      <c r="C238" s="24" t="n"/>
      <c r="D238" s="41" t="n"/>
      <c r="E238" s="41" t="n"/>
      <c r="F238" s="19">
        <f>IF(COUNTA(A238:E238)=0,"",IF(OR(ISNUMBER(SEARCH("소계",B238)),ISNUMBER(SEARCH("합계",B238))),"",TRIM(IF(B238="","이름 없음 ","")&amp;IF(A238="","받은 가족 없음 ","")&amp;IF(C238="","금액 없음 ",IF(ISNUMBER(C238),IF(C238&lt;1000,"금액 확인 ",""),"금액 확인 "))&amp;IF(AND(B238&lt;&gt;"",COUNTIFS($A$2:$A$1001,A238,$B$2:$B$1001,B238,$C$2:$C$1001,C238)&gt;1),"중복 의심",""))))</f>
        <v/>
      </c>
      <c r="G238" s="25">
        <f>IF(OR(COUNTA(A238:E238)=0,OR(ISNUMBER(SEARCH("소계",B238)),ISNUMBER(SEARCH("합계",B238)))),"",1+COUNTIF($B$1:B237,"*소계*"))</f>
        <v/>
      </c>
      <c r="H238">
        <f>IF(AND(A238&lt;&gt;"",A238=가족별!$B$1,G238&lt;&gt;""),COUNTIFS($A$2:A238,가족별!$B$1,$G$2:G238,"&gt;0"),"")</f>
        <v/>
      </c>
      <c r="I238">
        <f>IF(ISNUMBER(SEARCH("소계",B238)),COUNTIF($B$2:B238,"*소계*"),"")</f>
        <v/>
      </c>
      <c r="J238">
        <f>IF(F238="",0,1)</f>
        <v/>
      </c>
    </row>
    <row r="239">
      <c r="A239" s="41" t="n"/>
      <c r="B239" s="41" t="n"/>
      <c r="C239" s="24" t="n"/>
      <c r="D239" s="41" t="n"/>
      <c r="E239" s="41" t="n"/>
      <c r="F239" s="19">
        <f>IF(COUNTA(A239:E239)=0,"",IF(OR(ISNUMBER(SEARCH("소계",B239)),ISNUMBER(SEARCH("합계",B239))),"",TRIM(IF(B239="","이름 없음 ","")&amp;IF(A239="","받은 가족 없음 ","")&amp;IF(C239="","금액 없음 ",IF(ISNUMBER(C239),IF(C239&lt;1000,"금액 확인 ",""),"금액 확인 "))&amp;IF(AND(B239&lt;&gt;"",COUNTIFS($A$2:$A$1001,A239,$B$2:$B$1001,B239,$C$2:$C$1001,C239)&gt;1),"중복 의심",""))))</f>
        <v/>
      </c>
      <c r="G239" s="25">
        <f>IF(OR(COUNTA(A239:E239)=0,OR(ISNUMBER(SEARCH("소계",B239)),ISNUMBER(SEARCH("합계",B239)))),"",1+COUNTIF($B$1:B238,"*소계*"))</f>
        <v/>
      </c>
      <c r="H239">
        <f>IF(AND(A239&lt;&gt;"",A239=가족별!$B$1,G239&lt;&gt;""),COUNTIFS($A$2:A239,가족별!$B$1,$G$2:G239,"&gt;0"),"")</f>
        <v/>
      </c>
      <c r="I239">
        <f>IF(ISNUMBER(SEARCH("소계",B239)),COUNTIF($B$2:B239,"*소계*"),"")</f>
        <v/>
      </c>
      <c r="J239">
        <f>IF(F239="",0,1)</f>
        <v/>
      </c>
    </row>
    <row r="240">
      <c r="A240" s="41" t="n"/>
      <c r="B240" s="41" t="n"/>
      <c r="C240" s="24" t="n"/>
      <c r="D240" s="41" t="n"/>
      <c r="E240" s="41" t="n"/>
      <c r="F240" s="19">
        <f>IF(COUNTA(A240:E240)=0,"",IF(OR(ISNUMBER(SEARCH("소계",B240)),ISNUMBER(SEARCH("합계",B240))),"",TRIM(IF(B240="","이름 없음 ","")&amp;IF(A240="","받은 가족 없음 ","")&amp;IF(C240="","금액 없음 ",IF(ISNUMBER(C240),IF(C240&lt;1000,"금액 확인 ",""),"금액 확인 "))&amp;IF(AND(B240&lt;&gt;"",COUNTIFS($A$2:$A$1001,A240,$B$2:$B$1001,B240,$C$2:$C$1001,C240)&gt;1),"중복 의심",""))))</f>
        <v/>
      </c>
      <c r="G240" s="25">
        <f>IF(OR(COUNTA(A240:E240)=0,OR(ISNUMBER(SEARCH("소계",B240)),ISNUMBER(SEARCH("합계",B240)))),"",1+COUNTIF($B$1:B239,"*소계*"))</f>
        <v/>
      </c>
      <c r="H240">
        <f>IF(AND(A240&lt;&gt;"",A240=가족별!$B$1,G240&lt;&gt;""),COUNTIFS($A$2:A240,가족별!$B$1,$G$2:G240,"&gt;0"),"")</f>
        <v/>
      </c>
      <c r="I240">
        <f>IF(ISNUMBER(SEARCH("소계",B240)),COUNTIF($B$2:B240,"*소계*"),"")</f>
        <v/>
      </c>
      <c r="J240">
        <f>IF(F240="",0,1)</f>
        <v/>
      </c>
    </row>
    <row r="241">
      <c r="A241" s="41" t="n"/>
      <c r="B241" s="41" t="n"/>
      <c r="C241" s="24" t="n"/>
      <c r="D241" s="41" t="n"/>
      <c r="E241" s="41" t="n"/>
      <c r="F241" s="19">
        <f>IF(COUNTA(A241:E241)=0,"",IF(OR(ISNUMBER(SEARCH("소계",B241)),ISNUMBER(SEARCH("합계",B241))),"",TRIM(IF(B241="","이름 없음 ","")&amp;IF(A241="","받은 가족 없음 ","")&amp;IF(C241="","금액 없음 ",IF(ISNUMBER(C241),IF(C241&lt;1000,"금액 확인 ",""),"금액 확인 "))&amp;IF(AND(B241&lt;&gt;"",COUNTIFS($A$2:$A$1001,A241,$B$2:$B$1001,B241,$C$2:$C$1001,C241)&gt;1),"중복 의심",""))))</f>
        <v/>
      </c>
      <c r="G241" s="25">
        <f>IF(OR(COUNTA(A241:E241)=0,OR(ISNUMBER(SEARCH("소계",B241)),ISNUMBER(SEARCH("합계",B241)))),"",1+COUNTIF($B$1:B240,"*소계*"))</f>
        <v/>
      </c>
      <c r="H241">
        <f>IF(AND(A241&lt;&gt;"",A241=가족별!$B$1,G241&lt;&gt;""),COUNTIFS($A$2:A241,가족별!$B$1,$G$2:G241,"&gt;0"),"")</f>
        <v/>
      </c>
      <c r="I241">
        <f>IF(ISNUMBER(SEARCH("소계",B241)),COUNTIF($B$2:B241,"*소계*"),"")</f>
        <v/>
      </c>
      <c r="J241">
        <f>IF(F241="",0,1)</f>
        <v/>
      </c>
    </row>
    <row r="242">
      <c r="A242" s="41" t="n"/>
      <c r="B242" s="41" t="n"/>
      <c r="C242" s="24" t="n"/>
      <c r="D242" s="41" t="n"/>
      <c r="E242" s="41" t="n"/>
      <c r="F242" s="19">
        <f>IF(COUNTA(A242:E242)=0,"",IF(OR(ISNUMBER(SEARCH("소계",B242)),ISNUMBER(SEARCH("합계",B242))),"",TRIM(IF(B242="","이름 없음 ","")&amp;IF(A242="","받은 가족 없음 ","")&amp;IF(C242="","금액 없음 ",IF(ISNUMBER(C242),IF(C242&lt;1000,"금액 확인 ",""),"금액 확인 "))&amp;IF(AND(B242&lt;&gt;"",COUNTIFS($A$2:$A$1001,A242,$B$2:$B$1001,B242,$C$2:$C$1001,C242)&gt;1),"중복 의심",""))))</f>
        <v/>
      </c>
      <c r="G242" s="25">
        <f>IF(OR(COUNTA(A242:E242)=0,OR(ISNUMBER(SEARCH("소계",B242)),ISNUMBER(SEARCH("합계",B242)))),"",1+COUNTIF($B$1:B241,"*소계*"))</f>
        <v/>
      </c>
      <c r="H242">
        <f>IF(AND(A242&lt;&gt;"",A242=가족별!$B$1,G242&lt;&gt;""),COUNTIFS($A$2:A242,가족별!$B$1,$G$2:G242,"&gt;0"),"")</f>
        <v/>
      </c>
      <c r="I242">
        <f>IF(ISNUMBER(SEARCH("소계",B242)),COUNTIF($B$2:B242,"*소계*"),"")</f>
        <v/>
      </c>
      <c r="J242">
        <f>IF(F242="",0,1)</f>
        <v/>
      </c>
    </row>
    <row r="243">
      <c r="A243" s="41" t="n"/>
      <c r="B243" s="41" t="n"/>
      <c r="C243" s="24" t="n"/>
      <c r="D243" s="41" t="n"/>
      <c r="E243" s="41" t="n"/>
      <c r="F243" s="19">
        <f>IF(COUNTA(A243:E243)=0,"",IF(OR(ISNUMBER(SEARCH("소계",B243)),ISNUMBER(SEARCH("합계",B243))),"",TRIM(IF(B243="","이름 없음 ","")&amp;IF(A243="","받은 가족 없음 ","")&amp;IF(C243="","금액 없음 ",IF(ISNUMBER(C243),IF(C243&lt;1000,"금액 확인 ",""),"금액 확인 "))&amp;IF(AND(B243&lt;&gt;"",COUNTIFS($A$2:$A$1001,A243,$B$2:$B$1001,B243,$C$2:$C$1001,C243)&gt;1),"중복 의심",""))))</f>
        <v/>
      </c>
      <c r="G243" s="25">
        <f>IF(OR(COUNTA(A243:E243)=0,OR(ISNUMBER(SEARCH("소계",B243)),ISNUMBER(SEARCH("합계",B243)))),"",1+COUNTIF($B$1:B242,"*소계*"))</f>
        <v/>
      </c>
      <c r="H243">
        <f>IF(AND(A243&lt;&gt;"",A243=가족별!$B$1,G243&lt;&gt;""),COUNTIFS($A$2:A243,가족별!$B$1,$G$2:G243,"&gt;0"),"")</f>
        <v/>
      </c>
      <c r="I243">
        <f>IF(ISNUMBER(SEARCH("소계",B243)),COUNTIF($B$2:B243,"*소계*"),"")</f>
        <v/>
      </c>
      <c r="J243">
        <f>IF(F243="",0,1)</f>
        <v/>
      </c>
    </row>
    <row r="244">
      <c r="A244" s="41" t="n"/>
      <c r="B244" s="41" t="n"/>
      <c r="C244" s="24" t="n"/>
      <c r="D244" s="41" t="n"/>
      <c r="E244" s="41" t="n"/>
      <c r="F244" s="19">
        <f>IF(COUNTA(A244:E244)=0,"",IF(OR(ISNUMBER(SEARCH("소계",B244)),ISNUMBER(SEARCH("합계",B244))),"",TRIM(IF(B244="","이름 없음 ","")&amp;IF(A244="","받은 가족 없음 ","")&amp;IF(C244="","금액 없음 ",IF(ISNUMBER(C244),IF(C244&lt;1000,"금액 확인 ",""),"금액 확인 "))&amp;IF(AND(B244&lt;&gt;"",COUNTIFS($A$2:$A$1001,A244,$B$2:$B$1001,B244,$C$2:$C$1001,C244)&gt;1),"중복 의심",""))))</f>
        <v/>
      </c>
      <c r="G244" s="25">
        <f>IF(OR(COUNTA(A244:E244)=0,OR(ISNUMBER(SEARCH("소계",B244)),ISNUMBER(SEARCH("합계",B244)))),"",1+COUNTIF($B$1:B243,"*소계*"))</f>
        <v/>
      </c>
      <c r="H244">
        <f>IF(AND(A244&lt;&gt;"",A244=가족별!$B$1,G244&lt;&gt;""),COUNTIFS($A$2:A244,가족별!$B$1,$G$2:G244,"&gt;0"),"")</f>
        <v/>
      </c>
      <c r="I244">
        <f>IF(ISNUMBER(SEARCH("소계",B244)),COUNTIF($B$2:B244,"*소계*"),"")</f>
        <v/>
      </c>
      <c r="J244">
        <f>IF(F244="",0,1)</f>
        <v/>
      </c>
    </row>
    <row r="245">
      <c r="A245" s="41" t="n"/>
      <c r="B245" s="41" t="n"/>
      <c r="C245" s="24" t="n"/>
      <c r="D245" s="41" t="n"/>
      <c r="E245" s="41" t="n"/>
      <c r="F245" s="19">
        <f>IF(COUNTA(A245:E245)=0,"",IF(OR(ISNUMBER(SEARCH("소계",B245)),ISNUMBER(SEARCH("합계",B245))),"",TRIM(IF(B245="","이름 없음 ","")&amp;IF(A245="","받은 가족 없음 ","")&amp;IF(C245="","금액 없음 ",IF(ISNUMBER(C245),IF(C245&lt;1000,"금액 확인 ",""),"금액 확인 "))&amp;IF(AND(B245&lt;&gt;"",COUNTIFS($A$2:$A$1001,A245,$B$2:$B$1001,B245,$C$2:$C$1001,C245)&gt;1),"중복 의심",""))))</f>
        <v/>
      </c>
      <c r="G245" s="25">
        <f>IF(OR(COUNTA(A245:E245)=0,OR(ISNUMBER(SEARCH("소계",B245)),ISNUMBER(SEARCH("합계",B245)))),"",1+COUNTIF($B$1:B244,"*소계*"))</f>
        <v/>
      </c>
      <c r="H245">
        <f>IF(AND(A245&lt;&gt;"",A245=가족별!$B$1,G245&lt;&gt;""),COUNTIFS($A$2:A245,가족별!$B$1,$G$2:G245,"&gt;0"),"")</f>
        <v/>
      </c>
      <c r="I245">
        <f>IF(ISNUMBER(SEARCH("소계",B245)),COUNTIF($B$2:B245,"*소계*"),"")</f>
        <v/>
      </c>
      <c r="J245">
        <f>IF(F245="",0,1)</f>
        <v/>
      </c>
    </row>
    <row r="246">
      <c r="A246" s="41" t="n"/>
      <c r="B246" s="41" t="n"/>
      <c r="C246" s="24" t="n"/>
      <c r="D246" s="41" t="n"/>
      <c r="E246" s="41" t="n"/>
      <c r="F246" s="19">
        <f>IF(COUNTA(A246:E246)=0,"",IF(OR(ISNUMBER(SEARCH("소계",B246)),ISNUMBER(SEARCH("합계",B246))),"",TRIM(IF(B246="","이름 없음 ","")&amp;IF(A246="","받은 가족 없음 ","")&amp;IF(C246="","금액 없음 ",IF(ISNUMBER(C246),IF(C246&lt;1000,"금액 확인 ",""),"금액 확인 "))&amp;IF(AND(B246&lt;&gt;"",COUNTIFS($A$2:$A$1001,A246,$B$2:$B$1001,B246,$C$2:$C$1001,C246)&gt;1),"중복 의심",""))))</f>
        <v/>
      </c>
      <c r="G246" s="25">
        <f>IF(OR(COUNTA(A246:E246)=0,OR(ISNUMBER(SEARCH("소계",B246)),ISNUMBER(SEARCH("합계",B246)))),"",1+COUNTIF($B$1:B245,"*소계*"))</f>
        <v/>
      </c>
      <c r="H246">
        <f>IF(AND(A246&lt;&gt;"",A246=가족별!$B$1,G246&lt;&gt;""),COUNTIFS($A$2:A246,가족별!$B$1,$G$2:G246,"&gt;0"),"")</f>
        <v/>
      </c>
      <c r="I246">
        <f>IF(ISNUMBER(SEARCH("소계",B246)),COUNTIF($B$2:B246,"*소계*"),"")</f>
        <v/>
      </c>
      <c r="J246">
        <f>IF(F246="",0,1)</f>
        <v/>
      </c>
    </row>
    <row r="247">
      <c r="A247" s="41" t="n"/>
      <c r="B247" s="41" t="n"/>
      <c r="C247" s="24" t="n"/>
      <c r="D247" s="41" t="n"/>
      <c r="E247" s="41" t="n"/>
      <c r="F247" s="19">
        <f>IF(COUNTA(A247:E247)=0,"",IF(OR(ISNUMBER(SEARCH("소계",B247)),ISNUMBER(SEARCH("합계",B247))),"",TRIM(IF(B247="","이름 없음 ","")&amp;IF(A247="","받은 가족 없음 ","")&amp;IF(C247="","금액 없음 ",IF(ISNUMBER(C247),IF(C247&lt;1000,"금액 확인 ",""),"금액 확인 "))&amp;IF(AND(B247&lt;&gt;"",COUNTIFS($A$2:$A$1001,A247,$B$2:$B$1001,B247,$C$2:$C$1001,C247)&gt;1),"중복 의심",""))))</f>
        <v/>
      </c>
      <c r="G247" s="25">
        <f>IF(OR(COUNTA(A247:E247)=0,OR(ISNUMBER(SEARCH("소계",B247)),ISNUMBER(SEARCH("합계",B247)))),"",1+COUNTIF($B$1:B246,"*소계*"))</f>
        <v/>
      </c>
      <c r="H247">
        <f>IF(AND(A247&lt;&gt;"",A247=가족별!$B$1,G247&lt;&gt;""),COUNTIFS($A$2:A247,가족별!$B$1,$G$2:G247,"&gt;0"),"")</f>
        <v/>
      </c>
      <c r="I247">
        <f>IF(ISNUMBER(SEARCH("소계",B247)),COUNTIF($B$2:B247,"*소계*"),"")</f>
        <v/>
      </c>
      <c r="J247">
        <f>IF(F247="",0,1)</f>
        <v/>
      </c>
    </row>
    <row r="248">
      <c r="A248" s="41" t="n"/>
      <c r="B248" s="41" t="n"/>
      <c r="C248" s="24" t="n"/>
      <c r="D248" s="41" t="n"/>
      <c r="E248" s="41" t="n"/>
      <c r="F248" s="19">
        <f>IF(COUNTA(A248:E248)=0,"",IF(OR(ISNUMBER(SEARCH("소계",B248)),ISNUMBER(SEARCH("합계",B248))),"",TRIM(IF(B248="","이름 없음 ","")&amp;IF(A248="","받은 가족 없음 ","")&amp;IF(C248="","금액 없음 ",IF(ISNUMBER(C248),IF(C248&lt;1000,"금액 확인 ",""),"금액 확인 "))&amp;IF(AND(B248&lt;&gt;"",COUNTIFS($A$2:$A$1001,A248,$B$2:$B$1001,B248,$C$2:$C$1001,C248)&gt;1),"중복 의심",""))))</f>
        <v/>
      </c>
      <c r="G248" s="25">
        <f>IF(OR(COUNTA(A248:E248)=0,OR(ISNUMBER(SEARCH("소계",B248)),ISNUMBER(SEARCH("합계",B248)))),"",1+COUNTIF($B$1:B247,"*소계*"))</f>
        <v/>
      </c>
      <c r="H248">
        <f>IF(AND(A248&lt;&gt;"",A248=가족별!$B$1,G248&lt;&gt;""),COUNTIFS($A$2:A248,가족별!$B$1,$G$2:G248,"&gt;0"),"")</f>
        <v/>
      </c>
      <c r="I248">
        <f>IF(ISNUMBER(SEARCH("소계",B248)),COUNTIF($B$2:B248,"*소계*"),"")</f>
        <v/>
      </c>
      <c r="J248">
        <f>IF(F248="",0,1)</f>
        <v/>
      </c>
    </row>
    <row r="249">
      <c r="A249" s="41" t="n"/>
      <c r="B249" s="41" t="n"/>
      <c r="C249" s="24" t="n"/>
      <c r="D249" s="41" t="n"/>
      <c r="E249" s="41" t="n"/>
      <c r="F249" s="19">
        <f>IF(COUNTA(A249:E249)=0,"",IF(OR(ISNUMBER(SEARCH("소계",B249)),ISNUMBER(SEARCH("합계",B249))),"",TRIM(IF(B249="","이름 없음 ","")&amp;IF(A249="","받은 가족 없음 ","")&amp;IF(C249="","금액 없음 ",IF(ISNUMBER(C249),IF(C249&lt;1000,"금액 확인 ",""),"금액 확인 "))&amp;IF(AND(B249&lt;&gt;"",COUNTIFS($A$2:$A$1001,A249,$B$2:$B$1001,B249,$C$2:$C$1001,C249)&gt;1),"중복 의심",""))))</f>
        <v/>
      </c>
      <c r="G249" s="25">
        <f>IF(OR(COUNTA(A249:E249)=0,OR(ISNUMBER(SEARCH("소계",B249)),ISNUMBER(SEARCH("합계",B249)))),"",1+COUNTIF($B$1:B248,"*소계*"))</f>
        <v/>
      </c>
      <c r="H249">
        <f>IF(AND(A249&lt;&gt;"",A249=가족별!$B$1,G249&lt;&gt;""),COUNTIFS($A$2:A249,가족별!$B$1,$G$2:G249,"&gt;0"),"")</f>
        <v/>
      </c>
      <c r="I249">
        <f>IF(ISNUMBER(SEARCH("소계",B249)),COUNTIF($B$2:B249,"*소계*"),"")</f>
        <v/>
      </c>
      <c r="J249">
        <f>IF(F249="",0,1)</f>
        <v/>
      </c>
    </row>
    <row r="250">
      <c r="A250" s="41" t="n"/>
      <c r="B250" s="41" t="n"/>
      <c r="C250" s="24" t="n"/>
      <c r="D250" s="41" t="n"/>
      <c r="E250" s="41" t="n"/>
      <c r="F250" s="19">
        <f>IF(COUNTA(A250:E250)=0,"",IF(OR(ISNUMBER(SEARCH("소계",B250)),ISNUMBER(SEARCH("합계",B250))),"",TRIM(IF(B250="","이름 없음 ","")&amp;IF(A250="","받은 가족 없음 ","")&amp;IF(C250="","금액 없음 ",IF(ISNUMBER(C250),IF(C250&lt;1000,"금액 확인 ",""),"금액 확인 "))&amp;IF(AND(B250&lt;&gt;"",COUNTIFS($A$2:$A$1001,A250,$B$2:$B$1001,B250,$C$2:$C$1001,C250)&gt;1),"중복 의심",""))))</f>
        <v/>
      </c>
      <c r="G250" s="25">
        <f>IF(OR(COUNTA(A250:E250)=0,OR(ISNUMBER(SEARCH("소계",B250)),ISNUMBER(SEARCH("합계",B250)))),"",1+COUNTIF($B$1:B249,"*소계*"))</f>
        <v/>
      </c>
      <c r="H250">
        <f>IF(AND(A250&lt;&gt;"",A250=가족별!$B$1,G250&lt;&gt;""),COUNTIFS($A$2:A250,가족별!$B$1,$G$2:G250,"&gt;0"),"")</f>
        <v/>
      </c>
      <c r="I250">
        <f>IF(ISNUMBER(SEARCH("소계",B250)),COUNTIF($B$2:B250,"*소계*"),"")</f>
        <v/>
      </c>
      <c r="J250">
        <f>IF(F250="",0,1)</f>
        <v/>
      </c>
    </row>
    <row r="251">
      <c r="A251" s="41" t="n"/>
      <c r="B251" s="41" t="n"/>
      <c r="C251" s="24" t="n"/>
      <c r="D251" s="41" t="n"/>
      <c r="E251" s="41" t="n"/>
      <c r="F251" s="19">
        <f>IF(COUNTA(A251:E251)=0,"",IF(OR(ISNUMBER(SEARCH("소계",B251)),ISNUMBER(SEARCH("합계",B251))),"",TRIM(IF(B251="","이름 없음 ","")&amp;IF(A251="","받은 가족 없음 ","")&amp;IF(C251="","금액 없음 ",IF(ISNUMBER(C251),IF(C251&lt;1000,"금액 확인 ",""),"금액 확인 "))&amp;IF(AND(B251&lt;&gt;"",COUNTIFS($A$2:$A$1001,A251,$B$2:$B$1001,B251,$C$2:$C$1001,C251)&gt;1),"중복 의심",""))))</f>
        <v/>
      </c>
      <c r="G251" s="25">
        <f>IF(OR(COUNTA(A251:E251)=0,OR(ISNUMBER(SEARCH("소계",B251)),ISNUMBER(SEARCH("합계",B251)))),"",1+COUNTIF($B$1:B250,"*소계*"))</f>
        <v/>
      </c>
      <c r="H251">
        <f>IF(AND(A251&lt;&gt;"",A251=가족별!$B$1,G251&lt;&gt;""),COUNTIFS($A$2:A251,가족별!$B$1,$G$2:G251,"&gt;0"),"")</f>
        <v/>
      </c>
      <c r="I251">
        <f>IF(ISNUMBER(SEARCH("소계",B251)),COUNTIF($B$2:B251,"*소계*"),"")</f>
        <v/>
      </c>
      <c r="J251">
        <f>IF(F251="",0,1)</f>
        <v/>
      </c>
    </row>
    <row r="252">
      <c r="A252" s="41" t="n"/>
      <c r="B252" s="41" t="n"/>
      <c r="C252" s="24" t="n"/>
      <c r="D252" s="41" t="n"/>
      <c r="E252" s="41" t="n"/>
      <c r="F252" s="19">
        <f>IF(COUNTA(A252:E252)=0,"",IF(OR(ISNUMBER(SEARCH("소계",B252)),ISNUMBER(SEARCH("합계",B252))),"",TRIM(IF(B252="","이름 없음 ","")&amp;IF(A252="","받은 가족 없음 ","")&amp;IF(C252="","금액 없음 ",IF(ISNUMBER(C252),IF(C252&lt;1000,"금액 확인 ",""),"금액 확인 "))&amp;IF(AND(B252&lt;&gt;"",COUNTIFS($A$2:$A$1001,A252,$B$2:$B$1001,B252,$C$2:$C$1001,C252)&gt;1),"중복 의심",""))))</f>
        <v/>
      </c>
      <c r="G252" s="25">
        <f>IF(OR(COUNTA(A252:E252)=0,OR(ISNUMBER(SEARCH("소계",B252)),ISNUMBER(SEARCH("합계",B252)))),"",1+COUNTIF($B$1:B251,"*소계*"))</f>
        <v/>
      </c>
      <c r="H252">
        <f>IF(AND(A252&lt;&gt;"",A252=가족별!$B$1,G252&lt;&gt;""),COUNTIFS($A$2:A252,가족별!$B$1,$G$2:G252,"&gt;0"),"")</f>
        <v/>
      </c>
      <c r="I252">
        <f>IF(ISNUMBER(SEARCH("소계",B252)),COUNTIF($B$2:B252,"*소계*"),"")</f>
        <v/>
      </c>
      <c r="J252">
        <f>IF(F252="",0,1)</f>
        <v/>
      </c>
    </row>
    <row r="253">
      <c r="A253" s="41" t="n"/>
      <c r="B253" s="41" t="n"/>
      <c r="C253" s="24" t="n"/>
      <c r="D253" s="41" t="n"/>
      <c r="E253" s="41" t="n"/>
      <c r="F253" s="19">
        <f>IF(COUNTA(A253:E253)=0,"",IF(OR(ISNUMBER(SEARCH("소계",B253)),ISNUMBER(SEARCH("합계",B253))),"",TRIM(IF(B253="","이름 없음 ","")&amp;IF(A253="","받은 가족 없음 ","")&amp;IF(C253="","금액 없음 ",IF(ISNUMBER(C253),IF(C253&lt;1000,"금액 확인 ",""),"금액 확인 "))&amp;IF(AND(B253&lt;&gt;"",COUNTIFS($A$2:$A$1001,A253,$B$2:$B$1001,B253,$C$2:$C$1001,C253)&gt;1),"중복 의심",""))))</f>
        <v/>
      </c>
      <c r="G253" s="25">
        <f>IF(OR(COUNTA(A253:E253)=0,OR(ISNUMBER(SEARCH("소계",B253)),ISNUMBER(SEARCH("합계",B253)))),"",1+COUNTIF($B$1:B252,"*소계*"))</f>
        <v/>
      </c>
      <c r="H253">
        <f>IF(AND(A253&lt;&gt;"",A253=가족별!$B$1,G253&lt;&gt;""),COUNTIFS($A$2:A253,가족별!$B$1,$G$2:G253,"&gt;0"),"")</f>
        <v/>
      </c>
      <c r="I253">
        <f>IF(ISNUMBER(SEARCH("소계",B253)),COUNTIF($B$2:B253,"*소계*"),"")</f>
        <v/>
      </c>
      <c r="J253">
        <f>IF(F253="",0,1)</f>
        <v/>
      </c>
    </row>
    <row r="254">
      <c r="A254" s="41" t="n"/>
      <c r="B254" s="41" t="n"/>
      <c r="C254" s="24" t="n"/>
      <c r="D254" s="41" t="n"/>
      <c r="E254" s="41" t="n"/>
      <c r="F254" s="19">
        <f>IF(COUNTA(A254:E254)=0,"",IF(OR(ISNUMBER(SEARCH("소계",B254)),ISNUMBER(SEARCH("합계",B254))),"",TRIM(IF(B254="","이름 없음 ","")&amp;IF(A254="","받은 가족 없음 ","")&amp;IF(C254="","금액 없음 ",IF(ISNUMBER(C254),IF(C254&lt;1000,"금액 확인 ",""),"금액 확인 "))&amp;IF(AND(B254&lt;&gt;"",COUNTIFS($A$2:$A$1001,A254,$B$2:$B$1001,B254,$C$2:$C$1001,C254)&gt;1),"중복 의심",""))))</f>
        <v/>
      </c>
      <c r="G254" s="25">
        <f>IF(OR(COUNTA(A254:E254)=0,OR(ISNUMBER(SEARCH("소계",B254)),ISNUMBER(SEARCH("합계",B254)))),"",1+COUNTIF($B$1:B253,"*소계*"))</f>
        <v/>
      </c>
      <c r="H254">
        <f>IF(AND(A254&lt;&gt;"",A254=가족별!$B$1,G254&lt;&gt;""),COUNTIFS($A$2:A254,가족별!$B$1,$G$2:G254,"&gt;0"),"")</f>
        <v/>
      </c>
      <c r="I254">
        <f>IF(ISNUMBER(SEARCH("소계",B254)),COUNTIF($B$2:B254,"*소계*"),"")</f>
        <v/>
      </c>
      <c r="J254">
        <f>IF(F254="",0,1)</f>
        <v/>
      </c>
    </row>
    <row r="255">
      <c r="A255" s="41" t="n"/>
      <c r="B255" s="41" t="n"/>
      <c r="C255" s="24" t="n"/>
      <c r="D255" s="41" t="n"/>
      <c r="E255" s="41" t="n"/>
      <c r="F255" s="19">
        <f>IF(COUNTA(A255:E255)=0,"",IF(OR(ISNUMBER(SEARCH("소계",B255)),ISNUMBER(SEARCH("합계",B255))),"",TRIM(IF(B255="","이름 없음 ","")&amp;IF(A255="","받은 가족 없음 ","")&amp;IF(C255="","금액 없음 ",IF(ISNUMBER(C255),IF(C255&lt;1000,"금액 확인 ",""),"금액 확인 "))&amp;IF(AND(B255&lt;&gt;"",COUNTIFS($A$2:$A$1001,A255,$B$2:$B$1001,B255,$C$2:$C$1001,C255)&gt;1),"중복 의심",""))))</f>
        <v/>
      </c>
      <c r="G255" s="25">
        <f>IF(OR(COUNTA(A255:E255)=0,OR(ISNUMBER(SEARCH("소계",B255)),ISNUMBER(SEARCH("합계",B255)))),"",1+COUNTIF($B$1:B254,"*소계*"))</f>
        <v/>
      </c>
      <c r="H255">
        <f>IF(AND(A255&lt;&gt;"",A255=가족별!$B$1,G255&lt;&gt;""),COUNTIFS($A$2:A255,가족별!$B$1,$G$2:G255,"&gt;0"),"")</f>
        <v/>
      </c>
      <c r="I255">
        <f>IF(ISNUMBER(SEARCH("소계",B255)),COUNTIF($B$2:B255,"*소계*"),"")</f>
        <v/>
      </c>
      <c r="J255">
        <f>IF(F255="",0,1)</f>
        <v/>
      </c>
    </row>
    <row r="256">
      <c r="A256" s="41" t="n"/>
      <c r="B256" s="41" t="n"/>
      <c r="C256" s="24" t="n"/>
      <c r="D256" s="41" t="n"/>
      <c r="E256" s="41" t="n"/>
      <c r="F256" s="19">
        <f>IF(COUNTA(A256:E256)=0,"",IF(OR(ISNUMBER(SEARCH("소계",B256)),ISNUMBER(SEARCH("합계",B256))),"",TRIM(IF(B256="","이름 없음 ","")&amp;IF(A256="","받은 가족 없음 ","")&amp;IF(C256="","금액 없음 ",IF(ISNUMBER(C256),IF(C256&lt;1000,"금액 확인 ",""),"금액 확인 "))&amp;IF(AND(B256&lt;&gt;"",COUNTIFS($A$2:$A$1001,A256,$B$2:$B$1001,B256,$C$2:$C$1001,C256)&gt;1),"중복 의심",""))))</f>
        <v/>
      </c>
      <c r="G256" s="25">
        <f>IF(OR(COUNTA(A256:E256)=0,OR(ISNUMBER(SEARCH("소계",B256)),ISNUMBER(SEARCH("합계",B256)))),"",1+COUNTIF($B$1:B255,"*소계*"))</f>
        <v/>
      </c>
      <c r="H256">
        <f>IF(AND(A256&lt;&gt;"",A256=가족별!$B$1,G256&lt;&gt;""),COUNTIFS($A$2:A256,가족별!$B$1,$G$2:G256,"&gt;0"),"")</f>
        <v/>
      </c>
      <c r="I256">
        <f>IF(ISNUMBER(SEARCH("소계",B256)),COUNTIF($B$2:B256,"*소계*"),"")</f>
        <v/>
      </c>
      <c r="J256">
        <f>IF(F256="",0,1)</f>
        <v/>
      </c>
    </row>
    <row r="257">
      <c r="A257" s="41" t="n"/>
      <c r="B257" s="41" t="n"/>
      <c r="C257" s="24" t="n"/>
      <c r="D257" s="41" t="n"/>
      <c r="E257" s="41" t="n"/>
      <c r="F257" s="19">
        <f>IF(COUNTA(A257:E257)=0,"",IF(OR(ISNUMBER(SEARCH("소계",B257)),ISNUMBER(SEARCH("합계",B257))),"",TRIM(IF(B257="","이름 없음 ","")&amp;IF(A257="","받은 가족 없음 ","")&amp;IF(C257="","금액 없음 ",IF(ISNUMBER(C257),IF(C257&lt;1000,"금액 확인 ",""),"금액 확인 "))&amp;IF(AND(B257&lt;&gt;"",COUNTIFS($A$2:$A$1001,A257,$B$2:$B$1001,B257,$C$2:$C$1001,C257)&gt;1),"중복 의심",""))))</f>
        <v/>
      </c>
      <c r="G257" s="25">
        <f>IF(OR(COUNTA(A257:E257)=0,OR(ISNUMBER(SEARCH("소계",B257)),ISNUMBER(SEARCH("합계",B257)))),"",1+COUNTIF($B$1:B256,"*소계*"))</f>
        <v/>
      </c>
      <c r="H257">
        <f>IF(AND(A257&lt;&gt;"",A257=가족별!$B$1,G257&lt;&gt;""),COUNTIFS($A$2:A257,가족별!$B$1,$G$2:G257,"&gt;0"),"")</f>
        <v/>
      </c>
      <c r="I257">
        <f>IF(ISNUMBER(SEARCH("소계",B257)),COUNTIF($B$2:B257,"*소계*"),"")</f>
        <v/>
      </c>
      <c r="J257">
        <f>IF(F257="",0,1)</f>
        <v/>
      </c>
    </row>
    <row r="258">
      <c r="A258" s="41" t="n"/>
      <c r="B258" s="41" t="n"/>
      <c r="C258" s="24" t="n"/>
      <c r="D258" s="41" t="n"/>
      <c r="E258" s="41" t="n"/>
      <c r="F258" s="19">
        <f>IF(COUNTA(A258:E258)=0,"",IF(OR(ISNUMBER(SEARCH("소계",B258)),ISNUMBER(SEARCH("합계",B258))),"",TRIM(IF(B258="","이름 없음 ","")&amp;IF(A258="","받은 가족 없음 ","")&amp;IF(C258="","금액 없음 ",IF(ISNUMBER(C258),IF(C258&lt;1000,"금액 확인 ",""),"금액 확인 "))&amp;IF(AND(B258&lt;&gt;"",COUNTIFS($A$2:$A$1001,A258,$B$2:$B$1001,B258,$C$2:$C$1001,C258)&gt;1),"중복 의심",""))))</f>
        <v/>
      </c>
      <c r="G258" s="25">
        <f>IF(OR(COUNTA(A258:E258)=0,OR(ISNUMBER(SEARCH("소계",B258)),ISNUMBER(SEARCH("합계",B258)))),"",1+COUNTIF($B$1:B257,"*소계*"))</f>
        <v/>
      </c>
      <c r="H258">
        <f>IF(AND(A258&lt;&gt;"",A258=가족별!$B$1,G258&lt;&gt;""),COUNTIFS($A$2:A258,가족별!$B$1,$G$2:G258,"&gt;0"),"")</f>
        <v/>
      </c>
      <c r="I258">
        <f>IF(ISNUMBER(SEARCH("소계",B258)),COUNTIF($B$2:B258,"*소계*"),"")</f>
        <v/>
      </c>
      <c r="J258">
        <f>IF(F258="",0,1)</f>
        <v/>
      </c>
    </row>
    <row r="259">
      <c r="A259" s="41" t="n"/>
      <c r="B259" s="41" t="n"/>
      <c r="C259" s="24" t="n"/>
      <c r="D259" s="41" t="n"/>
      <c r="E259" s="41" t="n"/>
      <c r="F259" s="19">
        <f>IF(COUNTA(A259:E259)=0,"",IF(OR(ISNUMBER(SEARCH("소계",B259)),ISNUMBER(SEARCH("합계",B259))),"",TRIM(IF(B259="","이름 없음 ","")&amp;IF(A259="","받은 가족 없음 ","")&amp;IF(C259="","금액 없음 ",IF(ISNUMBER(C259),IF(C259&lt;1000,"금액 확인 ",""),"금액 확인 "))&amp;IF(AND(B259&lt;&gt;"",COUNTIFS($A$2:$A$1001,A259,$B$2:$B$1001,B259,$C$2:$C$1001,C259)&gt;1),"중복 의심",""))))</f>
        <v/>
      </c>
      <c r="G259" s="25">
        <f>IF(OR(COUNTA(A259:E259)=0,OR(ISNUMBER(SEARCH("소계",B259)),ISNUMBER(SEARCH("합계",B259)))),"",1+COUNTIF($B$1:B258,"*소계*"))</f>
        <v/>
      </c>
      <c r="H259">
        <f>IF(AND(A259&lt;&gt;"",A259=가족별!$B$1,G259&lt;&gt;""),COUNTIFS($A$2:A259,가족별!$B$1,$G$2:G259,"&gt;0"),"")</f>
        <v/>
      </c>
      <c r="I259">
        <f>IF(ISNUMBER(SEARCH("소계",B259)),COUNTIF($B$2:B259,"*소계*"),"")</f>
        <v/>
      </c>
      <c r="J259">
        <f>IF(F259="",0,1)</f>
        <v/>
      </c>
    </row>
    <row r="260">
      <c r="A260" s="41" t="n"/>
      <c r="B260" s="41" t="n"/>
      <c r="C260" s="24" t="n"/>
      <c r="D260" s="41" t="n"/>
      <c r="E260" s="41" t="n"/>
      <c r="F260" s="19">
        <f>IF(COUNTA(A260:E260)=0,"",IF(OR(ISNUMBER(SEARCH("소계",B260)),ISNUMBER(SEARCH("합계",B260))),"",TRIM(IF(B260="","이름 없음 ","")&amp;IF(A260="","받은 가족 없음 ","")&amp;IF(C260="","금액 없음 ",IF(ISNUMBER(C260),IF(C260&lt;1000,"금액 확인 ",""),"금액 확인 "))&amp;IF(AND(B260&lt;&gt;"",COUNTIFS($A$2:$A$1001,A260,$B$2:$B$1001,B260,$C$2:$C$1001,C260)&gt;1),"중복 의심",""))))</f>
        <v/>
      </c>
      <c r="G260" s="25">
        <f>IF(OR(COUNTA(A260:E260)=0,OR(ISNUMBER(SEARCH("소계",B260)),ISNUMBER(SEARCH("합계",B260)))),"",1+COUNTIF($B$1:B259,"*소계*"))</f>
        <v/>
      </c>
      <c r="H260">
        <f>IF(AND(A260&lt;&gt;"",A260=가족별!$B$1,G260&lt;&gt;""),COUNTIFS($A$2:A260,가족별!$B$1,$G$2:G260,"&gt;0"),"")</f>
        <v/>
      </c>
      <c r="I260">
        <f>IF(ISNUMBER(SEARCH("소계",B260)),COUNTIF($B$2:B260,"*소계*"),"")</f>
        <v/>
      </c>
      <c r="J260">
        <f>IF(F260="",0,1)</f>
        <v/>
      </c>
    </row>
    <row r="261">
      <c r="A261" s="41" t="n"/>
      <c r="B261" s="41" t="n"/>
      <c r="C261" s="24" t="n"/>
      <c r="D261" s="41" t="n"/>
      <c r="E261" s="41" t="n"/>
      <c r="F261" s="19">
        <f>IF(COUNTA(A261:E261)=0,"",IF(OR(ISNUMBER(SEARCH("소계",B261)),ISNUMBER(SEARCH("합계",B261))),"",TRIM(IF(B261="","이름 없음 ","")&amp;IF(A261="","받은 가족 없음 ","")&amp;IF(C261="","금액 없음 ",IF(ISNUMBER(C261),IF(C261&lt;1000,"금액 확인 ",""),"금액 확인 "))&amp;IF(AND(B261&lt;&gt;"",COUNTIFS($A$2:$A$1001,A261,$B$2:$B$1001,B261,$C$2:$C$1001,C261)&gt;1),"중복 의심",""))))</f>
        <v/>
      </c>
      <c r="G261" s="25">
        <f>IF(OR(COUNTA(A261:E261)=0,OR(ISNUMBER(SEARCH("소계",B261)),ISNUMBER(SEARCH("합계",B261)))),"",1+COUNTIF($B$1:B260,"*소계*"))</f>
        <v/>
      </c>
      <c r="H261">
        <f>IF(AND(A261&lt;&gt;"",A261=가족별!$B$1,G261&lt;&gt;""),COUNTIFS($A$2:A261,가족별!$B$1,$G$2:G261,"&gt;0"),"")</f>
        <v/>
      </c>
      <c r="I261">
        <f>IF(ISNUMBER(SEARCH("소계",B261)),COUNTIF($B$2:B261,"*소계*"),"")</f>
        <v/>
      </c>
      <c r="J261">
        <f>IF(F261="",0,1)</f>
        <v/>
      </c>
    </row>
    <row r="262">
      <c r="A262" s="41" t="n"/>
      <c r="B262" s="41" t="n"/>
      <c r="C262" s="24" t="n"/>
      <c r="D262" s="41" t="n"/>
      <c r="E262" s="41" t="n"/>
      <c r="F262" s="19">
        <f>IF(COUNTA(A262:E262)=0,"",IF(OR(ISNUMBER(SEARCH("소계",B262)),ISNUMBER(SEARCH("합계",B262))),"",TRIM(IF(B262="","이름 없음 ","")&amp;IF(A262="","받은 가족 없음 ","")&amp;IF(C262="","금액 없음 ",IF(ISNUMBER(C262),IF(C262&lt;1000,"금액 확인 ",""),"금액 확인 "))&amp;IF(AND(B262&lt;&gt;"",COUNTIFS($A$2:$A$1001,A262,$B$2:$B$1001,B262,$C$2:$C$1001,C262)&gt;1),"중복 의심",""))))</f>
        <v/>
      </c>
      <c r="G262" s="25">
        <f>IF(OR(COUNTA(A262:E262)=0,OR(ISNUMBER(SEARCH("소계",B262)),ISNUMBER(SEARCH("합계",B262)))),"",1+COUNTIF($B$1:B261,"*소계*"))</f>
        <v/>
      </c>
      <c r="H262">
        <f>IF(AND(A262&lt;&gt;"",A262=가족별!$B$1,G262&lt;&gt;""),COUNTIFS($A$2:A262,가족별!$B$1,$G$2:G262,"&gt;0"),"")</f>
        <v/>
      </c>
      <c r="I262">
        <f>IF(ISNUMBER(SEARCH("소계",B262)),COUNTIF($B$2:B262,"*소계*"),"")</f>
        <v/>
      </c>
      <c r="J262">
        <f>IF(F262="",0,1)</f>
        <v/>
      </c>
    </row>
    <row r="263">
      <c r="A263" s="41" t="n"/>
      <c r="B263" s="41" t="n"/>
      <c r="C263" s="24" t="n"/>
      <c r="D263" s="41" t="n"/>
      <c r="E263" s="41" t="n"/>
      <c r="F263" s="19">
        <f>IF(COUNTA(A263:E263)=0,"",IF(OR(ISNUMBER(SEARCH("소계",B263)),ISNUMBER(SEARCH("합계",B263))),"",TRIM(IF(B263="","이름 없음 ","")&amp;IF(A263="","받은 가족 없음 ","")&amp;IF(C263="","금액 없음 ",IF(ISNUMBER(C263),IF(C263&lt;1000,"금액 확인 ",""),"금액 확인 "))&amp;IF(AND(B263&lt;&gt;"",COUNTIFS($A$2:$A$1001,A263,$B$2:$B$1001,B263,$C$2:$C$1001,C263)&gt;1),"중복 의심",""))))</f>
        <v/>
      </c>
      <c r="G263" s="25">
        <f>IF(OR(COUNTA(A263:E263)=0,OR(ISNUMBER(SEARCH("소계",B263)),ISNUMBER(SEARCH("합계",B263)))),"",1+COUNTIF($B$1:B262,"*소계*"))</f>
        <v/>
      </c>
      <c r="H263">
        <f>IF(AND(A263&lt;&gt;"",A263=가족별!$B$1,G263&lt;&gt;""),COUNTIFS($A$2:A263,가족별!$B$1,$G$2:G263,"&gt;0"),"")</f>
        <v/>
      </c>
      <c r="I263">
        <f>IF(ISNUMBER(SEARCH("소계",B263)),COUNTIF($B$2:B263,"*소계*"),"")</f>
        <v/>
      </c>
      <c r="J263">
        <f>IF(F263="",0,1)</f>
        <v/>
      </c>
    </row>
    <row r="264">
      <c r="A264" s="41" t="n"/>
      <c r="B264" s="41" t="n"/>
      <c r="C264" s="24" t="n"/>
      <c r="D264" s="41" t="n"/>
      <c r="E264" s="41" t="n"/>
      <c r="F264" s="19">
        <f>IF(COUNTA(A264:E264)=0,"",IF(OR(ISNUMBER(SEARCH("소계",B264)),ISNUMBER(SEARCH("합계",B264))),"",TRIM(IF(B264="","이름 없음 ","")&amp;IF(A264="","받은 가족 없음 ","")&amp;IF(C264="","금액 없음 ",IF(ISNUMBER(C264),IF(C264&lt;1000,"금액 확인 ",""),"금액 확인 "))&amp;IF(AND(B264&lt;&gt;"",COUNTIFS($A$2:$A$1001,A264,$B$2:$B$1001,B264,$C$2:$C$1001,C264)&gt;1),"중복 의심",""))))</f>
        <v/>
      </c>
      <c r="G264" s="25">
        <f>IF(OR(COUNTA(A264:E264)=0,OR(ISNUMBER(SEARCH("소계",B264)),ISNUMBER(SEARCH("합계",B264)))),"",1+COUNTIF($B$1:B263,"*소계*"))</f>
        <v/>
      </c>
      <c r="H264">
        <f>IF(AND(A264&lt;&gt;"",A264=가족별!$B$1,G264&lt;&gt;""),COUNTIFS($A$2:A264,가족별!$B$1,$G$2:G264,"&gt;0"),"")</f>
        <v/>
      </c>
      <c r="I264">
        <f>IF(ISNUMBER(SEARCH("소계",B264)),COUNTIF($B$2:B264,"*소계*"),"")</f>
        <v/>
      </c>
      <c r="J264">
        <f>IF(F264="",0,1)</f>
        <v/>
      </c>
    </row>
    <row r="265">
      <c r="A265" s="41" t="n"/>
      <c r="B265" s="41" t="n"/>
      <c r="C265" s="24" t="n"/>
      <c r="D265" s="41" t="n"/>
      <c r="E265" s="41" t="n"/>
      <c r="F265" s="19">
        <f>IF(COUNTA(A265:E265)=0,"",IF(OR(ISNUMBER(SEARCH("소계",B265)),ISNUMBER(SEARCH("합계",B265))),"",TRIM(IF(B265="","이름 없음 ","")&amp;IF(A265="","받은 가족 없음 ","")&amp;IF(C265="","금액 없음 ",IF(ISNUMBER(C265),IF(C265&lt;1000,"금액 확인 ",""),"금액 확인 "))&amp;IF(AND(B265&lt;&gt;"",COUNTIFS($A$2:$A$1001,A265,$B$2:$B$1001,B265,$C$2:$C$1001,C265)&gt;1),"중복 의심",""))))</f>
        <v/>
      </c>
      <c r="G265" s="25">
        <f>IF(OR(COUNTA(A265:E265)=0,OR(ISNUMBER(SEARCH("소계",B265)),ISNUMBER(SEARCH("합계",B265)))),"",1+COUNTIF($B$1:B264,"*소계*"))</f>
        <v/>
      </c>
      <c r="H265">
        <f>IF(AND(A265&lt;&gt;"",A265=가족별!$B$1,G265&lt;&gt;""),COUNTIFS($A$2:A265,가족별!$B$1,$G$2:G265,"&gt;0"),"")</f>
        <v/>
      </c>
      <c r="I265">
        <f>IF(ISNUMBER(SEARCH("소계",B265)),COUNTIF($B$2:B265,"*소계*"),"")</f>
        <v/>
      </c>
      <c r="J265">
        <f>IF(F265="",0,1)</f>
        <v/>
      </c>
    </row>
    <row r="266">
      <c r="A266" s="41" t="n"/>
      <c r="B266" s="41" t="n"/>
      <c r="C266" s="24" t="n"/>
      <c r="D266" s="41" t="n"/>
      <c r="E266" s="41" t="n"/>
      <c r="F266" s="19">
        <f>IF(COUNTA(A266:E266)=0,"",IF(OR(ISNUMBER(SEARCH("소계",B266)),ISNUMBER(SEARCH("합계",B266))),"",TRIM(IF(B266="","이름 없음 ","")&amp;IF(A266="","받은 가족 없음 ","")&amp;IF(C266="","금액 없음 ",IF(ISNUMBER(C266),IF(C266&lt;1000,"금액 확인 ",""),"금액 확인 "))&amp;IF(AND(B266&lt;&gt;"",COUNTIFS($A$2:$A$1001,A266,$B$2:$B$1001,B266,$C$2:$C$1001,C266)&gt;1),"중복 의심",""))))</f>
        <v/>
      </c>
      <c r="G266" s="25">
        <f>IF(OR(COUNTA(A266:E266)=0,OR(ISNUMBER(SEARCH("소계",B266)),ISNUMBER(SEARCH("합계",B266)))),"",1+COUNTIF($B$1:B265,"*소계*"))</f>
        <v/>
      </c>
      <c r="H266">
        <f>IF(AND(A266&lt;&gt;"",A266=가족별!$B$1,G266&lt;&gt;""),COUNTIFS($A$2:A266,가족별!$B$1,$G$2:G266,"&gt;0"),"")</f>
        <v/>
      </c>
      <c r="I266">
        <f>IF(ISNUMBER(SEARCH("소계",B266)),COUNTIF($B$2:B266,"*소계*"),"")</f>
        <v/>
      </c>
      <c r="J266">
        <f>IF(F266="",0,1)</f>
        <v/>
      </c>
    </row>
    <row r="267">
      <c r="A267" s="41" t="n"/>
      <c r="B267" s="41" t="n"/>
      <c r="C267" s="24" t="n"/>
      <c r="D267" s="41" t="n"/>
      <c r="E267" s="41" t="n"/>
      <c r="F267" s="19">
        <f>IF(COUNTA(A267:E267)=0,"",IF(OR(ISNUMBER(SEARCH("소계",B267)),ISNUMBER(SEARCH("합계",B267))),"",TRIM(IF(B267="","이름 없음 ","")&amp;IF(A267="","받은 가족 없음 ","")&amp;IF(C267="","금액 없음 ",IF(ISNUMBER(C267),IF(C267&lt;1000,"금액 확인 ",""),"금액 확인 "))&amp;IF(AND(B267&lt;&gt;"",COUNTIFS($A$2:$A$1001,A267,$B$2:$B$1001,B267,$C$2:$C$1001,C267)&gt;1),"중복 의심",""))))</f>
        <v/>
      </c>
      <c r="G267" s="25">
        <f>IF(OR(COUNTA(A267:E267)=0,OR(ISNUMBER(SEARCH("소계",B267)),ISNUMBER(SEARCH("합계",B267)))),"",1+COUNTIF($B$1:B266,"*소계*"))</f>
        <v/>
      </c>
      <c r="H267">
        <f>IF(AND(A267&lt;&gt;"",A267=가족별!$B$1,G267&lt;&gt;""),COUNTIFS($A$2:A267,가족별!$B$1,$G$2:G267,"&gt;0"),"")</f>
        <v/>
      </c>
      <c r="I267">
        <f>IF(ISNUMBER(SEARCH("소계",B267)),COUNTIF($B$2:B267,"*소계*"),"")</f>
        <v/>
      </c>
      <c r="J267">
        <f>IF(F267="",0,1)</f>
        <v/>
      </c>
    </row>
    <row r="268">
      <c r="A268" s="41" t="n"/>
      <c r="B268" s="41" t="n"/>
      <c r="C268" s="24" t="n"/>
      <c r="D268" s="41" t="n"/>
      <c r="E268" s="41" t="n"/>
      <c r="F268" s="19">
        <f>IF(COUNTA(A268:E268)=0,"",IF(OR(ISNUMBER(SEARCH("소계",B268)),ISNUMBER(SEARCH("합계",B268))),"",TRIM(IF(B268="","이름 없음 ","")&amp;IF(A268="","받은 가족 없음 ","")&amp;IF(C268="","금액 없음 ",IF(ISNUMBER(C268),IF(C268&lt;1000,"금액 확인 ",""),"금액 확인 "))&amp;IF(AND(B268&lt;&gt;"",COUNTIFS($A$2:$A$1001,A268,$B$2:$B$1001,B268,$C$2:$C$1001,C268)&gt;1),"중복 의심",""))))</f>
        <v/>
      </c>
      <c r="G268" s="25">
        <f>IF(OR(COUNTA(A268:E268)=0,OR(ISNUMBER(SEARCH("소계",B268)),ISNUMBER(SEARCH("합계",B268)))),"",1+COUNTIF($B$1:B267,"*소계*"))</f>
        <v/>
      </c>
      <c r="H268">
        <f>IF(AND(A268&lt;&gt;"",A268=가족별!$B$1,G268&lt;&gt;""),COUNTIFS($A$2:A268,가족별!$B$1,$G$2:G268,"&gt;0"),"")</f>
        <v/>
      </c>
      <c r="I268">
        <f>IF(ISNUMBER(SEARCH("소계",B268)),COUNTIF($B$2:B268,"*소계*"),"")</f>
        <v/>
      </c>
      <c r="J268">
        <f>IF(F268="",0,1)</f>
        <v/>
      </c>
    </row>
    <row r="269">
      <c r="A269" s="41" t="n"/>
      <c r="B269" s="41" t="n"/>
      <c r="C269" s="24" t="n"/>
      <c r="D269" s="41" t="n"/>
      <c r="E269" s="41" t="n"/>
      <c r="F269" s="19">
        <f>IF(COUNTA(A269:E269)=0,"",IF(OR(ISNUMBER(SEARCH("소계",B269)),ISNUMBER(SEARCH("합계",B269))),"",TRIM(IF(B269="","이름 없음 ","")&amp;IF(A269="","받은 가족 없음 ","")&amp;IF(C269="","금액 없음 ",IF(ISNUMBER(C269),IF(C269&lt;1000,"금액 확인 ",""),"금액 확인 "))&amp;IF(AND(B269&lt;&gt;"",COUNTIFS($A$2:$A$1001,A269,$B$2:$B$1001,B269,$C$2:$C$1001,C269)&gt;1),"중복 의심",""))))</f>
        <v/>
      </c>
      <c r="G269" s="25">
        <f>IF(OR(COUNTA(A269:E269)=0,OR(ISNUMBER(SEARCH("소계",B269)),ISNUMBER(SEARCH("합계",B269)))),"",1+COUNTIF($B$1:B268,"*소계*"))</f>
        <v/>
      </c>
      <c r="H269">
        <f>IF(AND(A269&lt;&gt;"",A269=가족별!$B$1,G269&lt;&gt;""),COUNTIFS($A$2:A269,가족별!$B$1,$G$2:G269,"&gt;0"),"")</f>
        <v/>
      </c>
      <c r="I269">
        <f>IF(ISNUMBER(SEARCH("소계",B269)),COUNTIF($B$2:B269,"*소계*"),"")</f>
        <v/>
      </c>
      <c r="J269">
        <f>IF(F269="",0,1)</f>
        <v/>
      </c>
    </row>
    <row r="270">
      <c r="A270" s="41" t="n"/>
      <c r="B270" s="41" t="n"/>
      <c r="C270" s="24" t="n"/>
      <c r="D270" s="41" t="n"/>
      <c r="E270" s="41" t="n"/>
      <c r="F270" s="19">
        <f>IF(COUNTA(A270:E270)=0,"",IF(OR(ISNUMBER(SEARCH("소계",B270)),ISNUMBER(SEARCH("합계",B270))),"",TRIM(IF(B270="","이름 없음 ","")&amp;IF(A270="","받은 가족 없음 ","")&amp;IF(C270="","금액 없음 ",IF(ISNUMBER(C270),IF(C270&lt;1000,"금액 확인 ",""),"금액 확인 "))&amp;IF(AND(B270&lt;&gt;"",COUNTIFS($A$2:$A$1001,A270,$B$2:$B$1001,B270,$C$2:$C$1001,C270)&gt;1),"중복 의심",""))))</f>
        <v/>
      </c>
      <c r="G270" s="25">
        <f>IF(OR(COUNTA(A270:E270)=0,OR(ISNUMBER(SEARCH("소계",B270)),ISNUMBER(SEARCH("합계",B270)))),"",1+COUNTIF($B$1:B269,"*소계*"))</f>
        <v/>
      </c>
      <c r="H270">
        <f>IF(AND(A270&lt;&gt;"",A270=가족별!$B$1,G270&lt;&gt;""),COUNTIFS($A$2:A270,가족별!$B$1,$G$2:G270,"&gt;0"),"")</f>
        <v/>
      </c>
      <c r="I270">
        <f>IF(ISNUMBER(SEARCH("소계",B270)),COUNTIF($B$2:B270,"*소계*"),"")</f>
        <v/>
      </c>
      <c r="J270">
        <f>IF(F270="",0,1)</f>
        <v/>
      </c>
    </row>
    <row r="271">
      <c r="A271" s="41" t="n"/>
      <c r="B271" s="41" t="n"/>
      <c r="C271" s="24" t="n"/>
      <c r="D271" s="41" t="n"/>
      <c r="E271" s="41" t="n"/>
      <c r="F271" s="19">
        <f>IF(COUNTA(A271:E271)=0,"",IF(OR(ISNUMBER(SEARCH("소계",B271)),ISNUMBER(SEARCH("합계",B271))),"",TRIM(IF(B271="","이름 없음 ","")&amp;IF(A271="","받은 가족 없음 ","")&amp;IF(C271="","금액 없음 ",IF(ISNUMBER(C271),IF(C271&lt;1000,"금액 확인 ",""),"금액 확인 "))&amp;IF(AND(B271&lt;&gt;"",COUNTIFS($A$2:$A$1001,A271,$B$2:$B$1001,B271,$C$2:$C$1001,C271)&gt;1),"중복 의심",""))))</f>
        <v/>
      </c>
      <c r="G271" s="25">
        <f>IF(OR(COUNTA(A271:E271)=0,OR(ISNUMBER(SEARCH("소계",B271)),ISNUMBER(SEARCH("합계",B271)))),"",1+COUNTIF($B$1:B270,"*소계*"))</f>
        <v/>
      </c>
      <c r="H271">
        <f>IF(AND(A271&lt;&gt;"",A271=가족별!$B$1,G271&lt;&gt;""),COUNTIFS($A$2:A271,가족별!$B$1,$G$2:G271,"&gt;0"),"")</f>
        <v/>
      </c>
      <c r="I271">
        <f>IF(ISNUMBER(SEARCH("소계",B271)),COUNTIF($B$2:B271,"*소계*"),"")</f>
        <v/>
      </c>
      <c r="J271">
        <f>IF(F271="",0,1)</f>
        <v/>
      </c>
    </row>
    <row r="272">
      <c r="A272" s="41" t="n"/>
      <c r="B272" s="41" t="n"/>
      <c r="C272" s="24" t="n"/>
      <c r="D272" s="41" t="n"/>
      <c r="E272" s="41" t="n"/>
      <c r="F272" s="19">
        <f>IF(COUNTA(A272:E272)=0,"",IF(OR(ISNUMBER(SEARCH("소계",B272)),ISNUMBER(SEARCH("합계",B272))),"",TRIM(IF(B272="","이름 없음 ","")&amp;IF(A272="","받은 가족 없음 ","")&amp;IF(C272="","금액 없음 ",IF(ISNUMBER(C272),IF(C272&lt;1000,"금액 확인 ",""),"금액 확인 "))&amp;IF(AND(B272&lt;&gt;"",COUNTIFS($A$2:$A$1001,A272,$B$2:$B$1001,B272,$C$2:$C$1001,C272)&gt;1),"중복 의심",""))))</f>
        <v/>
      </c>
      <c r="G272" s="25">
        <f>IF(OR(COUNTA(A272:E272)=0,OR(ISNUMBER(SEARCH("소계",B272)),ISNUMBER(SEARCH("합계",B272)))),"",1+COUNTIF($B$1:B271,"*소계*"))</f>
        <v/>
      </c>
      <c r="H272">
        <f>IF(AND(A272&lt;&gt;"",A272=가족별!$B$1,G272&lt;&gt;""),COUNTIFS($A$2:A272,가족별!$B$1,$G$2:G272,"&gt;0"),"")</f>
        <v/>
      </c>
      <c r="I272">
        <f>IF(ISNUMBER(SEARCH("소계",B272)),COUNTIF($B$2:B272,"*소계*"),"")</f>
        <v/>
      </c>
      <c r="J272">
        <f>IF(F272="",0,1)</f>
        <v/>
      </c>
    </row>
    <row r="273">
      <c r="A273" s="41" t="n"/>
      <c r="B273" s="41" t="n"/>
      <c r="C273" s="24" t="n"/>
      <c r="D273" s="41" t="n"/>
      <c r="E273" s="41" t="n"/>
      <c r="F273" s="19">
        <f>IF(COUNTA(A273:E273)=0,"",IF(OR(ISNUMBER(SEARCH("소계",B273)),ISNUMBER(SEARCH("합계",B273))),"",TRIM(IF(B273="","이름 없음 ","")&amp;IF(A273="","받은 가족 없음 ","")&amp;IF(C273="","금액 없음 ",IF(ISNUMBER(C273),IF(C273&lt;1000,"금액 확인 ",""),"금액 확인 "))&amp;IF(AND(B273&lt;&gt;"",COUNTIFS($A$2:$A$1001,A273,$B$2:$B$1001,B273,$C$2:$C$1001,C273)&gt;1),"중복 의심",""))))</f>
        <v/>
      </c>
      <c r="G273" s="25">
        <f>IF(OR(COUNTA(A273:E273)=0,OR(ISNUMBER(SEARCH("소계",B273)),ISNUMBER(SEARCH("합계",B273)))),"",1+COUNTIF($B$1:B272,"*소계*"))</f>
        <v/>
      </c>
      <c r="H273">
        <f>IF(AND(A273&lt;&gt;"",A273=가족별!$B$1,G273&lt;&gt;""),COUNTIFS($A$2:A273,가족별!$B$1,$G$2:G273,"&gt;0"),"")</f>
        <v/>
      </c>
      <c r="I273">
        <f>IF(ISNUMBER(SEARCH("소계",B273)),COUNTIF($B$2:B273,"*소계*"),"")</f>
        <v/>
      </c>
      <c r="J273">
        <f>IF(F273="",0,1)</f>
        <v/>
      </c>
    </row>
    <row r="274">
      <c r="A274" s="41" t="n"/>
      <c r="B274" s="41" t="n"/>
      <c r="C274" s="24" t="n"/>
      <c r="D274" s="41" t="n"/>
      <c r="E274" s="41" t="n"/>
      <c r="F274" s="19">
        <f>IF(COUNTA(A274:E274)=0,"",IF(OR(ISNUMBER(SEARCH("소계",B274)),ISNUMBER(SEARCH("합계",B274))),"",TRIM(IF(B274="","이름 없음 ","")&amp;IF(A274="","받은 가족 없음 ","")&amp;IF(C274="","금액 없음 ",IF(ISNUMBER(C274),IF(C274&lt;1000,"금액 확인 ",""),"금액 확인 "))&amp;IF(AND(B274&lt;&gt;"",COUNTIFS($A$2:$A$1001,A274,$B$2:$B$1001,B274,$C$2:$C$1001,C274)&gt;1),"중복 의심",""))))</f>
        <v/>
      </c>
      <c r="G274" s="25">
        <f>IF(OR(COUNTA(A274:E274)=0,OR(ISNUMBER(SEARCH("소계",B274)),ISNUMBER(SEARCH("합계",B274)))),"",1+COUNTIF($B$1:B273,"*소계*"))</f>
        <v/>
      </c>
      <c r="H274">
        <f>IF(AND(A274&lt;&gt;"",A274=가족별!$B$1,G274&lt;&gt;""),COUNTIFS($A$2:A274,가족별!$B$1,$G$2:G274,"&gt;0"),"")</f>
        <v/>
      </c>
      <c r="I274">
        <f>IF(ISNUMBER(SEARCH("소계",B274)),COUNTIF($B$2:B274,"*소계*"),"")</f>
        <v/>
      </c>
      <c r="J274">
        <f>IF(F274="",0,1)</f>
        <v/>
      </c>
    </row>
    <row r="275">
      <c r="A275" s="41" t="n"/>
      <c r="B275" s="41" t="n"/>
      <c r="C275" s="24" t="n"/>
      <c r="D275" s="41" t="n"/>
      <c r="E275" s="41" t="n"/>
      <c r="F275" s="19">
        <f>IF(COUNTA(A275:E275)=0,"",IF(OR(ISNUMBER(SEARCH("소계",B275)),ISNUMBER(SEARCH("합계",B275))),"",TRIM(IF(B275="","이름 없음 ","")&amp;IF(A275="","받은 가족 없음 ","")&amp;IF(C275="","금액 없음 ",IF(ISNUMBER(C275),IF(C275&lt;1000,"금액 확인 ",""),"금액 확인 "))&amp;IF(AND(B275&lt;&gt;"",COUNTIFS($A$2:$A$1001,A275,$B$2:$B$1001,B275,$C$2:$C$1001,C275)&gt;1),"중복 의심",""))))</f>
        <v/>
      </c>
      <c r="G275" s="25">
        <f>IF(OR(COUNTA(A275:E275)=0,OR(ISNUMBER(SEARCH("소계",B275)),ISNUMBER(SEARCH("합계",B275)))),"",1+COUNTIF($B$1:B274,"*소계*"))</f>
        <v/>
      </c>
      <c r="H275">
        <f>IF(AND(A275&lt;&gt;"",A275=가족별!$B$1,G275&lt;&gt;""),COUNTIFS($A$2:A275,가족별!$B$1,$G$2:G275,"&gt;0"),"")</f>
        <v/>
      </c>
      <c r="I275">
        <f>IF(ISNUMBER(SEARCH("소계",B275)),COUNTIF($B$2:B275,"*소계*"),"")</f>
        <v/>
      </c>
      <c r="J275">
        <f>IF(F275="",0,1)</f>
        <v/>
      </c>
    </row>
    <row r="276">
      <c r="A276" s="41" t="n"/>
      <c r="B276" s="41" t="n"/>
      <c r="C276" s="24" t="n"/>
      <c r="D276" s="41" t="n"/>
      <c r="E276" s="41" t="n"/>
      <c r="F276" s="19">
        <f>IF(COUNTA(A276:E276)=0,"",IF(OR(ISNUMBER(SEARCH("소계",B276)),ISNUMBER(SEARCH("합계",B276))),"",TRIM(IF(B276="","이름 없음 ","")&amp;IF(A276="","받은 가족 없음 ","")&amp;IF(C276="","금액 없음 ",IF(ISNUMBER(C276),IF(C276&lt;1000,"금액 확인 ",""),"금액 확인 "))&amp;IF(AND(B276&lt;&gt;"",COUNTIFS($A$2:$A$1001,A276,$B$2:$B$1001,B276,$C$2:$C$1001,C276)&gt;1),"중복 의심",""))))</f>
        <v/>
      </c>
      <c r="G276" s="25">
        <f>IF(OR(COUNTA(A276:E276)=0,OR(ISNUMBER(SEARCH("소계",B276)),ISNUMBER(SEARCH("합계",B276)))),"",1+COUNTIF($B$1:B275,"*소계*"))</f>
        <v/>
      </c>
      <c r="H276">
        <f>IF(AND(A276&lt;&gt;"",A276=가족별!$B$1,G276&lt;&gt;""),COUNTIFS($A$2:A276,가족별!$B$1,$G$2:G276,"&gt;0"),"")</f>
        <v/>
      </c>
      <c r="I276">
        <f>IF(ISNUMBER(SEARCH("소계",B276)),COUNTIF($B$2:B276,"*소계*"),"")</f>
        <v/>
      </c>
      <c r="J276">
        <f>IF(F276="",0,1)</f>
        <v/>
      </c>
    </row>
    <row r="277">
      <c r="A277" s="41" t="n"/>
      <c r="B277" s="41" t="n"/>
      <c r="C277" s="24" t="n"/>
      <c r="D277" s="41" t="n"/>
      <c r="E277" s="41" t="n"/>
      <c r="F277" s="19">
        <f>IF(COUNTA(A277:E277)=0,"",IF(OR(ISNUMBER(SEARCH("소계",B277)),ISNUMBER(SEARCH("합계",B277))),"",TRIM(IF(B277="","이름 없음 ","")&amp;IF(A277="","받은 가족 없음 ","")&amp;IF(C277="","금액 없음 ",IF(ISNUMBER(C277),IF(C277&lt;1000,"금액 확인 ",""),"금액 확인 "))&amp;IF(AND(B277&lt;&gt;"",COUNTIFS($A$2:$A$1001,A277,$B$2:$B$1001,B277,$C$2:$C$1001,C277)&gt;1),"중복 의심",""))))</f>
        <v/>
      </c>
      <c r="G277" s="25">
        <f>IF(OR(COUNTA(A277:E277)=0,OR(ISNUMBER(SEARCH("소계",B277)),ISNUMBER(SEARCH("합계",B277)))),"",1+COUNTIF($B$1:B276,"*소계*"))</f>
        <v/>
      </c>
      <c r="H277">
        <f>IF(AND(A277&lt;&gt;"",A277=가족별!$B$1,G277&lt;&gt;""),COUNTIFS($A$2:A277,가족별!$B$1,$G$2:G277,"&gt;0"),"")</f>
        <v/>
      </c>
      <c r="I277">
        <f>IF(ISNUMBER(SEARCH("소계",B277)),COUNTIF($B$2:B277,"*소계*"),"")</f>
        <v/>
      </c>
      <c r="J277">
        <f>IF(F277="",0,1)</f>
        <v/>
      </c>
    </row>
    <row r="278">
      <c r="A278" s="41" t="n"/>
      <c r="B278" s="41" t="n"/>
      <c r="C278" s="24" t="n"/>
      <c r="D278" s="41" t="n"/>
      <c r="E278" s="41" t="n"/>
      <c r="F278" s="19">
        <f>IF(COUNTA(A278:E278)=0,"",IF(OR(ISNUMBER(SEARCH("소계",B278)),ISNUMBER(SEARCH("합계",B278))),"",TRIM(IF(B278="","이름 없음 ","")&amp;IF(A278="","받은 가족 없음 ","")&amp;IF(C278="","금액 없음 ",IF(ISNUMBER(C278),IF(C278&lt;1000,"금액 확인 ",""),"금액 확인 "))&amp;IF(AND(B278&lt;&gt;"",COUNTIFS($A$2:$A$1001,A278,$B$2:$B$1001,B278,$C$2:$C$1001,C278)&gt;1),"중복 의심",""))))</f>
        <v/>
      </c>
      <c r="G278" s="25">
        <f>IF(OR(COUNTA(A278:E278)=0,OR(ISNUMBER(SEARCH("소계",B278)),ISNUMBER(SEARCH("합계",B278)))),"",1+COUNTIF($B$1:B277,"*소계*"))</f>
        <v/>
      </c>
      <c r="H278">
        <f>IF(AND(A278&lt;&gt;"",A278=가족별!$B$1,G278&lt;&gt;""),COUNTIFS($A$2:A278,가족별!$B$1,$G$2:G278,"&gt;0"),"")</f>
        <v/>
      </c>
      <c r="I278">
        <f>IF(ISNUMBER(SEARCH("소계",B278)),COUNTIF($B$2:B278,"*소계*"),"")</f>
        <v/>
      </c>
      <c r="J278">
        <f>IF(F278="",0,1)</f>
        <v/>
      </c>
    </row>
    <row r="279">
      <c r="A279" s="41" t="n"/>
      <c r="B279" s="41" t="n"/>
      <c r="C279" s="24" t="n"/>
      <c r="D279" s="41" t="n"/>
      <c r="E279" s="41" t="n"/>
      <c r="F279" s="19">
        <f>IF(COUNTA(A279:E279)=0,"",IF(OR(ISNUMBER(SEARCH("소계",B279)),ISNUMBER(SEARCH("합계",B279))),"",TRIM(IF(B279="","이름 없음 ","")&amp;IF(A279="","받은 가족 없음 ","")&amp;IF(C279="","금액 없음 ",IF(ISNUMBER(C279),IF(C279&lt;1000,"금액 확인 ",""),"금액 확인 "))&amp;IF(AND(B279&lt;&gt;"",COUNTIFS($A$2:$A$1001,A279,$B$2:$B$1001,B279,$C$2:$C$1001,C279)&gt;1),"중복 의심",""))))</f>
        <v/>
      </c>
      <c r="G279" s="25">
        <f>IF(OR(COUNTA(A279:E279)=0,OR(ISNUMBER(SEARCH("소계",B279)),ISNUMBER(SEARCH("합계",B279)))),"",1+COUNTIF($B$1:B278,"*소계*"))</f>
        <v/>
      </c>
      <c r="H279">
        <f>IF(AND(A279&lt;&gt;"",A279=가족별!$B$1,G279&lt;&gt;""),COUNTIFS($A$2:A279,가족별!$B$1,$G$2:G279,"&gt;0"),"")</f>
        <v/>
      </c>
      <c r="I279">
        <f>IF(ISNUMBER(SEARCH("소계",B279)),COUNTIF($B$2:B279,"*소계*"),"")</f>
        <v/>
      </c>
      <c r="J279">
        <f>IF(F279="",0,1)</f>
        <v/>
      </c>
    </row>
    <row r="280">
      <c r="A280" s="41" t="n"/>
      <c r="B280" s="41" t="n"/>
      <c r="C280" s="24" t="n"/>
      <c r="D280" s="41" t="n"/>
      <c r="E280" s="41" t="n"/>
      <c r="F280" s="19">
        <f>IF(COUNTA(A280:E280)=0,"",IF(OR(ISNUMBER(SEARCH("소계",B280)),ISNUMBER(SEARCH("합계",B280))),"",TRIM(IF(B280="","이름 없음 ","")&amp;IF(A280="","받은 가족 없음 ","")&amp;IF(C280="","금액 없음 ",IF(ISNUMBER(C280),IF(C280&lt;1000,"금액 확인 ",""),"금액 확인 "))&amp;IF(AND(B280&lt;&gt;"",COUNTIFS($A$2:$A$1001,A280,$B$2:$B$1001,B280,$C$2:$C$1001,C280)&gt;1),"중복 의심",""))))</f>
        <v/>
      </c>
      <c r="G280" s="25">
        <f>IF(OR(COUNTA(A280:E280)=0,OR(ISNUMBER(SEARCH("소계",B280)),ISNUMBER(SEARCH("합계",B280)))),"",1+COUNTIF($B$1:B279,"*소계*"))</f>
        <v/>
      </c>
      <c r="H280">
        <f>IF(AND(A280&lt;&gt;"",A280=가족별!$B$1,G280&lt;&gt;""),COUNTIFS($A$2:A280,가족별!$B$1,$G$2:G280,"&gt;0"),"")</f>
        <v/>
      </c>
      <c r="I280">
        <f>IF(ISNUMBER(SEARCH("소계",B280)),COUNTIF($B$2:B280,"*소계*"),"")</f>
        <v/>
      </c>
      <c r="J280">
        <f>IF(F280="",0,1)</f>
        <v/>
      </c>
    </row>
    <row r="281">
      <c r="A281" s="41" t="n"/>
      <c r="B281" s="41" t="n"/>
      <c r="C281" s="24" t="n"/>
      <c r="D281" s="41" t="n"/>
      <c r="E281" s="41" t="n"/>
      <c r="F281" s="19">
        <f>IF(COUNTA(A281:E281)=0,"",IF(OR(ISNUMBER(SEARCH("소계",B281)),ISNUMBER(SEARCH("합계",B281))),"",TRIM(IF(B281="","이름 없음 ","")&amp;IF(A281="","받은 가족 없음 ","")&amp;IF(C281="","금액 없음 ",IF(ISNUMBER(C281),IF(C281&lt;1000,"금액 확인 ",""),"금액 확인 "))&amp;IF(AND(B281&lt;&gt;"",COUNTIFS($A$2:$A$1001,A281,$B$2:$B$1001,B281,$C$2:$C$1001,C281)&gt;1),"중복 의심",""))))</f>
        <v/>
      </c>
      <c r="G281" s="25">
        <f>IF(OR(COUNTA(A281:E281)=0,OR(ISNUMBER(SEARCH("소계",B281)),ISNUMBER(SEARCH("합계",B281)))),"",1+COUNTIF($B$1:B280,"*소계*"))</f>
        <v/>
      </c>
      <c r="H281">
        <f>IF(AND(A281&lt;&gt;"",A281=가족별!$B$1,G281&lt;&gt;""),COUNTIFS($A$2:A281,가족별!$B$1,$G$2:G281,"&gt;0"),"")</f>
        <v/>
      </c>
      <c r="I281">
        <f>IF(ISNUMBER(SEARCH("소계",B281)),COUNTIF($B$2:B281,"*소계*"),"")</f>
        <v/>
      </c>
      <c r="J281">
        <f>IF(F281="",0,1)</f>
        <v/>
      </c>
    </row>
    <row r="282">
      <c r="A282" s="41" t="n"/>
      <c r="B282" s="41" t="n"/>
      <c r="C282" s="24" t="n"/>
      <c r="D282" s="41" t="n"/>
      <c r="E282" s="41" t="n"/>
      <c r="F282" s="19">
        <f>IF(COUNTA(A282:E282)=0,"",IF(OR(ISNUMBER(SEARCH("소계",B282)),ISNUMBER(SEARCH("합계",B282))),"",TRIM(IF(B282="","이름 없음 ","")&amp;IF(A282="","받은 가족 없음 ","")&amp;IF(C282="","금액 없음 ",IF(ISNUMBER(C282),IF(C282&lt;1000,"금액 확인 ",""),"금액 확인 "))&amp;IF(AND(B282&lt;&gt;"",COUNTIFS($A$2:$A$1001,A282,$B$2:$B$1001,B282,$C$2:$C$1001,C282)&gt;1),"중복 의심",""))))</f>
        <v/>
      </c>
      <c r="G282" s="25">
        <f>IF(OR(COUNTA(A282:E282)=0,OR(ISNUMBER(SEARCH("소계",B282)),ISNUMBER(SEARCH("합계",B282)))),"",1+COUNTIF($B$1:B281,"*소계*"))</f>
        <v/>
      </c>
      <c r="H282">
        <f>IF(AND(A282&lt;&gt;"",A282=가족별!$B$1,G282&lt;&gt;""),COUNTIFS($A$2:A282,가족별!$B$1,$G$2:G282,"&gt;0"),"")</f>
        <v/>
      </c>
      <c r="I282">
        <f>IF(ISNUMBER(SEARCH("소계",B282)),COUNTIF($B$2:B282,"*소계*"),"")</f>
        <v/>
      </c>
      <c r="J282">
        <f>IF(F282="",0,1)</f>
        <v/>
      </c>
    </row>
    <row r="283">
      <c r="A283" s="41" t="n"/>
      <c r="B283" s="41" t="n"/>
      <c r="C283" s="24" t="n"/>
      <c r="D283" s="41" t="n"/>
      <c r="E283" s="41" t="n"/>
      <c r="F283" s="19">
        <f>IF(COUNTA(A283:E283)=0,"",IF(OR(ISNUMBER(SEARCH("소계",B283)),ISNUMBER(SEARCH("합계",B283))),"",TRIM(IF(B283="","이름 없음 ","")&amp;IF(A283="","받은 가족 없음 ","")&amp;IF(C283="","금액 없음 ",IF(ISNUMBER(C283),IF(C283&lt;1000,"금액 확인 ",""),"금액 확인 "))&amp;IF(AND(B283&lt;&gt;"",COUNTIFS($A$2:$A$1001,A283,$B$2:$B$1001,B283,$C$2:$C$1001,C283)&gt;1),"중복 의심",""))))</f>
        <v/>
      </c>
      <c r="G283" s="25">
        <f>IF(OR(COUNTA(A283:E283)=0,OR(ISNUMBER(SEARCH("소계",B283)),ISNUMBER(SEARCH("합계",B283)))),"",1+COUNTIF($B$1:B282,"*소계*"))</f>
        <v/>
      </c>
      <c r="H283">
        <f>IF(AND(A283&lt;&gt;"",A283=가족별!$B$1,G283&lt;&gt;""),COUNTIFS($A$2:A283,가족별!$B$1,$G$2:G283,"&gt;0"),"")</f>
        <v/>
      </c>
      <c r="I283">
        <f>IF(ISNUMBER(SEARCH("소계",B283)),COUNTIF($B$2:B283,"*소계*"),"")</f>
        <v/>
      </c>
      <c r="J283">
        <f>IF(F283="",0,1)</f>
        <v/>
      </c>
    </row>
    <row r="284">
      <c r="A284" s="41" t="n"/>
      <c r="B284" s="41" t="n"/>
      <c r="C284" s="24" t="n"/>
      <c r="D284" s="41" t="n"/>
      <c r="E284" s="41" t="n"/>
      <c r="F284" s="19">
        <f>IF(COUNTA(A284:E284)=0,"",IF(OR(ISNUMBER(SEARCH("소계",B284)),ISNUMBER(SEARCH("합계",B284))),"",TRIM(IF(B284="","이름 없음 ","")&amp;IF(A284="","받은 가족 없음 ","")&amp;IF(C284="","금액 없음 ",IF(ISNUMBER(C284),IF(C284&lt;1000,"금액 확인 ",""),"금액 확인 "))&amp;IF(AND(B284&lt;&gt;"",COUNTIFS($A$2:$A$1001,A284,$B$2:$B$1001,B284,$C$2:$C$1001,C284)&gt;1),"중복 의심",""))))</f>
        <v/>
      </c>
      <c r="G284" s="25">
        <f>IF(OR(COUNTA(A284:E284)=0,OR(ISNUMBER(SEARCH("소계",B284)),ISNUMBER(SEARCH("합계",B284)))),"",1+COUNTIF($B$1:B283,"*소계*"))</f>
        <v/>
      </c>
      <c r="H284">
        <f>IF(AND(A284&lt;&gt;"",A284=가족별!$B$1,G284&lt;&gt;""),COUNTIFS($A$2:A284,가족별!$B$1,$G$2:G284,"&gt;0"),"")</f>
        <v/>
      </c>
      <c r="I284">
        <f>IF(ISNUMBER(SEARCH("소계",B284)),COUNTIF($B$2:B284,"*소계*"),"")</f>
        <v/>
      </c>
      <c r="J284">
        <f>IF(F284="",0,1)</f>
        <v/>
      </c>
    </row>
    <row r="285">
      <c r="A285" s="41" t="n"/>
      <c r="B285" s="41" t="n"/>
      <c r="C285" s="24" t="n"/>
      <c r="D285" s="41" t="n"/>
      <c r="E285" s="41" t="n"/>
      <c r="F285" s="19">
        <f>IF(COUNTA(A285:E285)=0,"",IF(OR(ISNUMBER(SEARCH("소계",B285)),ISNUMBER(SEARCH("합계",B285))),"",TRIM(IF(B285="","이름 없음 ","")&amp;IF(A285="","받은 가족 없음 ","")&amp;IF(C285="","금액 없음 ",IF(ISNUMBER(C285),IF(C285&lt;1000,"금액 확인 ",""),"금액 확인 "))&amp;IF(AND(B285&lt;&gt;"",COUNTIFS($A$2:$A$1001,A285,$B$2:$B$1001,B285,$C$2:$C$1001,C285)&gt;1),"중복 의심",""))))</f>
        <v/>
      </c>
      <c r="G285" s="25">
        <f>IF(OR(COUNTA(A285:E285)=0,OR(ISNUMBER(SEARCH("소계",B285)),ISNUMBER(SEARCH("합계",B285)))),"",1+COUNTIF($B$1:B284,"*소계*"))</f>
        <v/>
      </c>
      <c r="H285">
        <f>IF(AND(A285&lt;&gt;"",A285=가족별!$B$1,G285&lt;&gt;""),COUNTIFS($A$2:A285,가족별!$B$1,$G$2:G285,"&gt;0"),"")</f>
        <v/>
      </c>
      <c r="I285">
        <f>IF(ISNUMBER(SEARCH("소계",B285)),COUNTIF($B$2:B285,"*소계*"),"")</f>
        <v/>
      </c>
      <c r="J285">
        <f>IF(F285="",0,1)</f>
        <v/>
      </c>
    </row>
    <row r="286">
      <c r="A286" s="41" t="n"/>
      <c r="B286" s="41" t="n"/>
      <c r="C286" s="24" t="n"/>
      <c r="D286" s="41" t="n"/>
      <c r="E286" s="41" t="n"/>
      <c r="F286" s="19">
        <f>IF(COUNTA(A286:E286)=0,"",IF(OR(ISNUMBER(SEARCH("소계",B286)),ISNUMBER(SEARCH("합계",B286))),"",TRIM(IF(B286="","이름 없음 ","")&amp;IF(A286="","받은 가족 없음 ","")&amp;IF(C286="","금액 없음 ",IF(ISNUMBER(C286),IF(C286&lt;1000,"금액 확인 ",""),"금액 확인 "))&amp;IF(AND(B286&lt;&gt;"",COUNTIFS($A$2:$A$1001,A286,$B$2:$B$1001,B286,$C$2:$C$1001,C286)&gt;1),"중복 의심",""))))</f>
        <v/>
      </c>
      <c r="G286" s="25">
        <f>IF(OR(COUNTA(A286:E286)=0,OR(ISNUMBER(SEARCH("소계",B286)),ISNUMBER(SEARCH("합계",B286)))),"",1+COUNTIF($B$1:B285,"*소계*"))</f>
        <v/>
      </c>
      <c r="H286">
        <f>IF(AND(A286&lt;&gt;"",A286=가족별!$B$1,G286&lt;&gt;""),COUNTIFS($A$2:A286,가족별!$B$1,$G$2:G286,"&gt;0"),"")</f>
        <v/>
      </c>
      <c r="I286">
        <f>IF(ISNUMBER(SEARCH("소계",B286)),COUNTIF($B$2:B286,"*소계*"),"")</f>
        <v/>
      </c>
      <c r="J286">
        <f>IF(F286="",0,1)</f>
        <v/>
      </c>
    </row>
    <row r="287">
      <c r="A287" s="41" t="n"/>
      <c r="B287" s="41" t="n"/>
      <c r="C287" s="24" t="n"/>
      <c r="D287" s="41" t="n"/>
      <c r="E287" s="41" t="n"/>
      <c r="F287" s="19">
        <f>IF(COUNTA(A287:E287)=0,"",IF(OR(ISNUMBER(SEARCH("소계",B287)),ISNUMBER(SEARCH("합계",B287))),"",TRIM(IF(B287="","이름 없음 ","")&amp;IF(A287="","받은 가족 없음 ","")&amp;IF(C287="","금액 없음 ",IF(ISNUMBER(C287),IF(C287&lt;1000,"금액 확인 ",""),"금액 확인 "))&amp;IF(AND(B287&lt;&gt;"",COUNTIFS($A$2:$A$1001,A287,$B$2:$B$1001,B287,$C$2:$C$1001,C287)&gt;1),"중복 의심",""))))</f>
        <v/>
      </c>
      <c r="G287" s="25">
        <f>IF(OR(COUNTA(A287:E287)=0,OR(ISNUMBER(SEARCH("소계",B287)),ISNUMBER(SEARCH("합계",B287)))),"",1+COUNTIF($B$1:B286,"*소계*"))</f>
        <v/>
      </c>
      <c r="H287">
        <f>IF(AND(A287&lt;&gt;"",A287=가족별!$B$1,G287&lt;&gt;""),COUNTIFS($A$2:A287,가족별!$B$1,$G$2:G287,"&gt;0"),"")</f>
        <v/>
      </c>
      <c r="I287">
        <f>IF(ISNUMBER(SEARCH("소계",B287)),COUNTIF($B$2:B287,"*소계*"),"")</f>
        <v/>
      </c>
      <c r="J287">
        <f>IF(F287="",0,1)</f>
        <v/>
      </c>
    </row>
    <row r="288">
      <c r="A288" s="41" t="n"/>
      <c r="B288" s="41" t="n"/>
      <c r="C288" s="24" t="n"/>
      <c r="D288" s="41" t="n"/>
      <c r="E288" s="41" t="n"/>
      <c r="F288" s="19">
        <f>IF(COUNTA(A288:E288)=0,"",IF(OR(ISNUMBER(SEARCH("소계",B288)),ISNUMBER(SEARCH("합계",B288))),"",TRIM(IF(B288="","이름 없음 ","")&amp;IF(A288="","받은 가족 없음 ","")&amp;IF(C288="","금액 없음 ",IF(ISNUMBER(C288),IF(C288&lt;1000,"금액 확인 ",""),"금액 확인 "))&amp;IF(AND(B288&lt;&gt;"",COUNTIFS($A$2:$A$1001,A288,$B$2:$B$1001,B288,$C$2:$C$1001,C288)&gt;1),"중복 의심",""))))</f>
        <v/>
      </c>
      <c r="G288" s="25">
        <f>IF(OR(COUNTA(A288:E288)=0,OR(ISNUMBER(SEARCH("소계",B288)),ISNUMBER(SEARCH("합계",B288)))),"",1+COUNTIF($B$1:B287,"*소계*"))</f>
        <v/>
      </c>
      <c r="H288">
        <f>IF(AND(A288&lt;&gt;"",A288=가족별!$B$1,G288&lt;&gt;""),COUNTIFS($A$2:A288,가족별!$B$1,$G$2:G288,"&gt;0"),"")</f>
        <v/>
      </c>
      <c r="I288">
        <f>IF(ISNUMBER(SEARCH("소계",B288)),COUNTIF($B$2:B288,"*소계*"),"")</f>
        <v/>
      </c>
      <c r="J288">
        <f>IF(F288="",0,1)</f>
        <v/>
      </c>
    </row>
    <row r="289">
      <c r="A289" s="41" t="n"/>
      <c r="B289" s="41" t="n"/>
      <c r="C289" s="24" t="n"/>
      <c r="D289" s="41" t="n"/>
      <c r="E289" s="41" t="n"/>
      <c r="F289" s="19">
        <f>IF(COUNTA(A289:E289)=0,"",IF(OR(ISNUMBER(SEARCH("소계",B289)),ISNUMBER(SEARCH("합계",B289))),"",TRIM(IF(B289="","이름 없음 ","")&amp;IF(A289="","받은 가족 없음 ","")&amp;IF(C289="","금액 없음 ",IF(ISNUMBER(C289),IF(C289&lt;1000,"금액 확인 ",""),"금액 확인 "))&amp;IF(AND(B289&lt;&gt;"",COUNTIFS($A$2:$A$1001,A289,$B$2:$B$1001,B289,$C$2:$C$1001,C289)&gt;1),"중복 의심",""))))</f>
        <v/>
      </c>
      <c r="G289" s="25">
        <f>IF(OR(COUNTA(A289:E289)=0,OR(ISNUMBER(SEARCH("소계",B289)),ISNUMBER(SEARCH("합계",B289)))),"",1+COUNTIF($B$1:B288,"*소계*"))</f>
        <v/>
      </c>
      <c r="H289">
        <f>IF(AND(A289&lt;&gt;"",A289=가족별!$B$1,G289&lt;&gt;""),COUNTIFS($A$2:A289,가족별!$B$1,$G$2:G289,"&gt;0"),"")</f>
        <v/>
      </c>
      <c r="I289">
        <f>IF(ISNUMBER(SEARCH("소계",B289)),COUNTIF($B$2:B289,"*소계*"),"")</f>
        <v/>
      </c>
      <c r="J289">
        <f>IF(F289="",0,1)</f>
        <v/>
      </c>
    </row>
    <row r="290">
      <c r="A290" s="41" t="n"/>
      <c r="B290" s="41" t="n"/>
      <c r="C290" s="24" t="n"/>
      <c r="D290" s="41" t="n"/>
      <c r="E290" s="41" t="n"/>
      <c r="F290" s="19">
        <f>IF(COUNTA(A290:E290)=0,"",IF(OR(ISNUMBER(SEARCH("소계",B290)),ISNUMBER(SEARCH("합계",B290))),"",TRIM(IF(B290="","이름 없음 ","")&amp;IF(A290="","받은 가족 없음 ","")&amp;IF(C290="","금액 없음 ",IF(ISNUMBER(C290),IF(C290&lt;1000,"금액 확인 ",""),"금액 확인 "))&amp;IF(AND(B290&lt;&gt;"",COUNTIFS($A$2:$A$1001,A290,$B$2:$B$1001,B290,$C$2:$C$1001,C290)&gt;1),"중복 의심",""))))</f>
        <v/>
      </c>
      <c r="G290" s="25">
        <f>IF(OR(COUNTA(A290:E290)=0,OR(ISNUMBER(SEARCH("소계",B290)),ISNUMBER(SEARCH("합계",B290)))),"",1+COUNTIF($B$1:B289,"*소계*"))</f>
        <v/>
      </c>
      <c r="H290">
        <f>IF(AND(A290&lt;&gt;"",A290=가족별!$B$1,G290&lt;&gt;""),COUNTIFS($A$2:A290,가족별!$B$1,$G$2:G290,"&gt;0"),"")</f>
        <v/>
      </c>
      <c r="I290">
        <f>IF(ISNUMBER(SEARCH("소계",B290)),COUNTIF($B$2:B290,"*소계*"),"")</f>
        <v/>
      </c>
      <c r="J290">
        <f>IF(F290="",0,1)</f>
        <v/>
      </c>
    </row>
    <row r="291">
      <c r="A291" s="41" t="n"/>
      <c r="B291" s="41" t="n"/>
      <c r="C291" s="24" t="n"/>
      <c r="D291" s="41" t="n"/>
      <c r="E291" s="41" t="n"/>
      <c r="F291" s="19">
        <f>IF(COUNTA(A291:E291)=0,"",IF(OR(ISNUMBER(SEARCH("소계",B291)),ISNUMBER(SEARCH("합계",B291))),"",TRIM(IF(B291="","이름 없음 ","")&amp;IF(A291="","받은 가족 없음 ","")&amp;IF(C291="","금액 없음 ",IF(ISNUMBER(C291),IF(C291&lt;1000,"금액 확인 ",""),"금액 확인 "))&amp;IF(AND(B291&lt;&gt;"",COUNTIFS($A$2:$A$1001,A291,$B$2:$B$1001,B291,$C$2:$C$1001,C291)&gt;1),"중복 의심",""))))</f>
        <v/>
      </c>
      <c r="G291" s="25">
        <f>IF(OR(COUNTA(A291:E291)=0,OR(ISNUMBER(SEARCH("소계",B291)),ISNUMBER(SEARCH("합계",B291)))),"",1+COUNTIF($B$1:B290,"*소계*"))</f>
        <v/>
      </c>
      <c r="H291">
        <f>IF(AND(A291&lt;&gt;"",A291=가족별!$B$1,G291&lt;&gt;""),COUNTIFS($A$2:A291,가족별!$B$1,$G$2:G291,"&gt;0"),"")</f>
        <v/>
      </c>
      <c r="I291">
        <f>IF(ISNUMBER(SEARCH("소계",B291)),COUNTIF($B$2:B291,"*소계*"),"")</f>
        <v/>
      </c>
      <c r="J291">
        <f>IF(F291="",0,1)</f>
        <v/>
      </c>
    </row>
    <row r="292">
      <c r="A292" s="41" t="n"/>
      <c r="B292" s="41" t="n"/>
      <c r="C292" s="24" t="n"/>
      <c r="D292" s="41" t="n"/>
      <c r="E292" s="41" t="n"/>
      <c r="F292" s="19">
        <f>IF(COUNTA(A292:E292)=0,"",IF(OR(ISNUMBER(SEARCH("소계",B292)),ISNUMBER(SEARCH("합계",B292))),"",TRIM(IF(B292="","이름 없음 ","")&amp;IF(A292="","받은 가족 없음 ","")&amp;IF(C292="","금액 없음 ",IF(ISNUMBER(C292),IF(C292&lt;1000,"금액 확인 ",""),"금액 확인 "))&amp;IF(AND(B292&lt;&gt;"",COUNTIFS($A$2:$A$1001,A292,$B$2:$B$1001,B292,$C$2:$C$1001,C292)&gt;1),"중복 의심",""))))</f>
        <v/>
      </c>
      <c r="G292" s="25">
        <f>IF(OR(COUNTA(A292:E292)=0,OR(ISNUMBER(SEARCH("소계",B292)),ISNUMBER(SEARCH("합계",B292)))),"",1+COUNTIF($B$1:B291,"*소계*"))</f>
        <v/>
      </c>
      <c r="H292">
        <f>IF(AND(A292&lt;&gt;"",A292=가족별!$B$1,G292&lt;&gt;""),COUNTIFS($A$2:A292,가족별!$B$1,$G$2:G292,"&gt;0"),"")</f>
        <v/>
      </c>
      <c r="I292">
        <f>IF(ISNUMBER(SEARCH("소계",B292)),COUNTIF($B$2:B292,"*소계*"),"")</f>
        <v/>
      </c>
      <c r="J292">
        <f>IF(F292="",0,1)</f>
        <v/>
      </c>
    </row>
    <row r="293">
      <c r="A293" s="41" t="n"/>
      <c r="B293" s="41" t="n"/>
      <c r="C293" s="24" t="n"/>
      <c r="D293" s="41" t="n"/>
      <c r="E293" s="41" t="n"/>
      <c r="F293" s="19">
        <f>IF(COUNTA(A293:E293)=0,"",IF(OR(ISNUMBER(SEARCH("소계",B293)),ISNUMBER(SEARCH("합계",B293))),"",TRIM(IF(B293="","이름 없음 ","")&amp;IF(A293="","받은 가족 없음 ","")&amp;IF(C293="","금액 없음 ",IF(ISNUMBER(C293),IF(C293&lt;1000,"금액 확인 ",""),"금액 확인 "))&amp;IF(AND(B293&lt;&gt;"",COUNTIFS($A$2:$A$1001,A293,$B$2:$B$1001,B293,$C$2:$C$1001,C293)&gt;1),"중복 의심",""))))</f>
        <v/>
      </c>
      <c r="G293" s="25">
        <f>IF(OR(COUNTA(A293:E293)=0,OR(ISNUMBER(SEARCH("소계",B293)),ISNUMBER(SEARCH("합계",B293)))),"",1+COUNTIF($B$1:B292,"*소계*"))</f>
        <v/>
      </c>
      <c r="H293">
        <f>IF(AND(A293&lt;&gt;"",A293=가족별!$B$1,G293&lt;&gt;""),COUNTIFS($A$2:A293,가족별!$B$1,$G$2:G293,"&gt;0"),"")</f>
        <v/>
      </c>
      <c r="I293">
        <f>IF(ISNUMBER(SEARCH("소계",B293)),COUNTIF($B$2:B293,"*소계*"),"")</f>
        <v/>
      </c>
      <c r="J293">
        <f>IF(F293="",0,1)</f>
        <v/>
      </c>
    </row>
    <row r="294">
      <c r="A294" s="41" t="n"/>
      <c r="B294" s="41" t="n"/>
      <c r="C294" s="24" t="n"/>
      <c r="D294" s="41" t="n"/>
      <c r="E294" s="41" t="n"/>
      <c r="F294" s="19">
        <f>IF(COUNTA(A294:E294)=0,"",IF(OR(ISNUMBER(SEARCH("소계",B294)),ISNUMBER(SEARCH("합계",B294))),"",TRIM(IF(B294="","이름 없음 ","")&amp;IF(A294="","받은 가족 없음 ","")&amp;IF(C294="","금액 없음 ",IF(ISNUMBER(C294),IF(C294&lt;1000,"금액 확인 ",""),"금액 확인 "))&amp;IF(AND(B294&lt;&gt;"",COUNTIFS($A$2:$A$1001,A294,$B$2:$B$1001,B294,$C$2:$C$1001,C294)&gt;1),"중복 의심",""))))</f>
        <v/>
      </c>
      <c r="G294" s="25">
        <f>IF(OR(COUNTA(A294:E294)=0,OR(ISNUMBER(SEARCH("소계",B294)),ISNUMBER(SEARCH("합계",B294)))),"",1+COUNTIF($B$1:B293,"*소계*"))</f>
        <v/>
      </c>
      <c r="H294">
        <f>IF(AND(A294&lt;&gt;"",A294=가족별!$B$1,G294&lt;&gt;""),COUNTIFS($A$2:A294,가족별!$B$1,$G$2:G294,"&gt;0"),"")</f>
        <v/>
      </c>
      <c r="I294">
        <f>IF(ISNUMBER(SEARCH("소계",B294)),COUNTIF($B$2:B294,"*소계*"),"")</f>
        <v/>
      </c>
      <c r="J294">
        <f>IF(F294="",0,1)</f>
        <v/>
      </c>
    </row>
    <row r="295">
      <c r="A295" s="41" t="n"/>
      <c r="B295" s="41" t="n"/>
      <c r="C295" s="24" t="n"/>
      <c r="D295" s="41" t="n"/>
      <c r="E295" s="41" t="n"/>
      <c r="F295" s="19">
        <f>IF(COUNTA(A295:E295)=0,"",IF(OR(ISNUMBER(SEARCH("소계",B295)),ISNUMBER(SEARCH("합계",B295))),"",TRIM(IF(B295="","이름 없음 ","")&amp;IF(A295="","받은 가족 없음 ","")&amp;IF(C295="","금액 없음 ",IF(ISNUMBER(C295),IF(C295&lt;1000,"금액 확인 ",""),"금액 확인 "))&amp;IF(AND(B295&lt;&gt;"",COUNTIFS($A$2:$A$1001,A295,$B$2:$B$1001,B295,$C$2:$C$1001,C295)&gt;1),"중복 의심",""))))</f>
        <v/>
      </c>
      <c r="G295" s="25">
        <f>IF(OR(COUNTA(A295:E295)=0,OR(ISNUMBER(SEARCH("소계",B295)),ISNUMBER(SEARCH("합계",B295)))),"",1+COUNTIF($B$1:B294,"*소계*"))</f>
        <v/>
      </c>
      <c r="H295">
        <f>IF(AND(A295&lt;&gt;"",A295=가족별!$B$1,G295&lt;&gt;""),COUNTIFS($A$2:A295,가족별!$B$1,$G$2:G295,"&gt;0"),"")</f>
        <v/>
      </c>
      <c r="I295">
        <f>IF(ISNUMBER(SEARCH("소계",B295)),COUNTIF($B$2:B295,"*소계*"),"")</f>
        <v/>
      </c>
      <c r="J295">
        <f>IF(F295="",0,1)</f>
        <v/>
      </c>
    </row>
    <row r="296">
      <c r="A296" s="41" t="n"/>
      <c r="B296" s="41" t="n"/>
      <c r="C296" s="24" t="n"/>
      <c r="D296" s="41" t="n"/>
      <c r="E296" s="41" t="n"/>
      <c r="F296" s="19">
        <f>IF(COUNTA(A296:E296)=0,"",IF(OR(ISNUMBER(SEARCH("소계",B296)),ISNUMBER(SEARCH("합계",B296))),"",TRIM(IF(B296="","이름 없음 ","")&amp;IF(A296="","받은 가족 없음 ","")&amp;IF(C296="","금액 없음 ",IF(ISNUMBER(C296),IF(C296&lt;1000,"금액 확인 ",""),"금액 확인 "))&amp;IF(AND(B296&lt;&gt;"",COUNTIFS($A$2:$A$1001,A296,$B$2:$B$1001,B296,$C$2:$C$1001,C296)&gt;1),"중복 의심",""))))</f>
        <v/>
      </c>
      <c r="G296" s="25">
        <f>IF(OR(COUNTA(A296:E296)=0,OR(ISNUMBER(SEARCH("소계",B296)),ISNUMBER(SEARCH("합계",B296)))),"",1+COUNTIF($B$1:B295,"*소계*"))</f>
        <v/>
      </c>
      <c r="H296">
        <f>IF(AND(A296&lt;&gt;"",A296=가족별!$B$1,G296&lt;&gt;""),COUNTIFS($A$2:A296,가족별!$B$1,$G$2:G296,"&gt;0"),"")</f>
        <v/>
      </c>
      <c r="I296">
        <f>IF(ISNUMBER(SEARCH("소계",B296)),COUNTIF($B$2:B296,"*소계*"),"")</f>
        <v/>
      </c>
      <c r="J296">
        <f>IF(F296="",0,1)</f>
        <v/>
      </c>
    </row>
    <row r="297">
      <c r="A297" s="41" t="n"/>
      <c r="B297" s="41" t="n"/>
      <c r="C297" s="24" t="n"/>
      <c r="D297" s="41" t="n"/>
      <c r="E297" s="41" t="n"/>
      <c r="F297" s="19">
        <f>IF(COUNTA(A297:E297)=0,"",IF(OR(ISNUMBER(SEARCH("소계",B297)),ISNUMBER(SEARCH("합계",B297))),"",TRIM(IF(B297="","이름 없음 ","")&amp;IF(A297="","받은 가족 없음 ","")&amp;IF(C297="","금액 없음 ",IF(ISNUMBER(C297),IF(C297&lt;1000,"금액 확인 ",""),"금액 확인 "))&amp;IF(AND(B297&lt;&gt;"",COUNTIFS($A$2:$A$1001,A297,$B$2:$B$1001,B297,$C$2:$C$1001,C297)&gt;1),"중복 의심",""))))</f>
        <v/>
      </c>
      <c r="G297" s="25">
        <f>IF(OR(COUNTA(A297:E297)=0,OR(ISNUMBER(SEARCH("소계",B297)),ISNUMBER(SEARCH("합계",B297)))),"",1+COUNTIF($B$1:B296,"*소계*"))</f>
        <v/>
      </c>
      <c r="H297">
        <f>IF(AND(A297&lt;&gt;"",A297=가족별!$B$1,G297&lt;&gt;""),COUNTIFS($A$2:A297,가족별!$B$1,$G$2:G297,"&gt;0"),"")</f>
        <v/>
      </c>
      <c r="I297">
        <f>IF(ISNUMBER(SEARCH("소계",B297)),COUNTIF($B$2:B297,"*소계*"),"")</f>
        <v/>
      </c>
      <c r="J297">
        <f>IF(F297="",0,1)</f>
        <v/>
      </c>
    </row>
    <row r="298">
      <c r="A298" s="41" t="n"/>
      <c r="B298" s="41" t="n"/>
      <c r="C298" s="24" t="n"/>
      <c r="D298" s="41" t="n"/>
      <c r="E298" s="41" t="n"/>
      <c r="F298" s="19">
        <f>IF(COUNTA(A298:E298)=0,"",IF(OR(ISNUMBER(SEARCH("소계",B298)),ISNUMBER(SEARCH("합계",B298))),"",TRIM(IF(B298="","이름 없음 ","")&amp;IF(A298="","받은 가족 없음 ","")&amp;IF(C298="","금액 없음 ",IF(ISNUMBER(C298),IF(C298&lt;1000,"금액 확인 ",""),"금액 확인 "))&amp;IF(AND(B298&lt;&gt;"",COUNTIFS($A$2:$A$1001,A298,$B$2:$B$1001,B298,$C$2:$C$1001,C298)&gt;1),"중복 의심",""))))</f>
        <v/>
      </c>
      <c r="G298" s="25">
        <f>IF(OR(COUNTA(A298:E298)=0,OR(ISNUMBER(SEARCH("소계",B298)),ISNUMBER(SEARCH("합계",B298)))),"",1+COUNTIF($B$1:B297,"*소계*"))</f>
        <v/>
      </c>
      <c r="H298">
        <f>IF(AND(A298&lt;&gt;"",A298=가족별!$B$1,G298&lt;&gt;""),COUNTIFS($A$2:A298,가족별!$B$1,$G$2:G298,"&gt;0"),"")</f>
        <v/>
      </c>
      <c r="I298">
        <f>IF(ISNUMBER(SEARCH("소계",B298)),COUNTIF($B$2:B298,"*소계*"),"")</f>
        <v/>
      </c>
      <c r="J298">
        <f>IF(F298="",0,1)</f>
        <v/>
      </c>
    </row>
    <row r="299">
      <c r="A299" s="41" t="n"/>
      <c r="B299" s="41" t="n"/>
      <c r="C299" s="24" t="n"/>
      <c r="D299" s="41" t="n"/>
      <c r="E299" s="41" t="n"/>
      <c r="F299" s="19">
        <f>IF(COUNTA(A299:E299)=0,"",IF(OR(ISNUMBER(SEARCH("소계",B299)),ISNUMBER(SEARCH("합계",B299))),"",TRIM(IF(B299="","이름 없음 ","")&amp;IF(A299="","받은 가족 없음 ","")&amp;IF(C299="","금액 없음 ",IF(ISNUMBER(C299),IF(C299&lt;1000,"금액 확인 ",""),"금액 확인 "))&amp;IF(AND(B299&lt;&gt;"",COUNTIFS($A$2:$A$1001,A299,$B$2:$B$1001,B299,$C$2:$C$1001,C299)&gt;1),"중복 의심",""))))</f>
        <v/>
      </c>
      <c r="G299" s="25">
        <f>IF(OR(COUNTA(A299:E299)=0,OR(ISNUMBER(SEARCH("소계",B299)),ISNUMBER(SEARCH("합계",B299)))),"",1+COUNTIF($B$1:B298,"*소계*"))</f>
        <v/>
      </c>
      <c r="H299">
        <f>IF(AND(A299&lt;&gt;"",A299=가족별!$B$1,G299&lt;&gt;""),COUNTIFS($A$2:A299,가족별!$B$1,$G$2:G299,"&gt;0"),"")</f>
        <v/>
      </c>
      <c r="I299">
        <f>IF(ISNUMBER(SEARCH("소계",B299)),COUNTIF($B$2:B299,"*소계*"),"")</f>
        <v/>
      </c>
      <c r="J299">
        <f>IF(F299="",0,1)</f>
        <v/>
      </c>
    </row>
    <row r="300">
      <c r="A300" s="41" t="n"/>
      <c r="B300" s="41" t="n"/>
      <c r="C300" s="24" t="n"/>
      <c r="D300" s="41" t="n"/>
      <c r="E300" s="41" t="n"/>
      <c r="F300" s="19">
        <f>IF(COUNTA(A300:E300)=0,"",IF(OR(ISNUMBER(SEARCH("소계",B300)),ISNUMBER(SEARCH("합계",B300))),"",TRIM(IF(B300="","이름 없음 ","")&amp;IF(A300="","받은 가족 없음 ","")&amp;IF(C300="","금액 없음 ",IF(ISNUMBER(C300),IF(C300&lt;1000,"금액 확인 ",""),"금액 확인 "))&amp;IF(AND(B300&lt;&gt;"",COUNTIFS($A$2:$A$1001,A300,$B$2:$B$1001,B300,$C$2:$C$1001,C300)&gt;1),"중복 의심",""))))</f>
        <v/>
      </c>
      <c r="G300" s="25">
        <f>IF(OR(COUNTA(A300:E300)=0,OR(ISNUMBER(SEARCH("소계",B300)),ISNUMBER(SEARCH("합계",B300)))),"",1+COUNTIF($B$1:B299,"*소계*"))</f>
        <v/>
      </c>
      <c r="H300">
        <f>IF(AND(A300&lt;&gt;"",A300=가족별!$B$1,G300&lt;&gt;""),COUNTIFS($A$2:A300,가족별!$B$1,$G$2:G300,"&gt;0"),"")</f>
        <v/>
      </c>
      <c r="I300">
        <f>IF(ISNUMBER(SEARCH("소계",B300)),COUNTIF($B$2:B300,"*소계*"),"")</f>
        <v/>
      </c>
      <c r="J300">
        <f>IF(F300="",0,1)</f>
        <v/>
      </c>
    </row>
    <row r="301">
      <c r="A301" s="41" t="n"/>
      <c r="B301" s="41" t="n"/>
      <c r="C301" s="24" t="n"/>
      <c r="D301" s="41" t="n"/>
      <c r="E301" s="41" t="n"/>
      <c r="F301" s="19">
        <f>IF(COUNTA(A301:E301)=0,"",IF(OR(ISNUMBER(SEARCH("소계",B301)),ISNUMBER(SEARCH("합계",B301))),"",TRIM(IF(B301="","이름 없음 ","")&amp;IF(A301="","받은 가족 없음 ","")&amp;IF(C301="","금액 없음 ",IF(ISNUMBER(C301),IF(C301&lt;1000,"금액 확인 ",""),"금액 확인 "))&amp;IF(AND(B301&lt;&gt;"",COUNTIFS($A$2:$A$1001,A301,$B$2:$B$1001,B301,$C$2:$C$1001,C301)&gt;1),"중복 의심",""))))</f>
        <v/>
      </c>
      <c r="G301" s="25">
        <f>IF(OR(COUNTA(A301:E301)=0,OR(ISNUMBER(SEARCH("소계",B301)),ISNUMBER(SEARCH("합계",B301)))),"",1+COUNTIF($B$1:B300,"*소계*"))</f>
        <v/>
      </c>
      <c r="H301">
        <f>IF(AND(A301&lt;&gt;"",A301=가족별!$B$1,G301&lt;&gt;""),COUNTIFS($A$2:A301,가족별!$B$1,$G$2:G301,"&gt;0"),"")</f>
        <v/>
      </c>
      <c r="I301">
        <f>IF(ISNUMBER(SEARCH("소계",B301)),COUNTIF($B$2:B301,"*소계*"),"")</f>
        <v/>
      </c>
      <c r="J301">
        <f>IF(F301="",0,1)</f>
        <v/>
      </c>
    </row>
    <row r="302">
      <c r="A302" s="41" t="n"/>
      <c r="B302" s="41" t="n"/>
      <c r="C302" s="24" t="n"/>
      <c r="D302" s="41" t="n"/>
      <c r="E302" s="41" t="n"/>
      <c r="F302" s="19">
        <f>IF(COUNTA(A302:E302)=0,"",IF(OR(ISNUMBER(SEARCH("소계",B302)),ISNUMBER(SEARCH("합계",B302))),"",TRIM(IF(B302="","이름 없음 ","")&amp;IF(A302="","받은 가족 없음 ","")&amp;IF(C302="","금액 없음 ",IF(ISNUMBER(C302),IF(C302&lt;1000,"금액 확인 ",""),"금액 확인 "))&amp;IF(AND(B302&lt;&gt;"",COUNTIFS($A$2:$A$1001,A302,$B$2:$B$1001,B302,$C$2:$C$1001,C302)&gt;1),"중복 의심",""))))</f>
        <v/>
      </c>
      <c r="G302" s="25">
        <f>IF(OR(COUNTA(A302:E302)=0,OR(ISNUMBER(SEARCH("소계",B302)),ISNUMBER(SEARCH("합계",B302)))),"",1+COUNTIF($B$1:B301,"*소계*"))</f>
        <v/>
      </c>
      <c r="H302">
        <f>IF(AND(A302&lt;&gt;"",A302=가족별!$B$1,G302&lt;&gt;""),COUNTIFS($A$2:A302,가족별!$B$1,$G$2:G302,"&gt;0"),"")</f>
        <v/>
      </c>
      <c r="I302">
        <f>IF(ISNUMBER(SEARCH("소계",B302)),COUNTIF($B$2:B302,"*소계*"),"")</f>
        <v/>
      </c>
      <c r="J302">
        <f>IF(F302="",0,1)</f>
        <v/>
      </c>
    </row>
    <row r="303">
      <c r="A303" s="41" t="n"/>
      <c r="B303" s="41" t="n"/>
      <c r="C303" s="24" t="n"/>
      <c r="D303" s="41" t="n"/>
      <c r="E303" s="41" t="n"/>
      <c r="F303" s="19">
        <f>IF(COUNTA(A303:E303)=0,"",IF(OR(ISNUMBER(SEARCH("소계",B303)),ISNUMBER(SEARCH("합계",B303))),"",TRIM(IF(B303="","이름 없음 ","")&amp;IF(A303="","받은 가족 없음 ","")&amp;IF(C303="","금액 없음 ",IF(ISNUMBER(C303),IF(C303&lt;1000,"금액 확인 ",""),"금액 확인 "))&amp;IF(AND(B303&lt;&gt;"",COUNTIFS($A$2:$A$1001,A303,$B$2:$B$1001,B303,$C$2:$C$1001,C303)&gt;1),"중복 의심",""))))</f>
        <v/>
      </c>
      <c r="G303" s="25">
        <f>IF(OR(COUNTA(A303:E303)=0,OR(ISNUMBER(SEARCH("소계",B303)),ISNUMBER(SEARCH("합계",B303)))),"",1+COUNTIF($B$1:B302,"*소계*"))</f>
        <v/>
      </c>
      <c r="H303">
        <f>IF(AND(A303&lt;&gt;"",A303=가족별!$B$1,G303&lt;&gt;""),COUNTIFS($A$2:A303,가족별!$B$1,$G$2:G303,"&gt;0"),"")</f>
        <v/>
      </c>
      <c r="I303">
        <f>IF(ISNUMBER(SEARCH("소계",B303)),COUNTIF($B$2:B303,"*소계*"),"")</f>
        <v/>
      </c>
      <c r="J303">
        <f>IF(F303="",0,1)</f>
        <v/>
      </c>
    </row>
    <row r="304">
      <c r="A304" s="41" t="n"/>
      <c r="B304" s="41" t="n"/>
      <c r="C304" s="24" t="n"/>
      <c r="D304" s="41" t="n"/>
      <c r="E304" s="41" t="n"/>
      <c r="F304" s="19">
        <f>IF(COUNTA(A304:E304)=0,"",IF(OR(ISNUMBER(SEARCH("소계",B304)),ISNUMBER(SEARCH("합계",B304))),"",TRIM(IF(B304="","이름 없음 ","")&amp;IF(A304="","받은 가족 없음 ","")&amp;IF(C304="","금액 없음 ",IF(ISNUMBER(C304),IF(C304&lt;1000,"금액 확인 ",""),"금액 확인 "))&amp;IF(AND(B304&lt;&gt;"",COUNTIFS($A$2:$A$1001,A304,$B$2:$B$1001,B304,$C$2:$C$1001,C304)&gt;1),"중복 의심",""))))</f>
        <v/>
      </c>
      <c r="G304" s="25">
        <f>IF(OR(COUNTA(A304:E304)=0,OR(ISNUMBER(SEARCH("소계",B304)),ISNUMBER(SEARCH("합계",B304)))),"",1+COUNTIF($B$1:B303,"*소계*"))</f>
        <v/>
      </c>
      <c r="H304">
        <f>IF(AND(A304&lt;&gt;"",A304=가족별!$B$1,G304&lt;&gt;""),COUNTIFS($A$2:A304,가족별!$B$1,$G$2:G304,"&gt;0"),"")</f>
        <v/>
      </c>
      <c r="I304">
        <f>IF(ISNUMBER(SEARCH("소계",B304)),COUNTIF($B$2:B304,"*소계*"),"")</f>
        <v/>
      </c>
      <c r="J304">
        <f>IF(F304="",0,1)</f>
        <v/>
      </c>
    </row>
    <row r="305">
      <c r="A305" s="41" t="n"/>
      <c r="B305" s="41" t="n"/>
      <c r="C305" s="24" t="n"/>
      <c r="D305" s="41" t="n"/>
      <c r="E305" s="41" t="n"/>
      <c r="F305" s="19">
        <f>IF(COUNTA(A305:E305)=0,"",IF(OR(ISNUMBER(SEARCH("소계",B305)),ISNUMBER(SEARCH("합계",B305))),"",TRIM(IF(B305="","이름 없음 ","")&amp;IF(A305="","받은 가족 없음 ","")&amp;IF(C305="","금액 없음 ",IF(ISNUMBER(C305),IF(C305&lt;1000,"금액 확인 ",""),"금액 확인 "))&amp;IF(AND(B305&lt;&gt;"",COUNTIFS($A$2:$A$1001,A305,$B$2:$B$1001,B305,$C$2:$C$1001,C305)&gt;1),"중복 의심",""))))</f>
        <v/>
      </c>
      <c r="G305" s="25">
        <f>IF(OR(COUNTA(A305:E305)=0,OR(ISNUMBER(SEARCH("소계",B305)),ISNUMBER(SEARCH("합계",B305)))),"",1+COUNTIF($B$1:B304,"*소계*"))</f>
        <v/>
      </c>
      <c r="H305">
        <f>IF(AND(A305&lt;&gt;"",A305=가족별!$B$1,G305&lt;&gt;""),COUNTIFS($A$2:A305,가족별!$B$1,$G$2:G305,"&gt;0"),"")</f>
        <v/>
      </c>
      <c r="I305">
        <f>IF(ISNUMBER(SEARCH("소계",B305)),COUNTIF($B$2:B305,"*소계*"),"")</f>
        <v/>
      </c>
      <c r="J305">
        <f>IF(F305="",0,1)</f>
        <v/>
      </c>
    </row>
    <row r="306">
      <c r="A306" s="41" t="n"/>
      <c r="B306" s="41" t="n"/>
      <c r="C306" s="24" t="n"/>
      <c r="D306" s="41" t="n"/>
      <c r="E306" s="41" t="n"/>
      <c r="F306" s="19">
        <f>IF(COUNTA(A306:E306)=0,"",IF(OR(ISNUMBER(SEARCH("소계",B306)),ISNUMBER(SEARCH("합계",B306))),"",TRIM(IF(B306="","이름 없음 ","")&amp;IF(A306="","받은 가족 없음 ","")&amp;IF(C306="","금액 없음 ",IF(ISNUMBER(C306),IF(C306&lt;1000,"금액 확인 ",""),"금액 확인 "))&amp;IF(AND(B306&lt;&gt;"",COUNTIFS($A$2:$A$1001,A306,$B$2:$B$1001,B306,$C$2:$C$1001,C306)&gt;1),"중복 의심",""))))</f>
        <v/>
      </c>
      <c r="G306" s="25">
        <f>IF(OR(COUNTA(A306:E306)=0,OR(ISNUMBER(SEARCH("소계",B306)),ISNUMBER(SEARCH("합계",B306)))),"",1+COUNTIF($B$1:B305,"*소계*"))</f>
        <v/>
      </c>
      <c r="H306">
        <f>IF(AND(A306&lt;&gt;"",A306=가족별!$B$1,G306&lt;&gt;""),COUNTIFS($A$2:A306,가족별!$B$1,$G$2:G306,"&gt;0"),"")</f>
        <v/>
      </c>
      <c r="I306">
        <f>IF(ISNUMBER(SEARCH("소계",B306)),COUNTIF($B$2:B306,"*소계*"),"")</f>
        <v/>
      </c>
      <c r="J306">
        <f>IF(F306="",0,1)</f>
        <v/>
      </c>
    </row>
    <row r="307">
      <c r="A307" s="41" t="n"/>
      <c r="B307" s="41" t="n"/>
      <c r="C307" s="24" t="n"/>
      <c r="D307" s="41" t="n"/>
      <c r="E307" s="41" t="n"/>
      <c r="F307" s="19">
        <f>IF(COUNTA(A307:E307)=0,"",IF(OR(ISNUMBER(SEARCH("소계",B307)),ISNUMBER(SEARCH("합계",B307))),"",TRIM(IF(B307="","이름 없음 ","")&amp;IF(A307="","받은 가족 없음 ","")&amp;IF(C307="","금액 없음 ",IF(ISNUMBER(C307),IF(C307&lt;1000,"금액 확인 ",""),"금액 확인 "))&amp;IF(AND(B307&lt;&gt;"",COUNTIFS($A$2:$A$1001,A307,$B$2:$B$1001,B307,$C$2:$C$1001,C307)&gt;1),"중복 의심",""))))</f>
        <v/>
      </c>
      <c r="G307" s="25">
        <f>IF(OR(COUNTA(A307:E307)=0,OR(ISNUMBER(SEARCH("소계",B307)),ISNUMBER(SEARCH("합계",B307)))),"",1+COUNTIF($B$1:B306,"*소계*"))</f>
        <v/>
      </c>
      <c r="H307">
        <f>IF(AND(A307&lt;&gt;"",A307=가족별!$B$1,G307&lt;&gt;""),COUNTIFS($A$2:A307,가족별!$B$1,$G$2:G307,"&gt;0"),"")</f>
        <v/>
      </c>
      <c r="I307">
        <f>IF(ISNUMBER(SEARCH("소계",B307)),COUNTIF($B$2:B307,"*소계*"),"")</f>
        <v/>
      </c>
      <c r="J307">
        <f>IF(F307="",0,1)</f>
        <v/>
      </c>
    </row>
    <row r="308">
      <c r="A308" s="41" t="n"/>
      <c r="B308" s="41" t="n"/>
      <c r="C308" s="24" t="n"/>
      <c r="D308" s="41" t="n"/>
      <c r="E308" s="41" t="n"/>
      <c r="F308" s="19">
        <f>IF(COUNTA(A308:E308)=0,"",IF(OR(ISNUMBER(SEARCH("소계",B308)),ISNUMBER(SEARCH("합계",B308))),"",TRIM(IF(B308="","이름 없음 ","")&amp;IF(A308="","받은 가족 없음 ","")&amp;IF(C308="","금액 없음 ",IF(ISNUMBER(C308),IF(C308&lt;1000,"금액 확인 ",""),"금액 확인 "))&amp;IF(AND(B308&lt;&gt;"",COUNTIFS($A$2:$A$1001,A308,$B$2:$B$1001,B308,$C$2:$C$1001,C308)&gt;1),"중복 의심",""))))</f>
        <v/>
      </c>
      <c r="G308" s="25">
        <f>IF(OR(COUNTA(A308:E308)=0,OR(ISNUMBER(SEARCH("소계",B308)),ISNUMBER(SEARCH("합계",B308)))),"",1+COUNTIF($B$1:B307,"*소계*"))</f>
        <v/>
      </c>
      <c r="H308">
        <f>IF(AND(A308&lt;&gt;"",A308=가족별!$B$1,G308&lt;&gt;""),COUNTIFS($A$2:A308,가족별!$B$1,$G$2:G308,"&gt;0"),"")</f>
        <v/>
      </c>
      <c r="I308">
        <f>IF(ISNUMBER(SEARCH("소계",B308)),COUNTIF($B$2:B308,"*소계*"),"")</f>
        <v/>
      </c>
      <c r="J308">
        <f>IF(F308="",0,1)</f>
        <v/>
      </c>
    </row>
    <row r="309">
      <c r="A309" s="41" t="n"/>
      <c r="B309" s="41" t="n"/>
      <c r="C309" s="24" t="n"/>
      <c r="D309" s="41" t="n"/>
      <c r="E309" s="41" t="n"/>
      <c r="F309" s="19">
        <f>IF(COUNTA(A309:E309)=0,"",IF(OR(ISNUMBER(SEARCH("소계",B309)),ISNUMBER(SEARCH("합계",B309))),"",TRIM(IF(B309="","이름 없음 ","")&amp;IF(A309="","받은 가족 없음 ","")&amp;IF(C309="","금액 없음 ",IF(ISNUMBER(C309),IF(C309&lt;1000,"금액 확인 ",""),"금액 확인 "))&amp;IF(AND(B309&lt;&gt;"",COUNTIFS($A$2:$A$1001,A309,$B$2:$B$1001,B309,$C$2:$C$1001,C309)&gt;1),"중복 의심",""))))</f>
        <v/>
      </c>
      <c r="G309" s="25">
        <f>IF(OR(COUNTA(A309:E309)=0,OR(ISNUMBER(SEARCH("소계",B309)),ISNUMBER(SEARCH("합계",B309)))),"",1+COUNTIF($B$1:B308,"*소계*"))</f>
        <v/>
      </c>
      <c r="H309">
        <f>IF(AND(A309&lt;&gt;"",A309=가족별!$B$1,G309&lt;&gt;""),COUNTIFS($A$2:A309,가족별!$B$1,$G$2:G309,"&gt;0"),"")</f>
        <v/>
      </c>
      <c r="I309">
        <f>IF(ISNUMBER(SEARCH("소계",B309)),COUNTIF($B$2:B309,"*소계*"),"")</f>
        <v/>
      </c>
      <c r="J309">
        <f>IF(F309="",0,1)</f>
        <v/>
      </c>
    </row>
    <row r="310">
      <c r="A310" s="41" t="n"/>
      <c r="B310" s="41" t="n"/>
      <c r="C310" s="24" t="n"/>
      <c r="D310" s="41" t="n"/>
      <c r="E310" s="41" t="n"/>
      <c r="F310" s="19">
        <f>IF(COUNTA(A310:E310)=0,"",IF(OR(ISNUMBER(SEARCH("소계",B310)),ISNUMBER(SEARCH("합계",B310))),"",TRIM(IF(B310="","이름 없음 ","")&amp;IF(A310="","받은 가족 없음 ","")&amp;IF(C310="","금액 없음 ",IF(ISNUMBER(C310),IF(C310&lt;1000,"금액 확인 ",""),"금액 확인 "))&amp;IF(AND(B310&lt;&gt;"",COUNTIFS($A$2:$A$1001,A310,$B$2:$B$1001,B310,$C$2:$C$1001,C310)&gt;1),"중복 의심",""))))</f>
        <v/>
      </c>
      <c r="G310" s="25">
        <f>IF(OR(COUNTA(A310:E310)=0,OR(ISNUMBER(SEARCH("소계",B310)),ISNUMBER(SEARCH("합계",B310)))),"",1+COUNTIF($B$1:B309,"*소계*"))</f>
        <v/>
      </c>
      <c r="H310">
        <f>IF(AND(A310&lt;&gt;"",A310=가족별!$B$1,G310&lt;&gt;""),COUNTIFS($A$2:A310,가족별!$B$1,$G$2:G310,"&gt;0"),"")</f>
        <v/>
      </c>
      <c r="I310">
        <f>IF(ISNUMBER(SEARCH("소계",B310)),COUNTIF($B$2:B310,"*소계*"),"")</f>
        <v/>
      </c>
      <c r="J310">
        <f>IF(F310="",0,1)</f>
        <v/>
      </c>
    </row>
    <row r="311">
      <c r="A311" s="41" t="n"/>
      <c r="B311" s="41" t="n"/>
      <c r="C311" s="24" t="n"/>
      <c r="D311" s="41" t="n"/>
      <c r="E311" s="41" t="n"/>
      <c r="F311" s="19">
        <f>IF(COUNTA(A311:E311)=0,"",IF(OR(ISNUMBER(SEARCH("소계",B311)),ISNUMBER(SEARCH("합계",B311))),"",TRIM(IF(B311="","이름 없음 ","")&amp;IF(A311="","받은 가족 없음 ","")&amp;IF(C311="","금액 없음 ",IF(ISNUMBER(C311),IF(C311&lt;1000,"금액 확인 ",""),"금액 확인 "))&amp;IF(AND(B311&lt;&gt;"",COUNTIFS($A$2:$A$1001,A311,$B$2:$B$1001,B311,$C$2:$C$1001,C311)&gt;1),"중복 의심",""))))</f>
        <v/>
      </c>
      <c r="G311" s="25">
        <f>IF(OR(COUNTA(A311:E311)=0,OR(ISNUMBER(SEARCH("소계",B311)),ISNUMBER(SEARCH("합계",B311)))),"",1+COUNTIF($B$1:B310,"*소계*"))</f>
        <v/>
      </c>
      <c r="H311">
        <f>IF(AND(A311&lt;&gt;"",A311=가족별!$B$1,G311&lt;&gt;""),COUNTIFS($A$2:A311,가족별!$B$1,$G$2:G311,"&gt;0"),"")</f>
        <v/>
      </c>
      <c r="I311">
        <f>IF(ISNUMBER(SEARCH("소계",B311)),COUNTIF($B$2:B311,"*소계*"),"")</f>
        <v/>
      </c>
      <c r="J311">
        <f>IF(F311="",0,1)</f>
        <v/>
      </c>
    </row>
    <row r="312">
      <c r="A312" s="41" t="n"/>
      <c r="B312" s="41" t="n"/>
      <c r="C312" s="24" t="n"/>
      <c r="D312" s="41" t="n"/>
      <c r="E312" s="41" t="n"/>
      <c r="F312" s="19">
        <f>IF(COUNTA(A312:E312)=0,"",IF(OR(ISNUMBER(SEARCH("소계",B312)),ISNUMBER(SEARCH("합계",B312))),"",TRIM(IF(B312="","이름 없음 ","")&amp;IF(A312="","받은 가족 없음 ","")&amp;IF(C312="","금액 없음 ",IF(ISNUMBER(C312),IF(C312&lt;1000,"금액 확인 ",""),"금액 확인 "))&amp;IF(AND(B312&lt;&gt;"",COUNTIFS($A$2:$A$1001,A312,$B$2:$B$1001,B312,$C$2:$C$1001,C312)&gt;1),"중복 의심",""))))</f>
        <v/>
      </c>
      <c r="G312" s="25">
        <f>IF(OR(COUNTA(A312:E312)=0,OR(ISNUMBER(SEARCH("소계",B312)),ISNUMBER(SEARCH("합계",B312)))),"",1+COUNTIF($B$1:B311,"*소계*"))</f>
        <v/>
      </c>
      <c r="H312">
        <f>IF(AND(A312&lt;&gt;"",A312=가족별!$B$1,G312&lt;&gt;""),COUNTIFS($A$2:A312,가족별!$B$1,$G$2:G312,"&gt;0"),"")</f>
        <v/>
      </c>
      <c r="I312">
        <f>IF(ISNUMBER(SEARCH("소계",B312)),COUNTIF($B$2:B312,"*소계*"),"")</f>
        <v/>
      </c>
      <c r="J312">
        <f>IF(F312="",0,1)</f>
        <v/>
      </c>
    </row>
    <row r="313">
      <c r="A313" s="41" t="n"/>
      <c r="B313" s="41" t="n"/>
      <c r="C313" s="24" t="n"/>
      <c r="D313" s="41" t="n"/>
      <c r="E313" s="41" t="n"/>
      <c r="F313" s="19">
        <f>IF(COUNTA(A313:E313)=0,"",IF(OR(ISNUMBER(SEARCH("소계",B313)),ISNUMBER(SEARCH("합계",B313))),"",TRIM(IF(B313="","이름 없음 ","")&amp;IF(A313="","받은 가족 없음 ","")&amp;IF(C313="","금액 없음 ",IF(ISNUMBER(C313),IF(C313&lt;1000,"금액 확인 ",""),"금액 확인 "))&amp;IF(AND(B313&lt;&gt;"",COUNTIFS($A$2:$A$1001,A313,$B$2:$B$1001,B313,$C$2:$C$1001,C313)&gt;1),"중복 의심",""))))</f>
        <v/>
      </c>
      <c r="G313" s="25">
        <f>IF(OR(COUNTA(A313:E313)=0,OR(ISNUMBER(SEARCH("소계",B313)),ISNUMBER(SEARCH("합계",B313)))),"",1+COUNTIF($B$1:B312,"*소계*"))</f>
        <v/>
      </c>
      <c r="H313">
        <f>IF(AND(A313&lt;&gt;"",A313=가족별!$B$1,G313&lt;&gt;""),COUNTIFS($A$2:A313,가족별!$B$1,$G$2:G313,"&gt;0"),"")</f>
        <v/>
      </c>
      <c r="I313">
        <f>IF(ISNUMBER(SEARCH("소계",B313)),COUNTIF($B$2:B313,"*소계*"),"")</f>
        <v/>
      </c>
      <c r="J313">
        <f>IF(F313="",0,1)</f>
        <v/>
      </c>
    </row>
    <row r="314">
      <c r="A314" s="41" t="n"/>
      <c r="B314" s="41" t="n"/>
      <c r="C314" s="24" t="n"/>
      <c r="D314" s="41" t="n"/>
      <c r="E314" s="41" t="n"/>
      <c r="F314" s="19">
        <f>IF(COUNTA(A314:E314)=0,"",IF(OR(ISNUMBER(SEARCH("소계",B314)),ISNUMBER(SEARCH("합계",B314))),"",TRIM(IF(B314="","이름 없음 ","")&amp;IF(A314="","받은 가족 없음 ","")&amp;IF(C314="","금액 없음 ",IF(ISNUMBER(C314),IF(C314&lt;1000,"금액 확인 ",""),"금액 확인 "))&amp;IF(AND(B314&lt;&gt;"",COUNTIFS($A$2:$A$1001,A314,$B$2:$B$1001,B314,$C$2:$C$1001,C314)&gt;1),"중복 의심",""))))</f>
        <v/>
      </c>
      <c r="G314" s="25">
        <f>IF(OR(COUNTA(A314:E314)=0,OR(ISNUMBER(SEARCH("소계",B314)),ISNUMBER(SEARCH("합계",B314)))),"",1+COUNTIF($B$1:B313,"*소계*"))</f>
        <v/>
      </c>
      <c r="H314">
        <f>IF(AND(A314&lt;&gt;"",A314=가족별!$B$1,G314&lt;&gt;""),COUNTIFS($A$2:A314,가족별!$B$1,$G$2:G314,"&gt;0"),"")</f>
        <v/>
      </c>
      <c r="I314">
        <f>IF(ISNUMBER(SEARCH("소계",B314)),COUNTIF($B$2:B314,"*소계*"),"")</f>
        <v/>
      </c>
      <c r="J314">
        <f>IF(F314="",0,1)</f>
        <v/>
      </c>
    </row>
    <row r="315">
      <c r="A315" s="41" t="n"/>
      <c r="B315" s="41" t="n"/>
      <c r="C315" s="24" t="n"/>
      <c r="D315" s="41" t="n"/>
      <c r="E315" s="41" t="n"/>
      <c r="F315" s="19">
        <f>IF(COUNTA(A315:E315)=0,"",IF(OR(ISNUMBER(SEARCH("소계",B315)),ISNUMBER(SEARCH("합계",B315))),"",TRIM(IF(B315="","이름 없음 ","")&amp;IF(A315="","받은 가족 없음 ","")&amp;IF(C315="","금액 없음 ",IF(ISNUMBER(C315),IF(C315&lt;1000,"금액 확인 ",""),"금액 확인 "))&amp;IF(AND(B315&lt;&gt;"",COUNTIFS($A$2:$A$1001,A315,$B$2:$B$1001,B315,$C$2:$C$1001,C315)&gt;1),"중복 의심",""))))</f>
        <v/>
      </c>
      <c r="G315" s="25">
        <f>IF(OR(COUNTA(A315:E315)=0,OR(ISNUMBER(SEARCH("소계",B315)),ISNUMBER(SEARCH("합계",B315)))),"",1+COUNTIF($B$1:B314,"*소계*"))</f>
        <v/>
      </c>
      <c r="H315">
        <f>IF(AND(A315&lt;&gt;"",A315=가족별!$B$1,G315&lt;&gt;""),COUNTIFS($A$2:A315,가족별!$B$1,$G$2:G315,"&gt;0"),"")</f>
        <v/>
      </c>
      <c r="I315">
        <f>IF(ISNUMBER(SEARCH("소계",B315)),COUNTIF($B$2:B315,"*소계*"),"")</f>
        <v/>
      </c>
      <c r="J315">
        <f>IF(F315="",0,1)</f>
        <v/>
      </c>
    </row>
    <row r="316">
      <c r="A316" s="41" t="n"/>
      <c r="B316" s="41" t="n"/>
      <c r="C316" s="24" t="n"/>
      <c r="D316" s="41" t="n"/>
      <c r="E316" s="41" t="n"/>
      <c r="F316" s="19">
        <f>IF(COUNTA(A316:E316)=0,"",IF(OR(ISNUMBER(SEARCH("소계",B316)),ISNUMBER(SEARCH("합계",B316))),"",TRIM(IF(B316="","이름 없음 ","")&amp;IF(A316="","받은 가족 없음 ","")&amp;IF(C316="","금액 없음 ",IF(ISNUMBER(C316),IF(C316&lt;1000,"금액 확인 ",""),"금액 확인 "))&amp;IF(AND(B316&lt;&gt;"",COUNTIFS($A$2:$A$1001,A316,$B$2:$B$1001,B316,$C$2:$C$1001,C316)&gt;1),"중복 의심",""))))</f>
        <v/>
      </c>
      <c r="G316" s="25">
        <f>IF(OR(COUNTA(A316:E316)=0,OR(ISNUMBER(SEARCH("소계",B316)),ISNUMBER(SEARCH("합계",B316)))),"",1+COUNTIF($B$1:B315,"*소계*"))</f>
        <v/>
      </c>
      <c r="H316">
        <f>IF(AND(A316&lt;&gt;"",A316=가족별!$B$1,G316&lt;&gt;""),COUNTIFS($A$2:A316,가족별!$B$1,$G$2:G316,"&gt;0"),"")</f>
        <v/>
      </c>
      <c r="I316">
        <f>IF(ISNUMBER(SEARCH("소계",B316)),COUNTIF($B$2:B316,"*소계*"),"")</f>
        <v/>
      </c>
      <c r="J316">
        <f>IF(F316="",0,1)</f>
        <v/>
      </c>
    </row>
    <row r="317">
      <c r="A317" s="41" t="n"/>
      <c r="B317" s="41" t="n"/>
      <c r="C317" s="24" t="n"/>
      <c r="D317" s="41" t="n"/>
      <c r="E317" s="41" t="n"/>
      <c r="F317" s="19">
        <f>IF(COUNTA(A317:E317)=0,"",IF(OR(ISNUMBER(SEARCH("소계",B317)),ISNUMBER(SEARCH("합계",B317))),"",TRIM(IF(B317="","이름 없음 ","")&amp;IF(A317="","받은 가족 없음 ","")&amp;IF(C317="","금액 없음 ",IF(ISNUMBER(C317),IF(C317&lt;1000,"금액 확인 ",""),"금액 확인 "))&amp;IF(AND(B317&lt;&gt;"",COUNTIFS($A$2:$A$1001,A317,$B$2:$B$1001,B317,$C$2:$C$1001,C317)&gt;1),"중복 의심",""))))</f>
        <v/>
      </c>
      <c r="G317" s="25">
        <f>IF(OR(COUNTA(A317:E317)=0,OR(ISNUMBER(SEARCH("소계",B317)),ISNUMBER(SEARCH("합계",B317)))),"",1+COUNTIF($B$1:B316,"*소계*"))</f>
        <v/>
      </c>
      <c r="H317">
        <f>IF(AND(A317&lt;&gt;"",A317=가족별!$B$1,G317&lt;&gt;""),COUNTIFS($A$2:A317,가족별!$B$1,$G$2:G317,"&gt;0"),"")</f>
        <v/>
      </c>
      <c r="I317">
        <f>IF(ISNUMBER(SEARCH("소계",B317)),COUNTIF($B$2:B317,"*소계*"),"")</f>
        <v/>
      </c>
      <c r="J317">
        <f>IF(F317="",0,1)</f>
        <v/>
      </c>
    </row>
    <row r="318">
      <c r="A318" s="41" t="n"/>
      <c r="B318" s="41" t="n"/>
      <c r="C318" s="24" t="n"/>
      <c r="D318" s="41" t="n"/>
      <c r="E318" s="41" t="n"/>
      <c r="F318" s="19">
        <f>IF(COUNTA(A318:E318)=0,"",IF(OR(ISNUMBER(SEARCH("소계",B318)),ISNUMBER(SEARCH("합계",B318))),"",TRIM(IF(B318="","이름 없음 ","")&amp;IF(A318="","받은 가족 없음 ","")&amp;IF(C318="","금액 없음 ",IF(ISNUMBER(C318),IF(C318&lt;1000,"금액 확인 ",""),"금액 확인 "))&amp;IF(AND(B318&lt;&gt;"",COUNTIFS($A$2:$A$1001,A318,$B$2:$B$1001,B318,$C$2:$C$1001,C318)&gt;1),"중복 의심",""))))</f>
        <v/>
      </c>
      <c r="G318" s="25">
        <f>IF(OR(COUNTA(A318:E318)=0,OR(ISNUMBER(SEARCH("소계",B318)),ISNUMBER(SEARCH("합계",B318)))),"",1+COUNTIF($B$1:B317,"*소계*"))</f>
        <v/>
      </c>
      <c r="H318">
        <f>IF(AND(A318&lt;&gt;"",A318=가족별!$B$1,G318&lt;&gt;""),COUNTIFS($A$2:A318,가족별!$B$1,$G$2:G318,"&gt;0"),"")</f>
        <v/>
      </c>
      <c r="I318">
        <f>IF(ISNUMBER(SEARCH("소계",B318)),COUNTIF($B$2:B318,"*소계*"),"")</f>
        <v/>
      </c>
      <c r="J318">
        <f>IF(F318="",0,1)</f>
        <v/>
      </c>
    </row>
    <row r="319">
      <c r="A319" s="41" t="n"/>
      <c r="B319" s="41" t="n"/>
      <c r="C319" s="24" t="n"/>
      <c r="D319" s="41" t="n"/>
      <c r="E319" s="41" t="n"/>
      <c r="F319" s="19">
        <f>IF(COUNTA(A319:E319)=0,"",IF(OR(ISNUMBER(SEARCH("소계",B319)),ISNUMBER(SEARCH("합계",B319))),"",TRIM(IF(B319="","이름 없음 ","")&amp;IF(A319="","받은 가족 없음 ","")&amp;IF(C319="","금액 없음 ",IF(ISNUMBER(C319),IF(C319&lt;1000,"금액 확인 ",""),"금액 확인 "))&amp;IF(AND(B319&lt;&gt;"",COUNTIFS($A$2:$A$1001,A319,$B$2:$B$1001,B319,$C$2:$C$1001,C319)&gt;1),"중복 의심",""))))</f>
        <v/>
      </c>
      <c r="G319" s="25">
        <f>IF(OR(COUNTA(A319:E319)=0,OR(ISNUMBER(SEARCH("소계",B319)),ISNUMBER(SEARCH("합계",B319)))),"",1+COUNTIF($B$1:B318,"*소계*"))</f>
        <v/>
      </c>
      <c r="H319">
        <f>IF(AND(A319&lt;&gt;"",A319=가족별!$B$1,G319&lt;&gt;""),COUNTIFS($A$2:A319,가족별!$B$1,$G$2:G319,"&gt;0"),"")</f>
        <v/>
      </c>
      <c r="I319">
        <f>IF(ISNUMBER(SEARCH("소계",B319)),COUNTIF($B$2:B319,"*소계*"),"")</f>
        <v/>
      </c>
      <c r="J319">
        <f>IF(F319="",0,1)</f>
        <v/>
      </c>
    </row>
    <row r="320">
      <c r="A320" s="41" t="n"/>
      <c r="B320" s="41" t="n"/>
      <c r="C320" s="24" t="n"/>
      <c r="D320" s="41" t="n"/>
      <c r="E320" s="41" t="n"/>
      <c r="F320" s="19">
        <f>IF(COUNTA(A320:E320)=0,"",IF(OR(ISNUMBER(SEARCH("소계",B320)),ISNUMBER(SEARCH("합계",B320))),"",TRIM(IF(B320="","이름 없음 ","")&amp;IF(A320="","받은 가족 없음 ","")&amp;IF(C320="","금액 없음 ",IF(ISNUMBER(C320),IF(C320&lt;1000,"금액 확인 ",""),"금액 확인 "))&amp;IF(AND(B320&lt;&gt;"",COUNTIFS($A$2:$A$1001,A320,$B$2:$B$1001,B320,$C$2:$C$1001,C320)&gt;1),"중복 의심",""))))</f>
        <v/>
      </c>
      <c r="G320" s="25">
        <f>IF(OR(COUNTA(A320:E320)=0,OR(ISNUMBER(SEARCH("소계",B320)),ISNUMBER(SEARCH("합계",B320)))),"",1+COUNTIF($B$1:B319,"*소계*"))</f>
        <v/>
      </c>
      <c r="H320">
        <f>IF(AND(A320&lt;&gt;"",A320=가족별!$B$1,G320&lt;&gt;""),COUNTIFS($A$2:A320,가족별!$B$1,$G$2:G320,"&gt;0"),"")</f>
        <v/>
      </c>
      <c r="I320">
        <f>IF(ISNUMBER(SEARCH("소계",B320)),COUNTIF($B$2:B320,"*소계*"),"")</f>
        <v/>
      </c>
      <c r="J320">
        <f>IF(F320="",0,1)</f>
        <v/>
      </c>
    </row>
    <row r="321">
      <c r="A321" s="41" t="n"/>
      <c r="B321" s="41" t="n"/>
      <c r="C321" s="24" t="n"/>
      <c r="D321" s="41" t="n"/>
      <c r="E321" s="41" t="n"/>
      <c r="F321" s="19">
        <f>IF(COUNTA(A321:E321)=0,"",IF(OR(ISNUMBER(SEARCH("소계",B321)),ISNUMBER(SEARCH("합계",B321))),"",TRIM(IF(B321="","이름 없음 ","")&amp;IF(A321="","받은 가족 없음 ","")&amp;IF(C321="","금액 없음 ",IF(ISNUMBER(C321),IF(C321&lt;1000,"금액 확인 ",""),"금액 확인 "))&amp;IF(AND(B321&lt;&gt;"",COUNTIFS($A$2:$A$1001,A321,$B$2:$B$1001,B321,$C$2:$C$1001,C321)&gt;1),"중복 의심",""))))</f>
        <v/>
      </c>
      <c r="G321" s="25">
        <f>IF(OR(COUNTA(A321:E321)=0,OR(ISNUMBER(SEARCH("소계",B321)),ISNUMBER(SEARCH("합계",B321)))),"",1+COUNTIF($B$1:B320,"*소계*"))</f>
        <v/>
      </c>
      <c r="H321">
        <f>IF(AND(A321&lt;&gt;"",A321=가족별!$B$1,G321&lt;&gt;""),COUNTIFS($A$2:A321,가족별!$B$1,$G$2:G321,"&gt;0"),"")</f>
        <v/>
      </c>
      <c r="I321">
        <f>IF(ISNUMBER(SEARCH("소계",B321)),COUNTIF($B$2:B321,"*소계*"),"")</f>
        <v/>
      </c>
      <c r="J321">
        <f>IF(F321="",0,1)</f>
        <v/>
      </c>
    </row>
    <row r="322">
      <c r="A322" s="41" t="n"/>
      <c r="B322" s="41" t="n"/>
      <c r="C322" s="24" t="n"/>
      <c r="D322" s="41" t="n"/>
      <c r="E322" s="41" t="n"/>
      <c r="F322" s="19">
        <f>IF(COUNTA(A322:E322)=0,"",IF(OR(ISNUMBER(SEARCH("소계",B322)),ISNUMBER(SEARCH("합계",B322))),"",TRIM(IF(B322="","이름 없음 ","")&amp;IF(A322="","받은 가족 없음 ","")&amp;IF(C322="","금액 없음 ",IF(ISNUMBER(C322),IF(C322&lt;1000,"금액 확인 ",""),"금액 확인 "))&amp;IF(AND(B322&lt;&gt;"",COUNTIFS($A$2:$A$1001,A322,$B$2:$B$1001,B322,$C$2:$C$1001,C322)&gt;1),"중복 의심",""))))</f>
        <v/>
      </c>
      <c r="G322" s="25">
        <f>IF(OR(COUNTA(A322:E322)=0,OR(ISNUMBER(SEARCH("소계",B322)),ISNUMBER(SEARCH("합계",B322)))),"",1+COUNTIF($B$1:B321,"*소계*"))</f>
        <v/>
      </c>
      <c r="H322">
        <f>IF(AND(A322&lt;&gt;"",A322=가족별!$B$1,G322&lt;&gt;""),COUNTIFS($A$2:A322,가족별!$B$1,$G$2:G322,"&gt;0"),"")</f>
        <v/>
      </c>
      <c r="I322">
        <f>IF(ISNUMBER(SEARCH("소계",B322)),COUNTIF($B$2:B322,"*소계*"),"")</f>
        <v/>
      </c>
      <c r="J322">
        <f>IF(F322="",0,1)</f>
        <v/>
      </c>
    </row>
    <row r="323">
      <c r="A323" s="41" t="n"/>
      <c r="B323" s="41" t="n"/>
      <c r="C323" s="24" t="n"/>
      <c r="D323" s="41" t="n"/>
      <c r="E323" s="41" t="n"/>
      <c r="F323" s="19">
        <f>IF(COUNTA(A323:E323)=0,"",IF(OR(ISNUMBER(SEARCH("소계",B323)),ISNUMBER(SEARCH("합계",B323))),"",TRIM(IF(B323="","이름 없음 ","")&amp;IF(A323="","받은 가족 없음 ","")&amp;IF(C323="","금액 없음 ",IF(ISNUMBER(C323),IF(C323&lt;1000,"금액 확인 ",""),"금액 확인 "))&amp;IF(AND(B323&lt;&gt;"",COUNTIFS($A$2:$A$1001,A323,$B$2:$B$1001,B323,$C$2:$C$1001,C323)&gt;1),"중복 의심",""))))</f>
        <v/>
      </c>
      <c r="G323" s="25">
        <f>IF(OR(COUNTA(A323:E323)=0,OR(ISNUMBER(SEARCH("소계",B323)),ISNUMBER(SEARCH("합계",B323)))),"",1+COUNTIF($B$1:B322,"*소계*"))</f>
        <v/>
      </c>
      <c r="H323">
        <f>IF(AND(A323&lt;&gt;"",A323=가족별!$B$1,G323&lt;&gt;""),COUNTIFS($A$2:A323,가족별!$B$1,$G$2:G323,"&gt;0"),"")</f>
        <v/>
      </c>
      <c r="I323">
        <f>IF(ISNUMBER(SEARCH("소계",B323)),COUNTIF($B$2:B323,"*소계*"),"")</f>
        <v/>
      </c>
      <c r="J323">
        <f>IF(F323="",0,1)</f>
        <v/>
      </c>
    </row>
    <row r="324">
      <c r="A324" s="41" t="n"/>
      <c r="B324" s="41" t="n"/>
      <c r="C324" s="24" t="n"/>
      <c r="D324" s="41" t="n"/>
      <c r="E324" s="41" t="n"/>
      <c r="F324" s="19">
        <f>IF(COUNTA(A324:E324)=0,"",IF(OR(ISNUMBER(SEARCH("소계",B324)),ISNUMBER(SEARCH("합계",B324))),"",TRIM(IF(B324="","이름 없음 ","")&amp;IF(A324="","받은 가족 없음 ","")&amp;IF(C324="","금액 없음 ",IF(ISNUMBER(C324),IF(C324&lt;1000,"금액 확인 ",""),"금액 확인 "))&amp;IF(AND(B324&lt;&gt;"",COUNTIFS($A$2:$A$1001,A324,$B$2:$B$1001,B324,$C$2:$C$1001,C324)&gt;1),"중복 의심",""))))</f>
        <v/>
      </c>
      <c r="G324" s="25">
        <f>IF(OR(COUNTA(A324:E324)=0,OR(ISNUMBER(SEARCH("소계",B324)),ISNUMBER(SEARCH("합계",B324)))),"",1+COUNTIF($B$1:B323,"*소계*"))</f>
        <v/>
      </c>
      <c r="H324">
        <f>IF(AND(A324&lt;&gt;"",A324=가족별!$B$1,G324&lt;&gt;""),COUNTIFS($A$2:A324,가족별!$B$1,$G$2:G324,"&gt;0"),"")</f>
        <v/>
      </c>
      <c r="I324">
        <f>IF(ISNUMBER(SEARCH("소계",B324)),COUNTIF($B$2:B324,"*소계*"),"")</f>
        <v/>
      </c>
      <c r="J324">
        <f>IF(F324="",0,1)</f>
        <v/>
      </c>
    </row>
    <row r="325">
      <c r="A325" s="41" t="n"/>
      <c r="B325" s="41" t="n"/>
      <c r="C325" s="24" t="n"/>
      <c r="D325" s="41" t="n"/>
      <c r="E325" s="41" t="n"/>
      <c r="F325" s="19">
        <f>IF(COUNTA(A325:E325)=0,"",IF(OR(ISNUMBER(SEARCH("소계",B325)),ISNUMBER(SEARCH("합계",B325))),"",TRIM(IF(B325="","이름 없음 ","")&amp;IF(A325="","받은 가족 없음 ","")&amp;IF(C325="","금액 없음 ",IF(ISNUMBER(C325),IF(C325&lt;1000,"금액 확인 ",""),"금액 확인 "))&amp;IF(AND(B325&lt;&gt;"",COUNTIFS($A$2:$A$1001,A325,$B$2:$B$1001,B325,$C$2:$C$1001,C325)&gt;1),"중복 의심",""))))</f>
        <v/>
      </c>
      <c r="G325" s="25">
        <f>IF(OR(COUNTA(A325:E325)=0,OR(ISNUMBER(SEARCH("소계",B325)),ISNUMBER(SEARCH("합계",B325)))),"",1+COUNTIF($B$1:B324,"*소계*"))</f>
        <v/>
      </c>
      <c r="H325">
        <f>IF(AND(A325&lt;&gt;"",A325=가족별!$B$1,G325&lt;&gt;""),COUNTIFS($A$2:A325,가족별!$B$1,$G$2:G325,"&gt;0"),"")</f>
        <v/>
      </c>
      <c r="I325">
        <f>IF(ISNUMBER(SEARCH("소계",B325)),COUNTIF($B$2:B325,"*소계*"),"")</f>
        <v/>
      </c>
      <c r="J325">
        <f>IF(F325="",0,1)</f>
        <v/>
      </c>
    </row>
    <row r="326">
      <c r="A326" s="41" t="n"/>
      <c r="B326" s="41" t="n"/>
      <c r="C326" s="24" t="n"/>
      <c r="D326" s="41" t="n"/>
      <c r="E326" s="41" t="n"/>
      <c r="F326" s="19">
        <f>IF(COUNTA(A326:E326)=0,"",IF(OR(ISNUMBER(SEARCH("소계",B326)),ISNUMBER(SEARCH("합계",B326))),"",TRIM(IF(B326="","이름 없음 ","")&amp;IF(A326="","받은 가족 없음 ","")&amp;IF(C326="","금액 없음 ",IF(ISNUMBER(C326),IF(C326&lt;1000,"금액 확인 ",""),"금액 확인 "))&amp;IF(AND(B326&lt;&gt;"",COUNTIFS($A$2:$A$1001,A326,$B$2:$B$1001,B326,$C$2:$C$1001,C326)&gt;1),"중복 의심",""))))</f>
        <v/>
      </c>
      <c r="G326" s="25">
        <f>IF(OR(COUNTA(A326:E326)=0,OR(ISNUMBER(SEARCH("소계",B326)),ISNUMBER(SEARCH("합계",B326)))),"",1+COUNTIF($B$1:B325,"*소계*"))</f>
        <v/>
      </c>
      <c r="H326">
        <f>IF(AND(A326&lt;&gt;"",A326=가족별!$B$1,G326&lt;&gt;""),COUNTIFS($A$2:A326,가족별!$B$1,$G$2:G326,"&gt;0"),"")</f>
        <v/>
      </c>
      <c r="I326">
        <f>IF(ISNUMBER(SEARCH("소계",B326)),COUNTIF($B$2:B326,"*소계*"),"")</f>
        <v/>
      </c>
      <c r="J326">
        <f>IF(F326="",0,1)</f>
        <v/>
      </c>
    </row>
    <row r="327">
      <c r="A327" s="41" t="n"/>
      <c r="B327" s="41" t="n"/>
      <c r="C327" s="24" t="n"/>
      <c r="D327" s="41" t="n"/>
      <c r="E327" s="41" t="n"/>
      <c r="F327" s="19">
        <f>IF(COUNTA(A327:E327)=0,"",IF(OR(ISNUMBER(SEARCH("소계",B327)),ISNUMBER(SEARCH("합계",B327))),"",TRIM(IF(B327="","이름 없음 ","")&amp;IF(A327="","받은 가족 없음 ","")&amp;IF(C327="","금액 없음 ",IF(ISNUMBER(C327),IF(C327&lt;1000,"금액 확인 ",""),"금액 확인 "))&amp;IF(AND(B327&lt;&gt;"",COUNTIFS($A$2:$A$1001,A327,$B$2:$B$1001,B327,$C$2:$C$1001,C327)&gt;1),"중복 의심",""))))</f>
        <v/>
      </c>
      <c r="G327" s="25">
        <f>IF(OR(COUNTA(A327:E327)=0,OR(ISNUMBER(SEARCH("소계",B327)),ISNUMBER(SEARCH("합계",B327)))),"",1+COUNTIF($B$1:B326,"*소계*"))</f>
        <v/>
      </c>
      <c r="H327">
        <f>IF(AND(A327&lt;&gt;"",A327=가족별!$B$1,G327&lt;&gt;""),COUNTIFS($A$2:A327,가족별!$B$1,$G$2:G327,"&gt;0"),"")</f>
        <v/>
      </c>
      <c r="I327">
        <f>IF(ISNUMBER(SEARCH("소계",B327)),COUNTIF($B$2:B327,"*소계*"),"")</f>
        <v/>
      </c>
      <c r="J327">
        <f>IF(F327="",0,1)</f>
        <v/>
      </c>
    </row>
    <row r="328">
      <c r="A328" s="41" t="n"/>
      <c r="B328" s="41" t="n"/>
      <c r="C328" s="24" t="n"/>
      <c r="D328" s="41" t="n"/>
      <c r="E328" s="41" t="n"/>
      <c r="F328" s="19">
        <f>IF(COUNTA(A328:E328)=0,"",IF(OR(ISNUMBER(SEARCH("소계",B328)),ISNUMBER(SEARCH("합계",B328))),"",TRIM(IF(B328="","이름 없음 ","")&amp;IF(A328="","받은 가족 없음 ","")&amp;IF(C328="","금액 없음 ",IF(ISNUMBER(C328),IF(C328&lt;1000,"금액 확인 ",""),"금액 확인 "))&amp;IF(AND(B328&lt;&gt;"",COUNTIFS($A$2:$A$1001,A328,$B$2:$B$1001,B328,$C$2:$C$1001,C328)&gt;1),"중복 의심",""))))</f>
        <v/>
      </c>
      <c r="G328" s="25">
        <f>IF(OR(COUNTA(A328:E328)=0,OR(ISNUMBER(SEARCH("소계",B328)),ISNUMBER(SEARCH("합계",B328)))),"",1+COUNTIF($B$1:B327,"*소계*"))</f>
        <v/>
      </c>
      <c r="H328">
        <f>IF(AND(A328&lt;&gt;"",A328=가족별!$B$1,G328&lt;&gt;""),COUNTIFS($A$2:A328,가족별!$B$1,$G$2:G328,"&gt;0"),"")</f>
        <v/>
      </c>
      <c r="I328">
        <f>IF(ISNUMBER(SEARCH("소계",B328)),COUNTIF($B$2:B328,"*소계*"),"")</f>
        <v/>
      </c>
      <c r="J328">
        <f>IF(F328="",0,1)</f>
        <v/>
      </c>
    </row>
    <row r="329">
      <c r="A329" s="41" t="n"/>
      <c r="B329" s="41" t="n"/>
      <c r="C329" s="24" t="n"/>
      <c r="D329" s="41" t="n"/>
      <c r="E329" s="41" t="n"/>
      <c r="F329" s="19">
        <f>IF(COUNTA(A329:E329)=0,"",IF(OR(ISNUMBER(SEARCH("소계",B329)),ISNUMBER(SEARCH("합계",B329))),"",TRIM(IF(B329="","이름 없음 ","")&amp;IF(A329="","받은 가족 없음 ","")&amp;IF(C329="","금액 없음 ",IF(ISNUMBER(C329),IF(C329&lt;1000,"금액 확인 ",""),"금액 확인 "))&amp;IF(AND(B329&lt;&gt;"",COUNTIFS($A$2:$A$1001,A329,$B$2:$B$1001,B329,$C$2:$C$1001,C329)&gt;1),"중복 의심",""))))</f>
        <v/>
      </c>
      <c r="G329" s="25">
        <f>IF(OR(COUNTA(A329:E329)=0,OR(ISNUMBER(SEARCH("소계",B329)),ISNUMBER(SEARCH("합계",B329)))),"",1+COUNTIF($B$1:B328,"*소계*"))</f>
        <v/>
      </c>
      <c r="H329">
        <f>IF(AND(A329&lt;&gt;"",A329=가족별!$B$1,G329&lt;&gt;""),COUNTIFS($A$2:A329,가족별!$B$1,$G$2:G329,"&gt;0"),"")</f>
        <v/>
      </c>
      <c r="I329">
        <f>IF(ISNUMBER(SEARCH("소계",B329)),COUNTIF($B$2:B329,"*소계*"),"")</f>
        <v/>
      </c>
      <c r="J329">
        <f>IF(F329="",0,1)</f>
        <v/>
      </c>
    </row>
    <row r="330">
      <c r="A330" s="41" t="n"/>
      <c r="B330" s="41" t="n"/>
      <c r="C330" s="24" t="n"/>
      <c r="D330" s="41" t="n"/>
      <c r="E330" s="41" t="n"/>
      <c r="F330" s="19">
        <f>IF(COUNTA(A330:E330)=0,"",IF(OR(ISNUMBER(SEARCH("소계",B330)),ISNUMBER(SEARCH("합계",B330))),"",TRIM(IF(B330="","이름 없음 ","")&amp;IF(A330="","받은 가족 없음 ","")&amp;IF(C330="","금액 없음 ",IF(ISNUMBER(C330),IF(C330&lt;1000,"금액 확인 ",""),"금액 확인 "))&amp;IF(AND(B330&lt;&gt;"",COUNTIFS($A$2:$A$1001,A330,$B$2:$B$1001,B330,$C$2:$C$1001,C330)&gt;1),"중복 의심",""))))</f>
        <v/>
      </c>
      <c r="G330" s="25">
        <f>IF(OR(COUNTA(A330:E330)=0,OR(ISNUMBER(SEARCH("소계",B330)),ISNUMBER(SEARCH("합계",B330)))),"",1+COUNTIF($B$1:B329,"*소계*"))</f>
        <v/>
      </c>
      <c r="H330">
        <f>IF(AND(A330&lt;&gt;"",A330=가족별!$B$1,G330&lt;&gt;""),COUNTIFS($A$2:A330,가족별!$B$1,$G$2:G330,"&gt;0"),"")</f>
        <v/>
      </c>
      <c r="I330">
        <f>IF(ISNUMBER(SEARCH("소계",B330)),COUNTIF($B$2:B330,"*소계*"),"")</f>
        <v/>
      </c>
      <c r="J330">
        <f>IF(F330="",0,1)</f>
        <v/>
      </c>
    </row>
    <row r="331">
      <c r="A331" s="41" t="n"/>
      <c r="B331" s="41" t="n"/>
      <c r="C331" s="24" t="n"/>
      <c r="D331" s="41" t="n"/>
      <c r="E331" s="41" t="n"/>
      <c r="F331" s="19">
        <f>IF(COUNTA(A331:E331)=0,"",IF(OR(ISNUMBER(SEARCH("소계",B331)),ISNUMBER(SEARCH("합계",B331))),"",TRIM(IF(B331="","이름 없음 ","")&amp;IF(A331="","받은 가족 없음 ","")&amp;IF(C331="","금액 없음 ",IF(ISNUMBER(C331),IF(C331&lt;1000,"금액 확인 ",""),"금액 확인 "))&amp;IF(AND(B331&lt;&gt;"",COUNTIFS($A$2:$A$1001,A331,$B$2:$B$1001,B331,$C$2:$C$1001,C331)&gt;1),"중복 의심",""))))</f>
        <v/>
      </c>
      <c r="G331" s="25">
        <f>IF(OR(COUNTA(A331:E331)=0,OR(ISNUMBER(SEARCH("소계",B331)),ISNUMBER(SEARCH("합계",B331)))),"",1+COUNTIF($B$1:B330,"*소계*"))</f>
        <v/>
      </c>
      <c r="H331">
        <f>IF(AND(A331&lt;&gt;"",A331=가족별!$B$1,G331&lt;&gt;""),COUNTIFS($A$2:A331,가족별!$B$1,$G$2:G331,"&gt;0"),"")</f>
        <v/>
      </c>
      <c r="I331">
        <f>IF(ISNUMBER(SEARCH("소계",B331)),COUNTIF($B$2:B331,"*소계*"),"")</f>
        <v/>
      </c>
      <c r="J331">
        <f>IF(F331="",0,1)</f>
        <v/>
      </c>
    </row>
    <row r="332">
      <c r="A332" s="41" t="n"/>
      <c r="B332" s="41" t="n"/>
      <c r="C332" s="24" t="n"/>
      <c r="D332" s="41" t="n"/>
      <c r="E332" s="41" t="n"/>
      <c r="F332" s="19">
        <f>IF(COUNTA(A332:E332)=0,"",IF(OR(ISNUMBER(SEARCH("소계",B332)),ISNUMBER(SEARCH("합계",B332))),"",TRIM(IF(B332="","이름 없음 ","")&amp;IF(A332="","받은 가족 없음 ","")&amp;IF(C332="","금액 없음 ",IF(ISNUMBER(C332),IF(C332&lt;1000,"금액 확인 ",""),"금액 확인 "))&amp;IF(AND(B332&lt;&gt;"",COUNTIFS($A$2:$A$1001,A332,$B$2:$B$1001,B332,$C$2:$C$1001,C332)&gt;1),"중복 의심",""))))</f>
        <v/>
      </c>
      <c r="G332" s="25">
        <f>IF(OR(COUNTA(A332:E332)=0,OR(ISNUMBER(SEARCH("소계",B332)),ISNUMBER(SEARCH("합계",B332)))),"",1+COUNTIF($B$1:B331,"*소계*"))</f>
        <v/>
      </c>
      <c r="H332">
        <f>IF(AND(A332&lt;&gt;"",A332=가족별!$B$1,G332&lt;&gt;""),COUNTIFS($A$2:A332,가족별!$B$1,$G$2:G332,"&gt;0"),"")</f>
        <v/>
      </c>
      <c r="I332">
        <f>IF(ISNUMBER(SEARCH("소계",B332)),COUNTIF($B$2:B332,"*소계*"),"")</f>
        <v/>
      </c>
      <c r="J332">
        <f>IF(F332="",0,1)</f>
        <v/>
      </c>
    </row>
    <row r="333">
      <c r="A333" s="41" t="n"/>
      <c r="B333" s="41" t="n"/>
      <c r="C333" s="24" t="n"/>
      <c r="D333" s="41" t="n"/>
      <c r="E333" s="41" t="n"/>
      <c r="F333" s="19">
        <f>IF(COUNTA(A333:E333)=0,"",IF(OR(ISNUMBER(SEARCH("소계",B333)),ISNUMBER(SEARCH("합계",B333))),"",TRIM(IF(B333="","이름 없음 ","")&amp;IF(A333="","받은 가족 없음 ","")&amp;IF(C333="","금액 없음 ",IF(ISNUMBER(C333),IF(C333&lt;1000,"금액 확인 ",""),"금액 확인 "))&amp;IF(AND(B333&lt;&gt;"",COUNTIFS($A$2:$A$1001,A333,$B$2:$B$1001,B333,$C$2:$C$1001,C333)&gt;1),"중복 의심",""))))</f>
        <v/>
      </c>
      <c r="G333" s="25">
        <f>IF(OR(COUNTA(A333:E333)=0,OR(ISNUMBER(SEARCH("소계",B333)),ISNUMBER(SEARCH("합계",B333)))),"",1+COUNTIF($B$1:B332,"*소계*"))</f>
        <v/>
      </c>
      <c r="H333">
        <f>IF(AND(A333&lt;&gt;"",A333=가족별!$B$1,G333&lt;&gt;""),COUNTIFS($A$2:A333,가족별!$B$1,$G$2:G333,"&gt;0"),"")</f>
        <v/>
      </c>
      <c r="I333">
        <f>IF(ISNUMBER(SEARCH("소계",B333)),COUNTIF($B$2:B333,"*소계*"),"")</f>
        <v/>
      </c>
      <c r="J333">
        <f>IF(F333="",0,1)</f>
        <v/>
      </c>
    </row>
    <row r="334">
      <c r="A334" s="41" t="n"/>
      <c r="B334" s="41" t="n"/>
      <c r="C334" s="24" t="n"/>
      <c r="D334" s="41" t="n"/>
      <c r="E334" s="41" t="n"/>
      <c r="F334" s="19">
        <f>IF(COUNTA(A334:E334)=0,"",IF(OR(ISNUMBER(SEARCH("소계",B334)),ISNUMBER(SEARCH("합계",B334))),"",TRIM(IF(B334="","이름 없음 ","")&amp;IF(A334="","받은 가족 없음 ","")&amp;IF(C334="","금액 없음 ",IF(ISNUMBER(C334),IF(C334&lt;1000,"금액 확인 ",""),"금액 확인 "))&amp;IF(AND(B334&lt;&gt;"",COUNTIFS($A$2:$A$1001,A334,$B$2:$B$1001,B334,$C$2:$C$1001,C334)&gt;1),"중복 의심",""))))</f>
        <v/>
      </c>
      <c r="G334" s="25">
        <f>IF(OR(COUNTA(A334:E334)=0,OR(ISNUMBER(SEARCH("소계",B334)),ISNUMBER(SEARCH("합계",B334)))),"",1+COUNTIF($B$1:B333,"*소계*"))</f>
        <v/>
      </c>
      <c r="H334">
        <f>IF(AND(A334&lt;&gt;"",A334=가족별!$B$1,G334&lt;&gt;""),COUNTIFS($A$2:A334,가족별!$B$1,$G$2:G334,"&gt;0"),"")</f>
        <v/>
      </c>
      <c r="I334">
        <f>IF(ISNUMBER(SEARCH("소계",B334)),COUNTIF($B$2:B334,"*소계*"),"")</f>
        <v/>
      </c>
      <c r="J334">
        <f>IF(F334="",0,1)</f>
        <v/>
      </c>
    </row>
    <row r="335">
      <c r="A335" s="41" t="n"/>
      <c r="B335" s="41" t="n"/>
      <c r="C335" s="24" t="n"/>
      <c r="D335" s="41" t="n"/>
      <c r="E335" s="41" t="n"/>
      <c r="F335" s="19">
        <f>IF(COUNTA(A335:E335)=0,"",IF(OR(ISNUMBER(SEARCH("소계",B335)),ISNUMBER(SEARCH("합계",B335))),"",TRIM(IF(B335="","이름 없음 ","")&amp;IF(A335="","받은 가족 없음 ","")&amp;IF(C335="","금액 없음 ",IF(ISNUMBER(C335),IF(C335&lt;1000,"금액 확인 ",""),"금액 확인 "))&amp;IF(AND(B335&lt;&gt;"",COUNTIFS($A$2:$A$1001,A335,$B$2:$B$1001,B335,$C$2:$C$1001,C335)&gt;1),"중복 의심",""))))</f>
        <v/>
      </c>
      <c r="G335" s="25">
        <f>IF(OR(COUNTA(A335:E335)=0,OR(ISNUMBER(SEARCH("소계",B335)),ISNUMBER(SEARCH("합계",B335)))),"",1+COUNTIF($B$1:B334,"*소계*"))</f>
        <v/>
      </c>
      <c r="H335">
        <f>IF(AND(A335&lt;&gt;"",A335=가족별!$B$1,G335&lt;&gt;""),COUNTIFS($A$2:A335,가족별!$B$1,$G$2:G335,"&gt;0"),"")</f>
        <v/>
      </c>
      <c r="I335">
        <f>IF(ISNUMBER(SEARCH("소계",B335)),COUNTIF($B$2:B335,"*소계*"),"")</f>
        <v/>
      </c>
      <c r="J335">
        <f>IF(F335="",0,1)</f>
        <v/>
      </c>
    </row>
    <row r="336">
      <c r="A336" s="41" t="n"/>
      <c r="B336" s="41" t="n"/>
      <c r="C336" s="24" t="n"/>
      <c r="D336" s="41" t="n"/>
      <c r="E336" s="41" t="n"/>
      <c r="F336" s="19">
        <f>IF(COUNTA(A336:E336)=0,"",IF(OR(ISNUMBER(SEARCH("소계",B336)),ISNUMBER(SEARCH("합계",B336))),"",TRIM(IF(B336="","이름 없음 ","")&amp;IF(A336="","받은 가족 없음 ","")&amp;IF(C336="","금액 없음 ",IF(ISNUMBER(C336),IF(C336&lt;1000,"금액 확인 ",""),"금액 확인 "))&amp;IF(AND(B336&lt;&gt;"",COUNTIFS($A$2:$A$1001,A336,$B$2:$B$1001,B336,$C$2:$C$1001,C336)&gt;1),"중복 의심",""))))</f>
        <v/>
      </c>
      <c r="G336" s="25">
        <f>IF(OR(COUNTA(A336:E336)=0,OR(ISNUMBER(SEARCH("소계",B336)),ISNUMBER(SEARCH("합계",B336)))),"",1+COUNTIF($B$1:B335,"*소계*"))</f>
        <v/>
      </c>
      <c r="H336">
        <f>IF(AND(A336&lt;&gt;"",A336=가족별!$B$1,G336&lt;&gt;""),COUNTIFS($A$2:A336,가족별!$B$1,$G$2:G336,"&gt;0"),"")</f>
        <v/>
      </c>
      <c r="I336">
        <f>IF(ISNUMBER(SEARCH("소계",B336)),COUNTIF($B$2:B336,"*소계*"),"")</f>
        <v/>
      </c>
      <c r="J336">
        <f>IF(F336="",0,1)</f>
        <v/>
      </c>
    </row>
    <row r="337">
      <c r="A337" s="41" t="n"/>
      <c r="B337" s="41" t="n"/>
      <c r="C337" s="24" t="n"/>
      <c r="D337" s="41" t="n"/>
      <c r="E337" s="41" t="n"/>
      <c r="F337" s="19">
        <f>IF(COUNTA(A337:E337)=0,"",IF(OR(ISNUMBER(SEARCH("소계",B337)),ISNUMBER(SEARCH("합계",B337))),"",TRIM(IF(B337="","이름 없음 ","")&amp;IF(A337="","받은 가족 없음 ","")&amp;IF(C337="","금액 없음 ",IF(ISNUMBER(C337),IF(C337&lt;1000,"금액 확인 ",""),"금액 확인 "))&amp;IF(AND(B337&lt;&gt;"",COUNTIFS($A$2:$A$1001,A337,$B$2:$B$1001,B337,$C$2:$C$1001,C337)&gt;1),"중복 의심",""))))</f>
        <v/>
      </c>
      <c r="G337" s="25">
        <f>IF(OR(COUNTA(A337:E337)=0,OR(ISNUMBER(SEARCH("소계",B337)),ISNUMBER(SEARCH("합계",B337)))),"",1+COUNTIF($B$1:B336,"*소계*"))</f>
        <v/>
      </c>
      <c r="H337">
        <f>IF(AND(A337&lt;&gt;"",A337=가족별!$B$1,G337&lt;&gt;""),COUNTIFS($A$2:A337,가족별!$B$1,$G$2:G337,"&gt;0"),"")</f>
        <v/>
      </c>
      <c r="I337">
        <f>IF(ISNUMBER(SEARCH("소계",B337)),COUNTIF($B$2:B337,"*소계*"),"")</f>
        <v/>
      </c>
      <c r="J337">
        <f>IF(F337="",0,1)</f>
        <v/>
      </c>
    </row>
    <row r="338">
      <c r="A338" s="41" t="n"/>
      <c r="B338" s="41" t="n"/>
      <c r="C338" s="24" t="n"/>
      <c r="D338" s="41" t="n"/>
      <c r="E338" s="41" t="n"/>
      <c r="F338" s="19">
        <f>IF(COUNTA(A338:E338)=0,"",IF(OR(ISNUMBER(SEARCH("소계",B338)),ISNUMBER(SEARCH("합계",B338))),"",TRIM(IF(B338="","이름 없음 ","")&amp;IF(A338="","받은 가족 없음 ","")&amp;IF(C338="","금액 없음 ",IF(ISNUMBER(C338),IF(C338&lt;1000,"금액 확인 ",""),"금액 확인 "))&amp;IF(AND(B338&lt;&gt;"",COUNTIFS($A$2:$A$1001,A338,$B$2:$B$1001,B338,$C$2:$C$1001,C338)&gt;1),"중복 의심",""))))</f>
        <v/>
      </c>
      <c r="G338" s="25">
        <f>IF(OR(COUNTA(A338:E338)=0,OR(ISNUMBER(SEARCH("소계",B338)),ISNUMBER(SEARCH("합계",B338)))),"",1+COUNTIF($B$1:B337,"*소계*"))</f>
        <v/>
      </c>
      <c r="H338">
        <f>IF(AND(A338&lt;&gt;"",A338=가족별!$B$1,G338&lt;&gt;""),COUNTIFS($A$2:A338,가족별!$B$1,$G$2:G338,"&gt;0"),"")</f>
        <v/>
      </c>
      <c r="I338">
        <f>IF(ISNUMBER(SEARCH("소계",B338)),COUNTIF($B$2:B338,"*소계*"),"")</f>
        <v/>
      </c>
      <c r="J338">
        <f>IF(F338="",0,1)</f>
        <v/>
      </c>
    </row>
    <row r="339">
      <c r="A339" s="41" t="n"/>
      <c r="B339" s="41" t="n"/>
      <c r="C339" s="24" t="n"/>
      <c r="D339" s="41" t="n"/>
      <c r="E339" s="41" t="n"/>
      <c r="F339" s="19">
        <f>IF(COUNTA(A339:E339)=0,"",IF(OR(ISNUMBER(SEARCH("소계",B339)),ISNUMBER(SEARCH("합계",B339))),"",TRIM(IF(B339="","이름 없음 ","")&amp;IF(A339="","받은 가족 없음 ","")&amp;IF(C339="","금액 없음 ",IF(ISNUMBER(C339),IF(C339&lt;1000,"금액 확인 ",""),"금액 확인 "))&amp;IF(AND(B339&lt;&gt;"",COUNTIFS($A$2:$A$1001,A339,$B$2:$B$1001,B339,$C$2:$C$1001,C339)&gt;1),"중복 의심",""))))</f>
        <v/>
      </c>
      <c r="G339" s="25">
        <f>IF(OR(COUNTA(A339:E339)=0,OR(ISNUMBER(SEARCH("소계",B339)),ISNUMBER(SEARCH("합계",B339)))),"",1+COUNTIF($B$1:B338,"*소계*"))</f>
        <v/>
      </c>
      <c r="H339">
        <f>IF(AND(A339&lt;&gt;"",A339=가족별!$B$1,G339&lt;&gt;""),COUNTIFS($A$2:A339,가족별!$B$1,$G$2:G339,"&gt;0"),"")</f>
        <v/>
      </c>
      <c r="I339">
        <f>IF(ISNUMBER(SEARCH("소계",B339)),COUNTIF($B$2:B339,"*소계*"),"")</f>
        <v/>
      </c>
      <c r="J339">
        <f>IF(F339="",0,1)</f>
        <v/>
      </c>
    </row>
    <row r="340">
      <c r="A340" s="41" t="n"/>
      <c r="B340" s="41" t="n"/>
      <c r="C340" s="24" t="n"/>
      <c r="D340" s="41" t="n"/>
      <c r="E340" s="41" t="n"/>
      <c r="F340" s="19">
        <f>IF(COUNTA(A340:E340)=0,"",IF(OR(ISNUMBER(SEARCH("소계",B340)),ISNUMBER(SEARCH("합계",B340))),"",TRIM(IF(B340="","이름 없음 ","")&amp;IF(A340="","받은 가족 없음 ","")&amp;IF(C340="","금액 없음 ",IF(ISNUMBER(C340),IF(C340&lt;1000,"금액 확인 ",""),"금액 확인 "))&amp;IF(AND(B340&lt;&gt;"",COUNTIFS($A$2:$A$1001,A340,$B$2:$B$1001,B340,$C$2:$C$1001,C340)&gt;1),"중복 의심",""))))</f>
        <v/>
      </c>
      <c r="G340" s="25">
        <f>IF(OR(COUNTA(A340:E340)=0,OR(ISNUMBER(SEARCH("소계",B340)),ISNUMBER(SEARCH("합계",B340)))),"",1+COUNTIF($B$1:B339,"*소계*"))</f>
        <v/>
      </c>
      <c r="H340">
        <f>IF(AND(A340&lt;&gt;"",A340=가족별!$B$1,G340&lt;&gt;""),COUNTIFS($A$2:A340,가족별!$B$1,$G$2:G340,"&gt;0"),"")</f>
        <v/>
      </c>
      <c r="I340">
        <f>IF(ISNUMBER(SEARCH("소계",B340)),COUNTIF($B$2:B340,"*소계*"),"")</f>
        <v/>
      </c>
      <c r="J340">
        <f>IF(F340="",0,1)</f>
        <v/>
      </c>
    </row>
    <row r="341">
      <c r="A341" s="41" t="n"/>
      <c r="B341" s="41" t="n"/>
      <c r="C341" s="24" t="n"/>
      <c r="D341" s="41" t="n"/>
      <c r="E341" s="41" t="n"/>
      <c r="F341" s="19">
        <f>IF(COUNTA(A341:E341)=0,"",IF(OR(ISNUMBER(SEARCH("소계",B341)),ISNUMBER(SEARCH("합계",B341))),"",TRIM(IF(B341="","이름 없음 ","")&amp;IF(A341="","받은 가족 없음 ","")&amp;IF(C341="","금액 없음 ",IF(ISNUMBER(C341),IF(C341&lt;1000,"금액 확인 ",""),"금액 확인 "))&amp;IF(AND(B341&lt;&gt;"",COUNTIFS($A$2:$A$1001,A341,$B$2:$B$1001,B341,$C$2:$C$1001,C341)&gt;1),"중복 의심",""))))</f>
        <v/>
      </c>
      <c r="G341" s="25">
        <f>IF(OR(COUNTA(A341:E341)=0,OR(ISNUMBER(SEARCH("소계",B341)),ISNUMBER(SEARCH("합계",B341)))),"",1+COUNTIF($B$1:B340,"*소계*"))</f>
        <v/>
      </c>
      <c r="H341">
        <f>IF(AND(A341&lt;&gt;"",A341=가족별!$B$1,G341&lt;&gt;""),COUNTIFS($A$2:A341,가족별!$B$1,$G$2:G341,"&gt;0"),"")</f>
        <v/>
      </c>
      <c r="I341">
        <f>IF(ISNUMBER(SEARCH("소계",B341)),COUNTIF($B$2:B341,"*소계*"),"")</f>
        <v/>
      </c>
      <c r="J341">
        <f>IF(F341="",0,1)</f>
        <v/>
      </c>
    </row>
    <row r="342">
      <c r="A342" s="41" t="n"/>
      <c r="B342" s="41" t="n"/>
      <c r="C342" s="24" t="n"/>
      <c r="D342" s="41" t="n"/>
      <c r="E342" s="41" t="n"/>
      <c r="F342" s="19">
        <f>IF(COUNTA(A342:E342)=0,"",IF(OR(ISNUMBER(SEARCH("소계",B342)),ISNUMBER(SEARCH("합계",B342))),"",TRIM(IF(B342="","이름 없음 ","")&amp;IF(A342="","받은 가족 없음 ","")&amp;IF(C342="","금액 없음 ",IF(ISNUMBER(C342),IF(C342&lt;1000,"금액 확인 ",""),"금액 확인 "))&amp;IF(AND(B342&lt;&gt;"",COUNTIFS($A$2:$A$1001,A342,$B$2:$B$1001,B342,$C$2:$C$1001,C342)&gt;1),"중복 의심",""))))</f>
        <v/>
      </c>
      <c r="G342" s="25">
        <f>IF(OR(COUNTA(A342:E342)=0,OR(ISNUMBER(SEARCH("소계",B342)),ISNUMBER(SEARCH("합계",B342)))),"",1+COUNTIF($B$1:B341,"*소계*"))</f>
        <v/>
      </c>
      <c r="H342">
        <f>IF(AND(A342&lt;&gt;"",A342=가족별!$B$1,G342&lt;&gt;""),COUNTIFS($A$2:A342,가족별!$B$1,$G$2:G342,"&gt;0"),"")</f>
        <v/>
      </c>
      <c r="I342">
        <f>IF(ISNUMBER(SEARCH("소계",B342)),COUNTIF($B$2:B342,"*소계*"),"")</f>
        <v/>
      </c>
      <c r="J342">
        <f>IF(F342="",0,1)</f>
        <v/>
      </c>
    </row>
    <row r="343">
      <c r="A343" s="41" t="n"/>
      <c r="B343" s="41" t="n"/>
      <c r="C343" s="24" t="n"/>
      <c r="D343" s="41" t="n"/>
      <c r="E343" s="41" t="n"/>
      <c r="F343" s="19">
        <f>IF(COUNTA(A343:E343)=0,"",IF(OR(ISNUMBER(SEARCH("소계",B343)),ISNUMBER(SEARCH("합계",B343))),"",TRIM(IF(B343="","이름 없음 ","")&amp;IF(A343="","받은 가족 없음 ","")&amp;IF(C343="","금액 없음 ",IF(ISNUMBER(C343),IF(C343&lt;1000,"금액 확인 ",""),"금액 확인 "))&amp;IF(AND(B343&lt;&gt;"",COUNTIFS($A$2:$A$1001,A343,$B$2:$B$1001,B343,$C$2:$C$1001,C343)&gt;1),"중복 의심",""))))</f>
        <v/>
      </c>
      <c r="G343" s="25">
        <f>IF(OR(COUNTA(A343:E343)=0,OR(ISNUMBER(SEARCH("소계",B343)),ISNUMBER(SEARCH("합계",B343)))),"",1+COUNTIF($B$1:B342,"*소계*"))</f>
        <v/>
      </c>
      <c r="H343">
        <f>IF(AND(A343&lt;&gt;"",A343=가족별!$B$1,G343&lt;&gt;""),COUNTIFS($A$2:A343,가족별!$B$1,$G$2:G343,"&gt;0"),"")</f>
        <v/>
      </c>
      <c r="I343">
        <f>IF(ISNUMBER(SEARCH("소계",B343)),COUNTIF($B$2:B343,"*소계*"),"")</f>
        <v/>
      </c>
      <c r="J343">
        <f>IF(F343="",0,1)</f>
        <v/>
      </c>
    </row>
    <row r="344">
      <c r="A344" s="41" t="n"/>
      <c r="B344" s="41" t="n"/>
      <c r="C344" s="24" t="n"/>
      <c r="D344" s="41" t="n"/>
      <c r="E344" s="41" t="n"/>
      <c r="F344" s="19">
        <f>IF(COUNTA(A344:E344)=0,"",IF(OR(ISNUMBER(SEARCH("소계",B344)),ISNUMBER(SEARCH("합계",B344))),"",TRIM(IF(B344="","이름 없음 ","")&amp;IF(A344="","받은 가족 없음 ","")&amp;IF(C344="","금액 없음 ",IF(ISNUMBER(C344),IF(C344&lt;1000,"금액 확인 ",""),"금액 확인 "))&amp;IF(AND(B344&lt;&gt;"",COUNTIFS($A$2:$A$1001,A344,$B$2:$B$1001,B344,$C$2:$C$1001,C344)&gt;1),"중복 의심",""))))</f>
        <v/>
      </c>
      <c r="G344" s="25">
        <f>IF(OR(COUNTA(A344:E344)=0,OR(ISNUMBER(SEARCH("소계",B344)),ISNUMBER(SEARCH("합계",B344)))),"",1+COUNTIF($B$1:B343,"*소계*"))</f>
        <v/>
      </c>
      <c r="H344">
        <f>IF(AND(A344&lt;&gt;"",A344=가족별!$B$1,G344&lt;&gt;""),COUNTIFS($A$2:A344,가족별!$B$1,$G$2:G344,"&gt;0"),"")</f>
        <v/>
      </c>
      <c r="I344">
        <f>IF(ISNUMBER(SEARCH("소계",B344)),COUNTIF($B$2:B344,"*소계*"),"")</f>
        <v/>
      </c>
      <c r="J344">
        <f>IF(F344="",0,1)</f>
        <v/>
      </c>
    </row>
    <row r="345">
      <c r="A345" s="41" t="n"/>
      <c r="B345" s="41" t="n"/>
      <c r="C345" s="24" t="n"/>
      <c r="D345" s="41" t="n"/>
      <c r="E345" s="41" t="n"/>
      <c r="F345" s="19">
        <f>IF(COUNTA(A345:E345)=0,"",IF(OR(ISNUMBER(SEARCH("소계",B345)),ISNUMBER(SEARCH("합계",B345))),"",TRIM(IF(B345="","이름 없음 ","")&amp;IF(A345="","받은 가족 없음 ","")&amp;IF(C345="","금액 없음 ",IF(ISNUMBER(C345),IF(C345&lt;1000,"금액 확인 ",""),"금액 확인 "))&amp;IF(AND(B345&lt;&gt;"",COUNTIFS($A$2:$A$1001,A345,$B$2:$B$1001,B345,$C$2:$C$1001,C345)&gt;1),"중복 의심",""))))</f>
        <v/>
      </c>
      <c r="G345" s="25">
        <f>IF(OR(COUNTA(A345:E345)=0,OR(ISNUMBER(SEARCH("소계",B345)),ISNUMBER(SEARCH("합계",B345)))),"",1+COUNTIF($B$1:B344,"*소계*"))</f>
        <v/>
      </c>
      <c r="H345">
        <f>IF(AND(A345&lt;&gt;"",A345=가족별!$B$1,G345&lt;&gt;""),COUNTIFS($A$2:A345,가족별!$B$1,$G$2:G345,"&gt;0"),"")</f>
        <v/>
      </c>
      <c r="I345">
        <f>IF(ISNUMBER(SEARCH("소계",B345)),COUNTIF($B$2:B345,"*소계*"),"")</f>
        <v/>
      </c>
      <c r="J345">
        <f>IF(F345="",0,1)</f>
        <v/>
      </c>
    </row>
    <row r="346">
      <c r="A346" s="41" t="n"/>
      <c r="B346" s="41" t="n"/>
      <c r="C346" s="24" t="n"/>
      <c r="D346" s="41" t="n"/>
      <c r="E346" s="41" t="n"/>
      <c r="F346" s="19">
        <f>IF(COUNTA(A346:E346)=0,"",IF(OR(ISNUMBER(SEARCH("소계",B346)),ISNUMBER(SEARCH("합계",B346))),"",TRIM(IF(B346="","이름 없음 ","")&amp;IF(A346="","받은 가족 없음 ","")&amp;IF(C346="","금액 없음 ",IF(ISNUMBER(C346),IF(C346&lt;1000,"금액 확인 ",""),"금액 확인 "))&amp;IF(AND(B346&lt;&gt;"",COUNTIFS($A$2:$A$1001,A346,$B$2:$B$1001,B346,$C$2:$C$1001,C346)&gt;1),"중복 의심",""))))</f>
        <v/>
      </c>
      <c r="G346" s="25">
        <f>IF(OR(COUNTA(A346:E346)=0,OR(ISNUMBER(SEARCH("소계",B346)),ISNUMBER(SEARCH("합계",B346)))),"",1+COUNTIF($B$1:B345,"*소계*"))</f>
        <v/>
      </c>
      <c r="H346">
        <f>IF(AND(A346&lt;&gt;"",A346=가족별!$B$1,G346&lt;&gt;""),COUNTIFS($A$2:A346,가족별!$B$1,$G$2:G346,"&gt;0"),"")</f>
        <v/>
      </c>
      <c r="I346">
        <f>IF(ISNUMBER(SEARCH("소계",B346)),COUNTIF($B$2:B346,"*소계*"),"")</f>
        <v/>
      </c>
      <c r="J346">
        <f>IF(F346="",0,1)</f>
        <v/>
      </c>
    </row>
    <row r="347">
      <c r="A347" s="41" t="n"/>
      <c r="B347" s="41" t="n"/>
      <c r="C347" s="24" t="n"/>
      <c r="D347" s="41" t="n"/>
      <c r="E347" s="41" t="n"/>
      <c r="F347" s="19">
        <f>IF(COUNTA(A347:E347)=0,"",IF(OR(ISNUMBER(SEARCH("소계",B347)),ISNUMBER(SEARCH("합계",B347))),"",TRIM(IF(B347="","이름 없음 ","")&amp;IF(A347="","받은 가족 없음 ","")&amp;IF(C347="","금액 없음 ",IF(ISNUMBER(C347),IF(C347&lt;1000,"금액 확인 ",""),"금액 확인 "))&amp;IF(AND(B347&lt;&gt;"",COUNTIFS($A$2:$A$1001,A347,$B$2:$B$1001,B347,$C$2:$C$1001,C347)&gt;1),"중복 의심",""))))</f>
        <v/>
      </c>
      <c r="G347" s="25">
        <f>IF(OR(COUNTA(A347:E347)=0,OR(ISNUMBER(SEARCH("소계",B347)),ISNUMBER(SEARCH("합계",B347)))),"",1+COUNTIF($B$1:B346,"*소계*"))</f>
        <v/>
      </c>
      <c r="H347">
        <f>IF(AND(A347&lt;&gt;"",A347=가족별!$B$1,G347&lt;&gt;""),COUNTIFS($A$2:A347,가족별!$B$1,$G$2:G347,"&gt;0"),"")</f>
        <v/>
      </c>
      <c r="I347">
        <f>IF(ISNUMBER(SEARCH("소계",B347)),COUNTIF($B$2:B347,"*소계*"),"")</f>
        <v/>
      </c>
      <c r="J347">
        <f>IF(F347="",0,1)</f>
        <v/>
      </c>
    </row>
    <row r="348">
      <c r="A348" s="41" t="n"/>
      <c r="B348" s="41" t="n"/>
      <c r="C348" s="24" t="n"/>
      <c r="D348" s="41" t="n"/>
      <c r="E348" s="41" t="n"/>
      <c r="F348" s="19">
        <f>IF(COUNTA(A348:E348)=0,"",IF(OR(ISNUMBER(SEARCH("소계",B348)),ISNUMBER(SEARCH("합계",B348))),"",TRIM(IF(B348="","이름 없음 ","")&amp;IF(A348="","받은 가족 없음 ","")&amp;IF(C348="","금액 없음 ",IF(ISNUMBER(C348),IF(C348&lt;1000,"금액 확인 ",""),"금액 확인 "))&amp;IF(AND(B348&lt;&gt;"",COUNTIFS($A$2:$A$1001,A348,$B$2:$B$1001,B348,$C$2:$C$1001,C348)&gt;1),"중복 의심",""))))</f>
        <v/>
      </c>
      <c r="G348" s="25">
        <f>IF(OR(COUNTA(A348:E348)=0,OR(ISNUMBER(SEARCH("소계",B348)),ISNUMBER(SEARCH("합계",B348)))),"",1+COUNTIF($B$1:B347,"*소계*"))</f>
        <v/>
      </c>
      <c r="H348">
        <f>IF(AND(A348&lt;&gt;"",A348=가족별!$B$1,G348&lt;&gt;""),COUNTIFS($A$2:A348,가족별!$B$1,$G$2:G348,"&gt;0"),"")</f>
        <v/>
      </c>
      <c r="I348">
        <f>IF(ISNUMBER(SEARCH("소계",B348)),COUNTIF($B$2:B348,"*소계*"),"")</f>
        <v/>
      </c>
      <c r="J348">
        <f>IF(F348="",0,1)</f>
        <v/>
      </c>
    </row>
    <row r="349">
      <c r="A349" s="41" t="n"/>
      <c r="B349" s="41" t="n"/>
      <c r="C349" s="24" t="n"/>
      <c r="D349" s="41" t="n"/>
      <c r="E349" s="41" t="n"/>
      <c r="F349" s="19">
        <f>IF(COUNTA(A349:E349)=0,"",IF(OR(ISNUMBER(SEARCH("소계",B349)),ISNUMBER(SEARCH("합계",B349))),"",TRIM(IF(B349="","이름 없음 ","")&amp;IF(A349="","받은 가족 없음 ","")&amp;IF(C349="","금액 없음 ",IF(ISNUMBER(C349),IF(C349&lt;1000,"금액 확인 ",""),"금액 확인 "))&amp;IF(AND(B349&lt;&gt;"",COUNTIFS($A$2:$A$1001,A349,$B$2:$B$1001,B349,$C$2:$C$1001,C349)&gt;1),"중복 의심",""))))</f>
        <v/>
      </c>
      <c r="G349" s="25">
        <f>IF(OR(COUNTA(A349:E349)=0,OR(ISNUMBER(SEARCH("소계",B349)),ISNUMBER(SEARCH("합계",B349)))),"",1+COUNTIF($B$1:B348,"*소계*"))</f>
        <v/>
      </c>
      <c r="H349">
        <f>IF(AND(A349&lt;&gt;"",A349=가족별!$B$1,G349&lt;&gt;""),COUNTIFS($A$2:A349,가족별!$B$1,$G$2:G349,"&gt;0"),"")</f>
        <v/>
      </c>
      <c r="I349">
        <f>IF(ISNUMBER(SEARCH("소계",B349)),COUNTIF($B$2:B349,"*소계*"),"")</f>
        <v/>
      </c>
      <c r="J349">
        <f>IF(F349="",0,1)</f>
        <v/>
      </c>
    </row>
    <row r="350">
      <c r="A350" s="41" t="n"/>
      <c r="B350" s="41" t="n"/>
      <c r="C350" s="24" t="n"/>
      <c r="D350" s="41" t="n"/>
      <c r="E350" s="41" t="n"/>
      <c r="F350" s="19">
        <f>IF(COUNTA(A350:E350)=0,"",IF(OR(ISNUMBER(SEARCH("소계",B350)),ISNUMBER(SEARCH("합계",B350))),"",TRIM(IF(B350="","이름 없음 ","")&amp;IF(A350="","받은 가족 없음 ","")&amp;IF(C350="","금액 없음 ",IF(ISNUMBER(C350),IF(C350&lt;1000,"금액 확인 ",""),"금액 확인 "))&amp;IF(AND(B350&lt;&gt;"",COUNTIFS($A$2:$A$1001,A350,$B$2:$B$1001,B350,$C$2:$C$1001,C350)&gt;1),"중복 의심",""))))</f>
        <v/>
      </c>
      <c r="G350" s="25">
        <f>IF(OR(COUNTA(A350:E350)=0,OR(ISNUMBER(SEARCH("소계",B350)),ISNUMBER(SEARCH("합계",B350)))),"",1+COUNTIF($B$1:B349,"*소계*"))</f>
        <v/>
      </c>
      <c r="H350">
        <f>IF(AND(A350&lt;&gt;"",A350=가족별!$B$1,G350&lt;&gt;""),COUNTIFS($A$2:A350,가족별!$B$1,$G$2:G350,"&gt;0"),"")</f>
        <v/>
      </c>
      <c r="I350">
        <f>IF(ISNUMBER(SEARCH("소계",B350)),COUNTIF($B$2:B350,"*소계*"),"")</f>
        <v/>
      </c>
      <c r="J350">
        <f>IF(F350="",0,1)</f>
        <v/>
      </c>
    </row>
    <row r="351">
      <c r="A351" s="41" t="n"/>
      <c r="B351" s="41" t="n"/>
      <c r="C351" s="24" t="n"/>
      <c r="D351" s="41" t="n"/>
      <c r="E351" s="41" t="n"/>
      <c r="F351" s="19">
        <f>IF(COUNTA(A351:E351)=0,"",IF(OR(ISNUMBER(SEARCH("소계",B351)),ISNUMBER(SEARCH("합계",B351))),"",TRIM(IF(B351="","이름 없음 ","")&amp;IF(A351="","받은 가족 없음 ","")&amp;IF(C351="","금액 없음 ",IF(ISNUMBER(C351),IF(C351&lt;1000,"금액 확인 ",""),"금액 확인 "))&amp;IF(AND(B351&lt;&gt;"",COUNTIFS($A$2:$A$1001,A351,$B$2:$B$1001,B351,$C$2:$C$1001,C351)&gt;1),"중복 의심",""))))</f>
        <v/>
      </c>
      <c r="G351" s="25">
        <f>IF(OR(COUNTA(A351:E351)=0,OR(ISNUMBER(SEARCH("소계",B351)),ISNUMBER(SEARCH("합계",B351)))),"",1+COUNTIF($B$1:B350,"*소계*"))</f>
        <v/>
      </c>
      <c r="H351">
        <f>IF(AND(A351&lt;&gt;"",A351=가족별!$B$1,G351&lt;&gt;""),COUNTIFS($A$2:A351,가족별!$B$1,$G$2:G351,"&gt;0"),"")</f>
        <v/>
      </c>
      <c r="I351">
        <f>IF(ISNUMBER(SEARCH("소계",B351)),COUNTIF($B$2:B351,"*소계*"),"")</f>
        <v/>
      </c>
      <c r="J351">
        <f>IF(F351="",0,1)</f>
        <v/>
      </c>
    </row>
    <row r="352">
      <c r="A352" s="41" t="n"/>
      <c r="B352" s="41" t="n"/>
      <c r="C352" s="24" t="n"/>
      <c r="D352" s="41" t="n"/>
      <c r="E352" s="41" t="n"/>
      <c r="F352" s="19">
        <f>IF(COUNTA(A352:E352)=0,"",IF(OR(ISNUMBER(SEARCH("소계",B352)),ISNUMBER(SEARCH("합계",B352))),"",TRIM(IF(B352="","이름 없음 ","")&amp;IF(A352="","받은 가족 없음 ","")&amp;IF(C352="","금액 없음 ",IF(ISNUMBER(C352),IF(C352&lt;1000,"금액 확인 ",""),"금액 확인 "))&amp;IF(AND(B352&lt;&gt;"",COUNTIFS($A$2:$A$1001,A352,$B$2:$B$1001,B352,$C$2:$C$1001,C352)&gt;1),"중복 의심",""))))</f>
        <v/>
      </c>
      <c r="G352" s="25">
        <f>IF(OR(COUNTA(A352:E352)=0,OR(ISNUMBER(SEARCH("소계",B352)),ISNUMBER(SEARCH("합계",B352)))),"",1+COUNTIF($B$1:B351,"*소계*"))</f>
        <v/>
      </c>
      <c r="H352">
        <f>IF(AND(A352&lt;&gt;"",A352=가족별!$B$1,G352&lt;&gt;""),COUNTIFS($A$2:A352,가족별!$B$1,$G$2:G352,"&gt;0"),"")</f>
        <v/>
      </c>
      <c r="I352">
        <f>IF(ISNUMBER(SEARCH("소계",B352)),COUNTIF($B$2:B352,"*소계*"),"")</f>
        <v/>
      </c>
      <c r="J352">
        <f>IF(F352="",0,1)</f>
        <v/>
      </c>
    </row>
    <row r="353">
      <c r="A353" s="41" t="n"/>
      <c r="B353" s="41" t="n"/>
      <c r="C353" s="24" t="n"/>
      <c r="D353" s="41" t="n"/>
      <c r="E353" s="41" t="n"/>
      <c r="F353" s="19">
        <f>IF(COUNTA(A353:E353)=0,"",IF(OR(ISNUMBER(SEARCH("소계",B353)),ISNUMBER(SEARCH("합계",B353))),"",TRIM(IF(B353="","이름 없음 ","")&amp;IF(A353="","받은 가족 없음 ","")&amp;IF(C353="","금액 없음 ",IF(ISNUMBER(C353),IF(C353&lt;1000,"금액 확인 ",""),"금액 확인 "))&amp;IF(AND(B353&lt;&gt;"",COUNTIFS($A$2:$A$1001,A353,$B$2:$B$1001,B353,$C$2:$C$1001,C353)&gt;1),"중복 의심",""))))</f>
        <v/>
      </c>
      <c r="G353" s="25">
        <f>IF(OR(COUNTA(A353:E353)=0,OR(ISNUMBER(SEARCH("소계",B353)),ISNUMBER(SEARCH("합계",B353)))),"",1+COUNTIF($B$1:B352,"*소계*"))</f>
        <v/>
      </c>
      <c r="H353">
        <f>IF(AND(A353&lt;&gt;"",A353=가족별!$B$1,G353&lt;&gt;""),COUNTIFS($A$2:A353,가족별!$B$1,$G$2:G353,"&gt;0"),"")</f>
        <v/>
      </c>
      <c r="I353">
        <f>IF(ISNUMBER(SEARCH("소계",B353)),COUNTIF($B$2:B353,"*소계*"),"")</f>
        <v/>
      </c>
      <c r="J353">
        <f>IF(F353="",0,1)</f>
        <v/>
      </c>
    </row>
    <row r="354">
      <c r="A354" s="41" t="n"/>
      <c r="B354" s="41" t="n"/>
      <c r="C354" s="24" t="n"/>
      <c r="D354" s="41" t="n"/>
      <c r="E354" s="41" t="n"/>
      <c r="F354" s="19">
        <f>IF(COUNTA(A354:E354)=0,"",IF(OR(ISNUMBER(SEARCH("소계",B354)),ISNUMBER(SEARCH("합계",B354))),"",TRIM(IF(B354="","이름 없음 ","")&amp;IF(A354="","받은 가족 없음 ","")&amp;IF(C354="","금액 없음 ",IF(ISNUMBER(C354),IF(C354&lt;1000,"금액 확인 ",""),"금액 확인 "))&amp;IF(AND(B354&lt;&gt;"",COUNTIFS($A$2:$A$1001,A354,$B$2:$B$1001,B354,$C$2:$C$1001,C354)&gt;1),"중복 의심",""))))</f>
        <v/>
      </c>
      <c r="G354" s="25">
        <f>IF(OR(COUNTA(A354:E354)=0,OR(ISNUMBER(SEARCH("소계",B354)),ISNUMBER(SEARCH("합계",B354)))),"",1+COUNTIF($B$1:B353,"*소계*"))</f>
        <v/>
      </c>
      <c r="H354">
        <f>IF(AND(A354&lt;&gt;"",A354=가족별!$B$1,G354&lt;&gt;""),COUNTIFS($A$2:A354,가족별!$B$1,$G$2:G354,"&gt;0"),"")</f>
        <v/>
      </c>
      <c r="I354">
        <f>IF(ISNUMBER(SEARCH("소계",B354)),COUNTIF($B$2:B354,"*소계*"),"")</f>
        <v/>
      </c>
      <c r="J354">
        <f>IF(F354="",0,1)</f>
        <v/>
      </c>
    </row>
    <row r="355">
      <c r="A355" s="41" t="n"/>
      <c r="B355" s="41" t="n"/>
      <c r="C355" s="24" t="n"/>
      <c r="D355" s="41" t="n"/>
      <c r="E355" s="41" t="n"/>
      <c r="F355" s="19">
        <f>IF(COUNTA(A355:E355)=0,"",IF(OR(ISNUMBER(SEARCH("소계",B355)),ISNUMBER(SEARCH("합계",B355))),"",TRIM(IF(B355="","이름 없음 ","")&amp;IF(A355="","받은 가족 없음 ","")&amp;IF(C355="","금액 없음 ",IF(ISNUMBER(C355),IF(C355&lt;1000,"금액 확인 ",""),"금액 확인 "))&amp;IF(AND(B355&lt;&gt;"",COUNTIFS($A$2:$A$1001,A355,$B$2:$B$1001,B355,$C$2:$C$1001,C355)&gt;1),"중복 의심",""))))</f>
        <v/>
      </c>
      <c r="G355" s="25">
        <f>IF(OR(COUNTA(A355:E355)=0,OR(ISNUMBER(SEARCH("소계",B355)),ISNUMBER(SEARCH("합계",B355)))),"",1+COUNTIF($B$1:B354,"*소계*"))</f>
        <v/>
      </c>
      <c r="H355">
        <f>IF(AND(A355&lt;&gt;"",A355=가족별!$B$1,G355&lt;&gt;""),COUNTIFS($A$2:A355,가족별!$B$1,$G$2:G355,"&gt;0"),"")</f>
        <v/>
      </c>
      <c r="I355">
        <f>IF(ISNUMBER(SEARCH("소계",B355)),COUNTIF($B$2:B355,"*소계*"),"")</f>
        <v/>
      </c>
      <c r="J355">
        <f>IF(F355="",0,1)</f>
        <v/>
      </c>
    </row>
    <row r="356">
      <c r="A356" s="41" t="n"/>
      <c r="B356" s="41" t="n"/>
      <c r="C356" s="24" t="n"/>
      <c r="D356" s="41" t="n"/>
      <c r="E356" s="41" t="n"/>
      <c r="F356" s="19">
        <f>IF(COUNTA(A356:E356)=0,"",IF(OR(ISNUMBER(SEARCH("소계",B356)),ISNUMBER(SEARCH("합계",B356))),"",TRIM(IF(B356="","이름 없음 ","")&amp;IF(A356="","받은 가족 없음 ","")&amp;IF(C356="","금액 없음 ",IF(ISNUMBER(C356),IF(C356&lt;1000,"금액 확인 ",""),"금액 확인 "))&amp;IF(AND(B356&lt;&gt;"",COUNTIFS($A$2:$A$1001,A356,$B$2:$B$1001,B356,$C$2:$C$1001,C356)&gt;1),"중복 의심",""))))</f>
        <v/>
      </c>
      <c r="G356" s="25">
        <f>IF(OR(COUNTA(A356:E356)=0,OR(ISNUMBER(SEARCH("소계",B356)),ISNUMBER(SEARCH("합계",B356)))),"",1+COUNTIF($B$1:B355,"*소계*"))</f>
        <v/>
      </c>
      <c r="H356">
        <f>IF(AND(A356&lt;&gt;"",A356=가족별!$B$1,G356&lt;&gt;""),COUNTIFS($A$2:A356,가족별!$B$1,$G$2:G356,"&gt;0"),"")</f>
        <v/>
      </c>
      <c r="I356">
        <f>IF(ISNUMBER(SEARCH("소계",B356)),COUNTIF($B$2:B356,"*소계*"),"")</f>
        <v/>
      </c>
      <c r="J356">
        <f>IF(F356="",0,1)</f>
        <v/>
      </c>
    </row>
    <row r="357">
      <c r="A357" s="41" t="n"/>
      <c r="B357" s="41" t="n"/>
      <c r="C357" s="24" t="n"/>
      <c r="D357" s="41" t="n"/>
      <c r="E357" s="41" t="n"/>
      <c r="F357" s="19">
        <f>IF(COUNTA(A357:E357)=0,"",IF(OR(ISNUMBER(SEARCH("소계",B357)),ISNUMBER(SEARCH("합계",B357))),"",TRIM(IF(B357="","이름 없음 ","")&amp;IF(A357="","받은 가족 없음 ","")&amp;IF(C357="","금액 없음 ",IF(ISNUMBER(C357),IF(C357&lt;1000,"금액 확인 ",""),"금액 확인 "))&amp;IF(AND(B357&lt;&gt;"",COUNTIFS($A$2:$A$1001,A357,$B$2:$B$1001,B357,$C$2:$C$1001,C357)&gt;1),"중복 의심",""))))</f>
        <v/>
      </c>
      <c r="G357" s="25">
        <f>IF(OR(COUNTA(A357:E357)=0,OR(ISNUMBER(SEARCH("소계",B357)),ISNUMBER(SEARCH("합계",B357)))),"",1+COUNTIF($B$1:B356,"*소계*"))</f>
        <v/>
      </c>
      <c r="H357">
        <f>IF(AND(A357&lt;&gt;"",A357=가족별!$B$1,G357&lt;&gt;""),COUNTIFS($A$2:A357,가족별!$B$1,$G$2:G357,"&gt;0"),"")</f>
        <v/>
      </c>
      <c r="I357">
        <f>IF(ISNUMBER(SEARCH("소계",B357)),COUNTIF($B$2:B357,"*소계*"),"")</f>
        <v/>
      </c>
      <c r="J357">
        <f>IF(F357="",0,1)</f>
        <v/>
      </c>
    </row>
    <row r="358">
      <c r="A358" s="41" t="n"/>
      <c r="B358" s="41" t="n"/>
      <c r="C358" s="24" t="n"/>
      <c r="D358" s="41" t="n"/>
      <c r="E358" s="41" t="n"/>
      <c r="F358" s="19">
        <f>IF(COUNTA(A358:E358)=0,"",IF(OR(ISNUMBER(SEARCH("소계",B358)),ISNUMBER(SEARCH("합계",B358))),"",TRIM(IF(B358="","이름 없음 ","")&amp;IF(A358="","받은 가족 없음 ","")&amp;IF(C358="","금액 없음 ",IF(ISNUMBER(C358),IF(C358&lt;1000,"금액 확인 ",""),"금액 확인 "))&amp;IF(AND(B358&lt;&gt;"",COUNTIFS($A$2:$A$1001,A358,$B$2:$B$1001,B358,$C$2:$C$1001,C358)&gt;1),"중복 의심",""))))</f>
        <v/>
      </c>
      <c r="G358" s="25">
        <f>IF(OR(COUNTA(A358:E358)=0,OR(ISNUMBER(SEARCH("소계",B358)),ISNUMBER(SEARCH("합계",B358)))),"",1+COUNTIF($B$1:B357,"*소계*"))</f>
        <v/>
      </c>
      <c r="H358">
        <f>IF(AND(A358&lt;&gt;"",A358=가족별!$B$1,G358&lt;&gt;""),COUNTIFS($A$2:A358,가족별!$B$1,$G$2:G358,"&gt;0"),"")</f>
        <v/>
      </c>
      <c r="I358">
        <f>IF(ISNUMBER(SEARCH("소계",B358)),COUNTIF($B$2:B358,"*소계*"),"")</f>
        <v/>
      </c>
      <c r="J358">
        <f>IF(F358="",0,1)</f>
        <v/>
      </c>
    </row>
    <row r="359">
      <c r="A359" s="41" t="n"/>
      <c r="B359" s="41" t="n"/>
      <c r="C359" s="24" t="n"/>
      <c r="D359" s="41" t="n"/>
      <c r="E359" s="41" t="n"/>
      <c r="F359" s="19">
        <f>IF(COUNTA(A359:E359)=0,"",IF(OR(ISNUMBER(SEARCH("소계",B359)),ISNUMBER(SEARCH("합계",B359))),"",TRIM(IF(B359="","이름 없음 ","")&amp;IF(A359="","받은 가족 없음 ","")&amp;IF(C359="","금액 없음 ",IF(ISNUMBER(C359),IF(C359&lt;1000,"금액 확인 ",""),"금액 확인 "))&amp;IF(AND(B359&lt;&gt;"",COUNTIFS($A$2:$A$1001,A359,$B$2:$B$1001,B359,$C$2:$C$1001,C359)&gt;1),"중복 의심",""))))</f>
        <v/>
      </c>
      <c r="G359" s="25">
        <f>IF(OR(COUNTA(A359:E359)=0,OR(ISNUMBER(SEARCH("소계",B359)),ISNUMBER(SEARCH("합계",B359)))),"",1+COUNTIF($B$1:B358,"*소계*"))</f>
        <v/>
      </c>
      <c r="H359">
        <f>IF(AND(A359&lt;&gt;"",A359=가족별!$B$1,G359&lt;&gt;""),COUNTIFS($A$2:A359,가족별!$B$1,$G$2:G359,"&gt;0"),"")</f>
        <v/>
      </c>
      <c r="I359">
        <f>IF(ISNUMBER(SEARCH("소계",B359)),COUNTIF($B$2:B359,"*소계*"),"")</f>
        <v/>
      </c>
      <c r="J359">
        <f>IF(F359="",0,1)</f>
        <v/>
      </c>
    </row>
    <row r="360">
      <c r="A360" s="41" t="n"/>
      <c r="B360" s="41" t="n"/>
      <c r="C360" s="24" t="n"/>
      <c r="D360" s="41" t="n"/>
      <c r="E360" s="41" t="n"/>
      <c r="F360" s="19">
        <f>IF(COUNTA(A360:E360)=0,"",IF(OR(ISNUMBER(SEARCH("소계",B360)),ISNUMBER(SEARCH("합계",B360))),"",TRIM(IF(B360="","이름 없음 ","")&amp;IF(A360="","받은 가족 없음 ","")&amp;IF(C360="","금액 없음 ",IF(ISNUMBER(C360),IF(C360&lt;1000,"금액 확인 ",""),"금액 확인 "))&amp;IF(AND(B360&lt;&gt;"",COUNTIFS($A$2:$A$1001,A360,$B$2:$B$1001,B360,$C$2:$C$1001,C360)&gt;1),"중복 의심",""))))</f>
        <v/>
      </c>
      <c r="G360" s="25">
        <f>IF(OR(COUNTA(A360:E360)=0,OR(ISNUMBER(SEARCH("소계",B360)),ISNUMBER(SEARCH("합계",B360)))),"",1+COUNTIF($B$1:B359,"*소계*"))</f>
        <v/>
      </c>
      <c r="H360">
        <f>IF(AND(A360&lt;&gt;"",A360=가족별!$B$1,G360&lt;&gt;""),COUNTIFS($A$2:A360,가족별!$B$1,$G$2:G360,"&gt;0"),"")</f>
        <v/>
      </c>
      <c r="I360">
        <f>IF(ISNUMBER(SEARCH("소계",B360)),COUNTIF($B$2:B360,"*소계*"),"")</f>
        <v/>
      </c>
      <c r="J360">
        <f>IF(F360="",0,1)</f>
        <v/>
      </c>
    </row>
    <row r="361">
      <c r="A361" s="41" t="n"/>
      <c r="B361" s="41" t="n"/>
      <c r="C361" s="24" t="n"/>
      <c r="D361" s="41" t="n"/>
      <c r="E361" s="41" t="n"/>
      <c r="F361" s="19">
        <f>IF(COUNTA(A361:E361)=0,"",IF(OR(ISNUMBER(SEARCH("소계",B361)),ISNUMBER(SEARCH("합계",B361))),"",TRIM(IF(B361="","이름 없음 ","")&amp;IF(A361="","받은 가족 없음 ","")&amp;IF(C361="","금액 없음 ",IF(ISNUMBER(C361),IF(C361&lt;1000,"금액 확인 ",""),"금액 확인 "))&amp;IF(AND(B361&lt;&gt;"",COUNTIFS($A$2:$A$1001,A361,$B$2:$B$1001,B361,$C$2:$C$1001,C361)&gt;1),"중복 의심",""))))</f>
        <v/>
      </c>
      <c r="G361" s="25">
        <f>IF(OR(COUNTA(A361:E361)=0,OR(ISNUMBER(SEARCH("소계",B361)),ISNUMBER(SEARCH("합계",B361)))),"",1+COUNTIF($B$1:B360,"*소계*"))</f>
        <v/>
      </c>
      <c r="H361">
        <f>IF(AND(A361&lt;&gt;"",A361=가족별!$B$1,G361&lt;&gt;""),COUNTIFS($A$2:A361,가족별!$B$1,$G$2:G361,"&gt;0"),"")</f>
        <v/>
      </c>
      <c r="I361">
        <f>IF(ISNUMBER(SEARCH("소계",B361)),COUNTIF($B$2:B361,"*소계*"),"")</f>
        <v/>
      </c>
      <c r="J361">
        <f>IF(F361="",0,1)</f>
        <v/>
      </c>
    </row>
    <row r="362">
      <c r="A362" s="41" t="n"/>
      <c r="B362" s="41" t="n"/>
      <c r="C362" s="24" t="n"/>
      <c r="D362" s="41" t="n"/>
      <c r="E362" s="41" t="n"/>
      <c r="F362" s="19">
        <f>IF(COUNTA(A362:E362)=0,"",IF(OR(ISNUMBER(SEARCH("소계",B362)),ISNUMBER(SEARCH("합계",B362))),"",TRIM(IF(B362="","이름 없음 ","")&amp;IF(A362="","받은 가족 없음 ","")&amp;IF(C362="","금액 없음 ",IF(ISNUMBER(C362),IF(C362&lt;1000,"금액 확인 ",""),"금액 확인 "))&amp;IF(AND(B362&lt;&gt;"",COUNTIFS($A$2:$A$1001,A362,$B$2:$B$1001,B362,$C$2:$C$1001,C362)&gt;1),"중복 의심",""))))</f>
        <v/>
      </c>
      <c r="G362" s="25">
        <f>IF(OR(COUNTA(A362:E362)=0,OR(ISNUMBER(SEARCH("소계",B362)),ISNUMBER(SEARCH("합계",B362)))),"",1+COUNTIF($B$1:B361,"*소계*"))</f>
        <v/>
      </c>
      <c r="H362">
        <f>IF(AND(A362&lt;&gt;"",A362=가족별!$B$1,G362&lt;&gt;""),COUNTIFS($A$2:A362,가족별!$B$1,$G$2:G362,"&gt;0"),"")</f>
        <v/>
      </c>
      <c r="I362">
        <f>IF(ISNUMBER(SEARCH("소계",B362)),COUNTIF($B$2:B362,"*소계*"),"")</f>
        <v/>
      </c>
      <c r="J362">
        <f>IF(F362="",0,1)</f>
        <v/>
      </c>
    </row>
    <row r="363">
      <c r="A363" s="41" t="n"/>
      <c r="B363" s="41" t="n"/>
      <c r="C363" s="24" t="n"/>
      <c r="D363" s="41" t="n"/>
      <c r="E363" s="41" t="n"/>
      <c r="F363" s="19">
        <f>IF(COUNTA(A363:E363)=0,"",IF(OR(ISNUMBER(SEARCH("소계",B363)),ISNUMBER(SEARCH("합계",B363))),"",TRIM(IF(B363="","이름 없음 ","")&amp;IF(A363="","받은 가족 없음 ","")&amp;IF(C363="","금액 없음 ",IF(ISNUMBER(C363),IF(C363&lt;1000,"금액 확인 ",""),"금액 확인 "))&amp;IF(AND(B363&lt;&gt;"",COUNTIFS($A$2:$A$1001,A363,$B$2:$B$1001,B363,$C$2:$C$1001,C363)&gt;1),"중복 의심",""))))</f>
        <v/>
      </c>
      <c r="G363" s="25">
        <f>IF(OR(COUNTA(A363:E363)=0,OR(ISNUMBER(SEARCH("소계",B363)),ISNUMBER(SEARCH("합계",B363)))),"",1+COUNTIF($B$1:B362,"*소계*"))</f>
        <v/>
      </c>
      <c r="H363">
        <f>IF(AND(A363&lt;&gt;"",A363=가족별!$B$1,G363&lt;&gt;""),COUNTIFS($A$2:A363,가족별!$B$1,$G$2:G363,"&gt;0"),"")</f>
        <v/>
      </c>
      <c r="I363">
        <f>IF(ISNUMBER(SEARCH("소계",B363)),COUNTIF($B$2:B363,"*소계*"),"")</f>
        <v/>
      </c>
      <c r="J363">
        <f>IF(F363="",0,1)</f>
        <v/>
      </c>
    </row>
    <row r="364">
      <c r="A364" s="41" t="n"/>
      <c r="B364" s="41" t="n"/>
      <c r="C364" s="24" t="n"/>
      <c r="D364" s="41" t="n"/>
      <c r="E364" s="41" t="n"/>
      <c r="F364" s="19">
        <f>IF(COUNTA(A364:E364)=0,"",IF(OR(ISNUMBER(SEARCH("소계",B364)),ISNUMBER(SEARCH("합계",B364))),"",TRIM(IF(B364="","이름 없음 ","")&amp;IF(A364="","받은 가족 없음 ","")&amp;IF(C364="","금액 없음 ",IF(ISNUMBER(C364),IF(C364&lt;1000,"금액 확인 ",""),"금액 확인 "))&amp;IF(AND(B364&lt;&gt;"",COUNTIFS($A$2:$A$1001,A364,$B$2:$B$1001,B364,$C$2:$C$1001,C364)&gt;1),"중복 의심",""))))</f>
        <v/>
      </c>
      <c r="G364" s="25">
        <f>IF(OR(COUNTA(A364:E364)=0,OR(ISNUMBER(SEARCH("소계",B364)),ISNUMBER(SEARCH("합계",B364)))),"",1+COUNTIF($B$1:B363,"*소계*"))</f>
        <v/>
      </c>
      <c r="H364">
        <f>IF(AND(A364&lt;&gt;"",A364=가족별!$B$1,G364&lt;&gt;""),COUNTIFS($A$2:A364,가족별!$B$1,$G$2:G364,"&gt;0"),"")</f>
        <v/>
      </c>
      <c r="I364">
        <f>IF(ISNUMBER(SEARCH("소계",B364)),COUNTIF($B$2:B364,"*소계*"),"")</f>
        <v/>
      </c>
      <c r="J364">
        <f>IF(F364="",0,1)</f>
        <v/>
      </c>
    </row>
    <row r="365">
      <c r="A365" s="41" t="n"/>
      <c r="B365" s="41" t="n"/>
      <c r="C365" s="24" t="n"/>
      <c r="D365" s="41" t="n"/>
      <c r="E365" s="41" t="n"/>
      <c r="F365" s="19">
        <f>IF(COUNTA(A365:E365)=0,"",IF(OR(ISNUMBER(SEARCH("소계",B365)),ISNUMBER(SEARCH("합계",B365))),"",TRIM(IF(B365="","이름 없음 ","")&amp;IF(A365="","받은 가족 없음 ","")&amp;IF(C365="","금액 없음 ",IF(ISNUMBER(C365),IF(C365&lt;1000,"금액 확인 ",""),"금액 확인 "))&amp;IF(AND(B365&lt;&gt;"",COUNTIFS($A$2:$A$1001,A365,$B$2:$B$1001,B365,$C$2:$C$1001,C365)&gt;1),"중복 의심",""))))</f>
        <v/>
      </c>
      <c r="G365" s="25">
        <f>IF(OR(COUNTA(A365:E365)=0,OR(ISNUMBER(SEARCH("소계",B365)),ISNUMBER(SEARCH("합계",B365)))),"",1+COUNTIF($B$1:B364,"*소계*"))</f>
        <v/>
      </c>
      <c r="H365">
        <f>IF(AND(A365&lt;&gt;"",A365=가족별!$B$1,G365&lt;&gt;""),COUNTIFS($A$2:A365,가족별!$B$1,$G$2:G365,"&gt;0"),"")</f>
        <v/>
      </c>
      <c r="I365">
        <f>IF(ISNUMBER(SEARCH("소계",B365)),COUNTIF($B$2:B365,"*소계*"),"")</f>
        <v/>
      </c>
      <c r="J365">
        <f>IF(F365="",0,1)</f>
        <v/>
      </c>
    </row>
    <row r="366">
      <c r="A366" s="41" t="n"/>
      <c r="B366" s="41" t="n"/>
      <c r="C366" s="24" t="n"/>
      <c r="D366" s="41" t="n"/>
      <c r="E366" s="41" t="n"/>
      <c r="F366" s="19">
        <f>IF(COUNTA(A366:E366)=0,"",IF(OR(ISNUMBER(SEARCH("소계",B366)),ISNUMBER(SEARCH("합계",B366))),"",TRIM(IF(B366="","이름 없음 ","")&amp;IF(A366="","받은 가족 없음 ","")&amp;IF(C366="","금액 없음 ",IF(ISNUMBER(C366),IF(C366&lt;1000,"금액 확인 ",""),"금액 확인 "))&amp;IF(AND(B366&lt;&gt;"",COUNTIFS($A$2:$A$1001,A366,$B$2:$B$1001,B366,$C$2:$C$1001,C366)&gt;1),"중복 의심",""))))</f>
        <v/>
      </c>
      <c r="G366" s="25">
        <f>IF(OR(COUNTA(A366:E366)=0,OR(ISNUMBER(SEARCH("소계",B366)),ISNUMBER(SEARCH("합계",B366)))),"",1+COUNTIF($B$1:B365,"*소계*"))</f>
        <v/>
      </c>
      <c r="H366">
        <f>IF(AND(A366&lt;&gt;"",A366=가족별!$B$1,G366&lt;&gt;""),COUNTIFS($A$2:A366,가족별!$B$1,$G$2:G366,"&gt;0"),"")</f>
        <v/>
      </c>
      <c r="I366">
        <f>IF(ISNUMBER(SEARCH("소계",B366)),COUNTIF($B$2:B366,"*소계*"),"")</f>
        <v/>
      </c>
      <c r="J366">
        <f>IF(F366="",0,1)</f>
        <v/>
      </c>
    </row>
    <row r="367">
      <c r="A367" s="41" t="n"/>
      <c r="B367" s="41" t="n"/>
      <c r="C367" s="24" t="n"/>
      <c r="D367" s="41" t="n"/>
      <c r="E367" s="41" t="n"/>
      <c r="F367" s="19">
        <f>IF(COUNTA(A367:E367)=0,"",IF(OR(ISNUMBER(SEARCH("소계",B367)),ISNUMBER(SEARCH("합계",B367))),"",TRIM(IF(B367="","이름 없음 ","")&amp;IF(A367="","받은 가족 없음 ","")&amp;IF(C367="","금액 없음 ",IF(ISNUMBER(C367),IF(C367&lt;1000,"금액 확인 ",""),"금액 확인 "))&amp;IF(AND(B367&lt;&gt;"",COUNTIFS($A$2:$A$1001,A367,$B$2:$B$1001,B367,$C$2:$C$1001,C367)&gt;1),"중복 의심",""))))</f>
        <v/>
      </c>
      <c r="G367" s="25">
        <f>IF(OR(COUNTA(A367:E367)=0,OR(ISNUMBER(SEARCH("소계",B367)),ISNUMBER(SEARCH("합계",B367)))),"",1+COUNTIF($B$1:B366,"*소계*"))</f>
        <v/>
      </c>
      <c r="H367">
        <f>IF(AND(A367&lt;&gt;"",A367=가족별!$B$1,G367&lt;&gt;""),COUNTIFS($A$2:A367,가족별!$B$1,$G$2:G367,"&gt;0"),"")</f>
        <v/>
      </c>
      <c r="I367">
        <f>IF(ISNUMBER(SEARCH("소계",B367)),COUNTIF($B$2:B367,"*소계*"),"")</f>
        <v/>
      </c>
      <c r="J367">
        <f>IF(F367="",0,1)</f>
        <v/>
      </c>
    </row>
    <row r="368">
      <c r="A368" s="41" t="n"/>
      <c r="B368" s="41" t="n"/>
      <c r="C368" s="24" t="n"/>
      <c r="D368" s="41" t="n"/>
      <c r="E368" s="41" t="n"/>
      <c r="F368" s="19">
        <f>IF(COUNTA(A368:E368)=0,"",IF(OR(ISNUMBER(SEARCH("소계",B368)),ISNUMBER(SEARCH("합계",B368))),"",TRIM(IF(B368="","이름 없음 ","")&amp;IF(A368="","받은 가족 없음 ","")&amp;IF(C368="","금액 없음 ",IF(ISNUMBER(C368),IF(C368&lt;1000,"금액 확인 ",""),"금액 확인 "))&amp;IF(AND(B368&lt;&gt;"",COUNTIFS($A$2:$A$1001,A368,$B$2:$B$1001,B368,$C$2:$C$1001,C368)&gt;1),"중복 의심",""))))</f>
        <v/>
      </c>
      <c r="G368" s="25">
        <f>IF(OR(COUNTA(A368:E368)=0,OR(ISNUMBER(SEARCH("소계",B368)),ISNUMBER(SEARCH("합계",B368)))),"",1+COUNTIF($B$1:B367,"*소계*"))</f>
        <v/>
      </c>
      <c r="H368">
        <f>IF(AND(A368&lt;&gt;"",A368=가족별!$B$1,G368&lt;&gt;""),COUNTIFS($A$2:A368,가족별!$B$1,$G$2:G368,"&gt;0"),"")</f>
        <v/>
      </c>
      <c r="I368">
        <f>IF(ISNUMBER(SEARCH("소계",B368)),COUNTIF($B$2:B368,"*소계*"),"")</f>
        <v/>
      </c>
      <c r="J368">
        <f>IF(F368="",0,1)</f>
        <v/>
      </c>
    </row>
    <row r="369">
      <c r="A369" s="41" t="n"/>
      <c r="B369" s="41" t="n"/>
      <c r="C369" s="24" t="n"/>
      <c r="D369" s="41" t="n"/>
      <c r="E369" s="41" t="n"/>
      <c r="F369" s="19">
        <f>IF(COUNTA(A369:E369)=0,"",IF(OR(ISNUMBER(SEARCH("소계",B369)),ISNUMBER(SEARCH("합계",B369))),"",TRIM(IF(B369="","이름 없음 ","")&amp;IF(A369="","받은 가족 없음 ","")&amp;IF(C369="","금액 없음 ",IF(ISNUMBER(C369),IF(C369&lt;1000,"금액 확인 ",""),"금액 확인 "))&amp;IF(AND(B369&lt;&gt;"",COUNTIFS($A$2:$A$1001,A369,$B$2:$B$1001,B369,$C$2:$C$1001,C369)&gt;1),"중복 의심",""))))</f>
        <v/>
      </c>
      <c r="G369" s="25">
        <f>IF(OR(COUNTA(A369:E369)=0,OR(ISNUMBER(SEARCH("소계",B369)),ISNUMBER(SEARCH("합계",B369)))),"",1+COUNTIF($B$1:B368,"*소계*"))</f>
        <v/>
      </c>
      <c r="H369">
        <f>IF(AND(A369&lt;&gt;"",A369=가족별!$B$1,G369&lt;&gt;""),COUNTIFS($A$2:A369,가족별!$B$1,$G$2:G369,"&gt;0"),"")</f>
        <v/>
      </c>
      <c r="I369">
        <f>IF(ISNUMBER(SEARCH("소계",B369)),COUNTIF($B$2:B369,"*소계*"),"")</f>
        <v/>
      </c>
      <c r="J369">
        <f>IF(F369="",0,1)</f>
        <v/>
      </c>
    </row>
    <row r="370">
      <c r="A370" s="41" t="n"/>
      <c r="B370" s="41" t="n"/>
      <c r="C370" s="24" t="n"/>
      <c r="D370" s="41" t="n"/>
      <c r="E370" s="41" t="n"/>
      <c r="F370" s="19">
        <f>IF(COUNTA(A370:E370)=0,"",IF(OR(ISNUMBER(SEARCH("소계",B370)),ISNUMBER(SEARCH("합계",B370))),"",TRIM(IF(B370="","이름 없음 ","")&amp;IF(A370="","받은 가족 없음 ","")&amp;IF(C370="","금액 없음 ",IF(ISNUMBER(C370),IF(C370&lt;1000,"금액 확인 ",""),"금액 확인 "))&amp;IF(AND(B370&lt;&gt;"",COUNTIFS($A$2:$A$1001,A370,$B$2:$B$1001,B370,$C$2:$C$1001,C370)&gt;1),"중복 의심",""))))</f>
        <v/>
      </c>
      <c r="G370" s="25">
        <f>IF(OR(COUNTA(A370:E370)=0,OR(ISNUMBER(SEARCH("소계",B370)),ISNUMBER(SEARCH("합계",B370)))),"",1+COUNTIF($B$1:B369,"*소계*"))</f>
        <v/>
      </c>
      <c r="H370">
        <f>IF(AND(A370&lt;&gt;"",A370=가족별!$B$1,G370&lt;&gt;""),COUNTIFS($A$2:A370,가족별!$B$1,$G$2:G370,"&gt;0"),"")</f>
        <v/>
      </c>
      <c r="I370">
        <f>IF(ISNUMBER(SEARCH("소계",B370)),COUNTIF($B$2:B370,"*소계*"),"")</f>
        <v/>
      </c>
      <c r="J370">
        <f>IF(F370="",0,1)</f>
        <v/>
      </c>
    </row>
    <row r="371">
      <c r="A371" s="41" t="n"/>
      <c r="B371" s="41" t="n"/>
      <c r="C371" s="24" t="n"/>
      <c r="D371" s="41" t="n"/>
      <c r="E371" s="41" t="n"/>
      <c r="F371" s="19">
        <f>IF(COUNTA(A371:E371)=0,"",IF(OR(ISNUMBER(SEARCH("소계",B371)),ISNUMBER(SEARCH("합계",B371))),"",TRIM(IF(B371="","이름 없음 ","")&amp;IF(A371="","받은 가족 없음 ","")&amp;IF(C371="","금액 없음 ",IF(ISNUMBER(C371),IF(C371&lt;1000,"금액 확인 ",""),"금액 확인 "))&amp;IF(AND(B371&lt;&gt;"",COUNTIFS($A$2:$A$1001,A371,$B$2:$B$1001,B371,$C$2:$C$1001,C371)&gt;1),"중복 의심",""))))</f>
        <v/>
      </c>
      <c r="G371" s="25">
        <f>IF(OR(COUNTA(A371:E371)=0,OR(ISNUMBER(SEARCH("소계",B371)),ISNUMBER(SEARCH("합계",B371)))),"",1+COUNTIF($B$1:B370,"*소계*"))</f>
        <v/>
      </c>
      <c r="H371">
        <f>IF(AND(A371&lt;&gt;"",A371=가족별!$B$1,G371&lt;&gt;""),COUNTIFS($A$2:A371,가족별!$B$1,$G$2:G371,"&gt;0"),"")</f>
        <v/>
      </c>
      <c r="I371">
        <f>IF(ISNUMBER(SEARCH("소계",B371)),COUNTIF($B$2:B371,"*소계*"),"")</f>
        <v/>
      </c>
      <c r="J371">
        <f>IF(F371="",0,1)</f>
        <v/>
      </c>
    </row>
    <row r="372">
      <c r="A372" s="41" t="n"/>
      <c r="B372" s="41" t="n"/>
      <c r="C372" s="24" t="n"/>
      <c r="D372" s="41" t="n"/>
      <c r="E372" s="41" t="n"/>
      <c r="F372" s="19">
        <f>IF(COUNTA(A372:E372)=0,"",IF(OR(ISNUMBER(SEARCH("소계",B372)),ISNUMBER(SEARCH("합계",B372))),"",TRIM(IF(B372="","이름 없음 ","")&amp;IF(A372="","받은 가족 없음 ","")&amp;IF(C372="","금액 없음 ",IF(ISNUMBER(C372),IF(C372&lt;1000,"금액 확인 ",""),"금액 확인 "))&amp;IF(AND(B372&lt;&gt;"",COUNTIFS($A$2:$A$1001,A372,$B$2:$B$1001,B372,$C$2:$C$1001,C372)&gt;1),"중복 의심",""))))</f>
        <v/>
      </c>
      <c r="G372" s="25">
        <f>IF(OR(COUNTA(A372:E372)=0,OR(ISNUMBER(SEARCH("소계",B372)),ISNUMBER(SEARCH("합계",B372)))),"",1+COUNTIF($B$1:B371,"*소계*"))</f>
        <v/>
      </c>
      <c r="H372">
        <f>IF(AND(A372&lt;&gt;"",A372=가족별!$B$1,G372&lt;&gt;""),COUNTIFS($A$2:A372,가족별!$B$1,$G$2:G372,"&gt;0"),"")</f>
        <v/>
      </c>
      <c r="I372">
        <f>IF(ISNUMBER(SEARCH("소계",B372)),COUNTIF($B$2:B372,"*소계*"),"")</f>
        <v/>
      </c>
      <c r="J372">
        <f>IF(F372="",0,1)</f>
        <v/>
      </c>
    </row>
    <row r="373">
      <c r="A373" s="41" t="n"/>
      <c r="B373" s="41" t="n"/>
      <c r="C373" s="24" t="n"/>
      <c r="D373" s="41" t="n"/>
      <c r="E373" s="41" t="n"/>
      <c r="F373" s="19">
        <f>IF(COUNTA(A373:E373)=0,"",IF(OR(ISNUMBER(SEARCH("소계",B373)),ISNUMBER(SEARCH("합계",B373))),"",TRIM(IF(B373="","이름 없음 ","")&amp;IF(A373="","받은 가족 없음 ","")&amp;IF(C373="","금액 없음 ",IF(ISNUMBER(C373),IF(C373&lt;1000,"금액 확인 ",""),"금액 확인 "))&amp;IF(AND(B373&lt;&gt;"",COUNTIFS($A$2:$A$1001,A373,$B$2:$B$1001,B373,$C$2:$C$1001,C373)&gt;1),"중복 의심",""))))</f>
        <v/>
      </c>
      <c r="G373" s="25">
        <f>IF(OR(COUNTA(A373:E373)=0,OR(ISNUMBER(SEARCH("소계",B373)),ISNUMBER(SEARCH("합계",B373)))),"",1+COUNTIF($B$1:B372,"*소계*"))</f>
        <v/>
      </c>
      <c r="H373">
        <f>IF(AND(A373&lt;&gt;"",A373=가족별!$B$1,G373&lt;&gt;""),COUNTIFS($A$2:A373,가족별!$B$1,$G$2:G373,"&gt;0"),"")</f>
        <v/>
      </c>
      <c r="I373">
        <f>IF(ISNUMBER(SEARCH("소계",B373)),COUNTIF($B$2:B373,"*소계*"),"")</f>
        <v/>
      </c>
      <c r="J373">
        <f>IF(F373="",0,1)</f>
        <v/>
      </c>
    </row>
    <row r="374">
      <c r="A374" s="41" t="n"/>
      <c r="B374" s="41" t="n"/>
      <c r="C374" s="24" t="n"/>
      <c r="D374" s="41" t="n"/>
      <c r="E374" s="41" t="n"/>
      <c r="F374" s="19">
        <f>IF(COUNTA(A374:E374)=0,"",IF(OR(ISNUMBER(SEARCH("소계",B374)),ISNUMBER(SEARCH("합계",B374))),"",TRIM(IF(B374="","이름 없음 ","")&amp;IF(A374="","받은 가족 없음 ","")&amp;IF(C374="","금액 없음 ",IF(ISNUMBER(C374),IF(C374&lt;1000,"금액 확인 ",""),"금액 확인 "))&amp;IF(AND(B374&lt;&gt;"",COUNTIFS($A$2:$A$1001,A374,$B$2:$B$1001,B374,$C$2:$C$1001,C374)&gt;1),"중복 의심",""))))</f>
        <v/>
      </c>
      <c r="G374" s="25">
        <f>IF(OR(COUNTA(A374:E374)=0,OR(ISNUMBER(SEARCH("소계",B374)),ISNUMBER(SEARCH("합계",B374)))),"",1+COUNTIF($B$1:B373,"*소계*"))</f>
        <v/>
      </c>
      <c r="H374">
        <f>IF(AND(A374&lt;&gt;"",A374=가족별!$B$1,G374&lt;&gt;""),COUNTIFS($A$2:A374,가족별!$B$1,$G$2:G374,"&gt;0"),"")</f>
        <v/>
      </c>
      <c r="I374">
        <f>IF(ISNUMBER(SEARCH("소계",B374)),COUNTIF($B$2:B374,"*소계*"),"")</f>
        <v/>
      </c>
      <c r="J374">
        <f>IF(F374="",0,1)</f>
        <v/>
      </c>
    </row>
    <row r="375">
      <c r="A375" s="41" t="n"/>
      <c r="B375" s="41" t="n"/>
      <c r="C375" s="24" t="n"/>
      <c r="D375" s="41" t="n"/>
      <c r="E375" s="41" t="n"/>
      <c r="F375" s="19">
        <f>IF(COUNTA(A375:E375)=0,"",IF(OR(ISNUMBER(SEARCH("소계",B375)),ISNUMBER(SEARCH("합계",B375))),"",TRIM(IF(B375="","이름 없음 ","")&amp;IF(A375="","받은 가족 없음 ","")&amp;IF(C375="","금액 없음 ",IF(ISNUMBER(C375),IF(C375&lt;1000,"금액 확인 ",""),"금액 확인 "))&amp;IF(AND(B375&lt;&gt;"",COUNTIFS($A$2:$A$1001,A375,$B$2:$B$1001,B375,$C$2:$C$1001,C375)&gt;1),"중복 의심",""))))</f>
        <v/>
      </c>
      <c r="G375" s="25">
        <f>IF(OR(COUNTA(A375:E375)=0,OR(ISNUMBER(SEARCH("소계",B375)),ISNUMBER(SEARCH("합계",B375)))),"",1+COUNTIF($B$1:B374,"*소계*"))</f>
        <v/>
      </c>
      <c r="H375">
        <f>IF(AND(A375&lt;&gt;"",A375=가족별!$B$1,G375&lt;&gt;""),COUNTIFS($A$2:A375,가족별!$B$1,$G$2:G375,"&gt;0"),"")</f>
        <v/>
      </c>
      <c r="I375">
        <f>IF(ISNUMBER(SEARCH("소계",B375)),COUNTIF($B$2:B375,"*소계*"),"")</f>
        <v/>
      </c>
      <c r="J375">
        <f>IF(F375="",0,1)</f>
        <v/>
      </c>
    </row>
    <row r="376">
      <c r="A376" s="41" t="n"/>
      <c r="B376" s="41" t="n"/>
      <c r="C376" s="24" t="n"/>
      <c r="D376" s="41" t="n"/>
      <c r="E376" s="41" t="n"/>
      <c r="F376" s="19">
        <f>IF(COUNTA(A376:E376)=0,"",IF(OR(ISNUMBER(SEARCH("소계",B376)),ISNUMBER(SEARCH("합계",B376))),"",TRIM(IF(B376="","이름 없음 ","")&amp;IF(A376="","받은 가족 없음 ","")&amp;IF(C376="","금액 없음 ",IF(ISNUMBER(C376),IF(C376&lt;1000,"금액 확인 ",""),"금액 확인 "))&amp;IF(AND(B376&lt;&gt;"",COUNTIFS($A$2:$A$1001,A376,$B$2:$B$1001,B376,$C$2:$C$1001,C376)&gt;1),"중복 의심",""))))</f>
        <v/>
      </c>
      <c r="G376" s="25">
        <f>IF(OR(COUNTA(A376:E376)=0,OR(ISNUMBER(SEARCH("소계",B376)),ISNUMBER(SEARCH("합계",B376)))),"",1+COUNTIF($B$1:B375,"*소계*"))</f>
        <v/>
      </c>
      <c r="H376">
        <f>IF(AND(A376&lt;&gt;"",A376=가족별!$B$1,G376&lt;&gt;""),COUNTIFS($A$2:A376,가족별!$B$1,$G$2:G376,"&gt;0"),"")</f>
        <v/>
      </c>
      <c r="I376">
        <f>IF(ISNUMBER(SEARCH("소계",B376)),COUNTIF($B$2:B376,"*소계*"),"")</f>
        <v/>
      </c>
      <c r="J376">
        <f>IF(F376="",0,1)</f>
        <v/>
      </c>
    </row>
    <row r="377">
      <c r="A377" s="41" t="n"/>
      <c r="B377" s="41" t="n"/>
      <c r="C377" s="24" t="n"/>
      <c r="D377" s="41" t="n"/>
      <c r="E377" s="41" t="n"/>
      <c r="F377" s="19">
        <f>IF(COUNTA(A377:E377)=0,"",IF(OR(ISNUMBER(SEARCH("소계",B377)),ISNUMBER(SEARCH("합계",B377))),"",TRIM(IF(B377="","이름 없음 ","")&amp;IF(A377="","받은 가족 없음 ","")&amp;IF(C377="","금액 없음 ",IF(ISNUMBER(C377),IF(C377&lt;1000,"금액 확인 ",""),"금액 확인 "))&amp;IF(AND(B377&lt;&gt;"",COUNTIFS($A$2:$A$1001,A377,$B$2:$B$1001,B377,$C$2:$C$1001,C377)&gt;1),"중복 의심",""))))</f>
        <v/>
      </c>
      <c r="G377" s="25">
        <f>IF(OR(COUNTA(A377:E377)=0,OR(ISNUMBER(SEARCH("소계",B377)),ISNUMBER(SEARCH("합계",B377)))),"",1+COUNTIF($B$1:B376,"*소계*"))</f>
        <v/>
      </c>
      <c r="H377">
        <f>IF(AND(A377&lt;&gt;"",A377=가족별!$B$1,G377&lt;&gt;""),COUNTIFS($A$2:A377,가족별!$B$1,$G$2:G377,"&gt;0"),"")</f>
        <v/>
      </c>
      <c r="I377">
        <f>IF(ISNUMBER(SEARCH("소계",B377)),COUNTIF($B$2:B377,"*소계*"),"")</f>
        <v/>
      </c>
      <c r="J377">
        <f>IF(F377="",0,1)</f>
        <v/>
      </c>
    </row>
    <row r="378">
      <c r="A378" s="41" t="n"/>
      <c r="B378" s="41" t="n"/>
      <c r="C378" s="24" t="n"/>
      <c r="D378" s="41" t="n"/>
      <c r="E378" s="41" t="n"/>
      <c r="F378" s="19">
        <f>IF(COUNTA(A378:E378)=0,"",IF(OR(ISNUMBER(SEARCH("소계",B378)),ISNUMBER(SEARCH("합계",B378))),"",TRIM(IF(B378="","이름 없음 ","")&amp;IF(A378="","받은 가족 없음 ","")&amp;IF(C378="","금액 없음 ",IF(ISNUMBER(C378),IF(C378&lt;1000,"금액 확인 ",""),"금액 확인 "))&amp;IF(AND(B378&lt;&gt;"",COUNTIFS($A$2:$A$1001,A378,$B$2:$B$1001,B378,$C$2:$C$1001,C378)&gt;1),"중복 의심",""))))</f>
        <v/>
      </c>
      <c r="G378" s="25">
        <f>IF(OR(COUNTA(A378:E378)=0,OR(ISNUMBER(SEARCH("소계",B378)),ISNUMBER(SEARCH("합계",B378)))),"",1+COUNTIF($B$1:B377,"*소계*"))</f>
        <v/>
      </c>
      <c r="H378">
        <f>IF(AND(A378&lt;&gt;"",A378=가족별!$B$1,G378&lt;&gt;""),COUNTIFS($A$2:A378,가족별!$B$1,$G$2:G378,"&gt;0"),"")</f>
        <v/>
      </c>
      <c r="I378">
        <f>IF(ISNUMBER(SEARCH("소계",B378)),COUNTIF($B$2:B378,"*소계*"),"")</f>
        <v/>
      </c>
      <c r="J378">
        <f>IF(F378="",0,1)</f>
        <v/>
      </c>
    </row>
    <row r="379">
      <c r="A379" s="41" t="n"/>
      <c r="B379" s="41" t="n"/>
      <c r="C379" s="24" t="n"/>
      <c r="D379" s="41" t="n"/>
      <c r="E379" s="41" t="n"/>
      <c r="F379" s="19">
        <f>IF(COUNTA(A379:E379)=0,"",IF(OR(ISNUMBER(SEARCH("소계",B379)),ISNUMBER(SEARCH("합계",B379))),"",TRIM(IF(B379="","이름 없음 ","")&amp;IF(A379="","받은 가족 없음 ","")&amp;IF(C379="","금액 없음 ",IF(ISNUMBER(C379),IF(C379&lt;1000,"금액 확인 ",""),"금액 확인 "))&amp;IF(AND(B379&lt;&gt;"",COUNTIFS($A$2:$A$1001,A379,$B$2:$B$1001,B379,$C$2:$C$1001,C379)&gt;1),"중복 의심",""))))</f>
        <v/>
      </c>
      <c r="G379" s="25">
        <f>IF(OR(COUNTA(A379:E379)=0,OR(ISNUMBER(SEARCH("소계",B379)),ISNUMBER(SEARCH("합계",B379)))),"",1+COUNTIF($B$1:B378,"*소계*"))</f>
        <v/>
      </c>
      <c r="H379">
        <f>IF(AND(A379&lt;&gt;"",A379=가족별!$B$1,G379&lt;&gt;""),COUNTIFS($A$2:A379,가족별!$B$1,$G$2:G379,"&gt;0"),"")</f>
        <v/>
      </c>
      <c r="I379">
        <f>IF(ISNUMBER(SEARCH("소계",B379)),COUNTIF($B$2:B379,"*소계*"),"")</f>
        <v/>
      </c>
      <c r="J379">
        <f>IF(F379="",0,1)</f>
        <v/>
      </c>
    </row>
    <row r="380">
      <c r="A380" s="41" t="n"/>
      <c r="B380" s="41" t="n"/>
      <c r="C380" s="24" t="n"/>
      <c r="D380" s="41" t="n"/>
      <c r="E380" s="41" t="n"/>
      <c r="F380" s="19">
        <f>IF(COUNTA(A380:E380)=0,"",IF(OR(ISNUMBER(SEARCH("소계",B380)),ISNUMBER(SEARCH("합계",B380))),"",TRIM(IF(B380="","이름 없음 ","")&amp;IF(A380="","받은 가족 없음 ","")&amp;IF(C380="","금액 없음 ",IF(ISNUMBER(C380),IF(C380&lt;1000,"금액 확인 ",""),"금액 확인 "))&amp;IF(AND(B380&lt;&gt;"",COUNTIFS($A$2:$A$1001,A380,$B$2:$B$1001,B380,$C$2:$C$1001,C380)&gt;1),"중복 의심",""))))</f>
        <v/>
      </c>
      <c r="G380" s="25">
        <f>IF(OR(COUNTA(A380:E380)=0,OR(ISNUMBER(SEARCH("소계",B380)),ISNUMBER(SEARCH("합계",B380)))),"",1+COUNTIF($B$1:B379,"*소계*"))</f>
        <v/>
      </c>
      <c r="H380">
        <f>IF(AND(A380&lt;&gt;"",A380=가족별!$B$1,G380&lt;&gt;""),COUNTIFS($A$2:A380,가족별!$B$1,$G$2:G380,"&gt;0"),"")</f>
        <v/>
      </c>
      <c r="I380">
        <f>IF(ISNUMBER(SEARCH("소계",B380)),COUNTIF($B$2:B380,"*소계*"),"")</f>
        <v/>
      </c>
      <c r="J380">
        <f>IF(F380="",0,1)</f>
        <v/>
      </c>
    </row>
    <row r="381">
      <c r="A381" s="41" t="n"/>
      <c r="B381" s="41" t="n"/>
      <c r="C381" s="24" t="n"/>
      <c r="D381" s="41" t="n"/>
      <c r="E381" s="41" t="n"/>
      <c r="F381" s="19">
        <f>IF(COUNTA(A381:E381)=0,"",IF(OR(ISNUMBER(SEARCH("소계",B381)),ISNUMBER(SEARCH("합계",B381))),"",TRIM(IF(B381="","이름 없음 ","")&amp;IF(A381="","받은 가족 없음 ","")&amp;IF(C381="","금액 없음 ",IF(ISNUMBER(C381),IF(C381&lt;1000,"금액 확인 ",""),"금액 확인 "))&amp;IF(AND(B381&lt;&gt;"",COUNTIFS($A$2:$A$1001,A381,$B$2:$B$1001,B381,$C$2:$C$1001,C381)&gt;1),"중복 의심",""))))</f>
        <v/>
      </c>
      <c r="G381" s="25">
        <f>IF(OR(COUNTA(A381:E381)=0,OR(ISNUMBER(SEARCH("소계",B381)),ISNUMBER(SEARCH("합계",B381)))),"",1+COUNTIF($B$1:B380,"*소계*"))</f>
        <v/>
      </c>
      <c r="H381">
        <f>IF(AND(A381&lt;&gt;"",A381=가족별!$B$1,G381&lt;&gt;""),COUNTIFS($A$2:A381,가족별!$B$1,$G$2:G381,"&gt;0"),"")</f>
        <v/>
      </c>
      <c r="I381">
        <f>IF(ISNUMBER(SEARCH("소계",B381)),COUNTIF($B$2:B381,"*소계*"),"")</f>
        <v/>
      </c>
      <c r="J381">
        <f>IF(F381="",0,1)</f>
        <v/>
      </c>
    </row>
    <row r="382">
      <c r="A382" s="41" t="n"/>
      <c r="B382" s="41" t="n"/>
      <c r="C382" s="24" t="n"/>
      <c r="D382" s="41" t="n"/>
      <c r="E382" s="41" t="n"/>
      <c r="F382" s="19">
        <f>IF(COUNTA(A382:E382)=0,"",IF(OR(ISNUMBER(SEARCH("소계",B382)),ISNUMBER(SEARCH("합계",B382))),"",TRIM(IF(B382="","이름 없음 ","")&amp;IF(A382="","받은 가족 없음 ","")&amp;IF(C382="","금액 없음 ",IF(ISNUMBER(C382),IF(C382&lt;1000,"금액 확인 ",""),"금액 확인 "))&amp;IF(AND(B382&lt;&gt;"",COUNTIFS($A$2:$A$1001,A382,$B$2:$B$1001,B382,$C$2:$C$1001,C382)&gt;1),"중복 의심",""))))</f>
        <v/>
      </c>
      <c r="G382" s="25">
        <f>IF(OR(COUNTA(A382:E382)=0,OR(ISNUMBER(SEARCH("소계",B382)),ISNUMBER(SEARCH("합계",B382)))),"",1+COUNTIF($B$1:B381,"*소계*"))</f>
        <v/>
      </c>
      <c r="H382">
        <f>IF(AND(A382&lt;&gt;"",A382=가족별!$B$1,G382&lt;&gt;""),COUNTIFS($A$2:A382,가족별!$B$1,$G$2:G382,"&gt;0"),"")</f>
        <v/>
      </c>
      <c r="I382">
        <f>IF(ISNUMBER(SEARCH("소계",B382)),COUNTIF($B$2:B382,"*소계*"),"")</f>
        <v/>
      </c>
      <c r="J382">
        <f>IF(F382="",0,1)</f>
        <v/>
      </c>
    </row>
    <row r="383">
      <c r="A383" s="41" t="n"/>
      <c r="B383" s="41" t="n"/>
      <c r="C383" s="24" t="n"/>
      <c r="D383" s="41" t="n"/>
      <c r="E383" s="41" t="n"/>
      <c r="F383" s="19">
        <f>IF(COUNTA(A383:E383)=0,"",IF(OR(ISNUMBER(SEARCH("소계",B383)),ISNUMBER(SEARCH("합계",B383))),"",TRIM(IF(B383="","이름 없음 ","")&amp;IF(A383="","받은 가족 없음 ","")&amp;IF(C383="","금액 없음 ",IF(ISNUMBER(C383),IF(C383&lt;1000,"금액 확인 ",""),"금액 확인 "))&amp;IF(AND(B383&lt;&gt;"",COUNTIFS($A$2:$A$1001,A383,$B$2:$B$1001,B383,$C$2:$C$1001,C383)&gt;1),"중복 의심",""))))</f>
        <v/>
      </c>
      <c r="G383" s="25">
        <f>IF(OR(COUNTA(A383:E383)=0,OR(ISNUMBER(SEARCH("소계",B383)),ISNUMBER(SEARCH("합계",B383)))),"",1+COUNTIF($B$1:B382,"*소계*"))</f>
        <v/>
      </c>
      <c r="H383">
        <f>IF(AND(A383&lt;&gt;"",A383=가족별!$B$1,G383&lt;&gt;""),COUNTIFS($A$2:A383,가족별!$B$1,$G$2:G383,"&gt;0"),"")</f>
        <v/>
      </c>
      <c r="I383">
        <f>IF(ISNUMBER(SEARCH("소계",B383)),COUNTIF($B$2:B383,"*소계*"),"")</f>
        <v/>
      </c>
      <c r="J383">
        <f>IF(F383="",0,1)</f>
        <v/>
      </c>
    </row>
    <row r="384">
      <c r="A384" s="41" t="n"/>
      <c r="B384" s="41" t="n"/>
      <c r="C384" s="24" t="n"/>
      <c r="D384" s="41" t="n"/>
      <c r="E384" s="41" t="n"/>
      <c r="F384" s="19">
        <f>IF(COUNTA(A384:E384)=0,"",IF(OR(ISNUMBER(SEARCH("소계",B384)),ISNUMBER(SEARCH("합계",B384))),"",TRIM(IF(B384="","이름 없음 ","")&amp;IF(A384="","받은 가족 없음 ","")&amp;IF(C384="","금액 없음 ",IF(ISNUMBER(C384),IF(C384&lt;1000,"금액 확인 ",""),"금액 확인 "))&amp;IF(AND(B384&lt;&gt;"",COUNTIFS($A$2:$A$1001,A384,$B$2:$B$1001,B384,$C$2:$C$1001,C384)&gt;1),"중복 의심",""))))</f>
        <v/>
      </c>
      <c r="G384" s="25">
        <f>IF(OR(COUNTA(A384:E384)=0,OR(ISNUMBER(SEARCH("소계",B384)),ISNUMBER(SEARCH("합계",B384)))),"",1+COUNTIF($B$1:B383,"*소계*"))</f>
        <v/>
      </c>
      <c r="H384">
        <f>IF(AND(A384&lt;&gt;"",A384=가족별!$B$1,G384&lt;&gt;""),COUNTIFS($A$2:A384,가족별!$B$1,$G$2:G384,"&gt;0"),"")</f>
        <v/>
      </c>
      <c r="I384">
        <f>IF(ISNUMBER(SEARCH("소계",B384)),COUNTIF($B$2:B384,"*소계*"),"")</f>
        <v/>
      </c>
      <c r="J384">
        <f>IF(F384="",0,1)</f>
        <v/>
      </c>
    </row>
    <row r="385">
      <c r="A385" s="41" t="n"/>
      <c r="B385" s="41" t="n"/>
      <c r="C385" s="24" t="n"/>
      <c r="D385" s="41" t="n"/>
      <c r="E385" s="41" t="n"/>
      <c r="F385" s="19">
        <f>IF(COUNTA(A385:E385)=0,"",IF(OR(ISNUMBER(SEARCH("소계",B385)),ISNUMBER(SEARCH("합계",B385))),"",TRIM(IF(B385="","이름 없음 ","")&amp;IF(A385="","받은 가족 없음 ","")&amp;IF(C385="","금액 없음 ",IF(ISNUMBER(C385),IF(C385&lt;1000,"금액 확인 ",""),"금액 확인 "))&amp;IF(AND(B385&lt;&gt;"",COUNTIFS($A$2:$A$1001,A385,$B$2:$B$1001,B385,$C$2:$C$1001,C385)&gt;1),"중복 의심",""))))</f>
        <v/>
      </c>
      <c r="G385" s="25">
        <f>IF(OR(COUNTA(A385:E385)=0,OR(ISNUMBER(SEARCH("소계",B385)),ISNUMBER(SEARCH("합계",B385)))),"",1+COUNTIF($B$1:B384,"*소계*"))</f>
        <v/>
      </c>
      <c r="H385">
        <f>IF(AND(A385&lt;&gt;"",A385=가족별!$B$1,G385&lt;&gt;""),COUNTIFS($A$2:A385,가족별!$B$1,$G$2:G385,"&gt;0"),"")</f>
        <v/>
      </c>
      <c r="I385">
        <f>IF(ISNUMBER(SEARCH("소계",B385)),COUNTIF($B$2:B385,"*소계*"),"")</f>
        <v/>
      </c>
      <c r="J385">
        <f>IF(F385="",0,1)</f>
        <v/>
      </c>
    </row>
    <row r="386">
      <c r="A386" s="41" t="n"/>
      <c r="B386" s="41" t="n"/>
      <c r="C386" s="24" t="n"/>
      <c r="D386" s="41" t="n"/>
      <c r="E386" s="41" t="n"/>
      <c r="F386" s="19">
        <f>IF(COUNTA(A386:E386)=0,"",IF(OR(ISNUMBER(SEARCH("소계",B386)),ISNUMBER(SEARCH("합계",B386))),"",TRIM(IF(B386="","이름 없음 ","")&amp;IF(A386="","받은 가족 없음 ","")&amp;IF(C386="","금액 없음 ",IF(ISNUMBER(C386),IF(C386&lt;1000,"금액 확인 ",""),"금액 확인 "))&amp;IF(AND(B386&lt;&gt;"",COUNTIFS($A$2:$A$1001,A386,$B$2:$B$1001,B386,$C$2:$C$1001,C386)&gt;1),"중복 의심",""))))</f>
        <v/>
      </c>
      <c r="G386" s="25">
        <f>IF(OR(COUNTA(A386:E386)=0,OR(ISNUMBER(SEARCH("소계",B386)),ISNUMBER(SEARCH("합계",B386)))),"",1+COUNTIF($B$1:B385,"*소계*"))</f>
        <v/>
      </c>
      <c r="H386">
        <f>IF(AND(A386&lt;&gt;"",A386=가족별!$B$1,G386&lt;&gt;""),COUNTIFS($A$2:A386,가족별!$B$1,$G$2:G386,"&gt;0"),"")</f>
        <v/>
      </c>
      <c r="I386">
        <f>IF(ISNUMBER(SEARCH("소계",B386)),COUNTIF($B$2:B386,"*소계*"),"")</f>
        <v/>
      </c>
      <c r="J386">
        <f>IF(F386="",0,1)</f>
        <v/>
      </c>
    </row>
    <row r="387">
      <c r="A387" s="41" t="n"/>
      <c r="B387" s="41" t="n"/>
      <c r="C387" s="24" t="n"/>
      <c r="D387" s="41" t="n"/>
      <c r="E387" s="41" t="n"/>
      <c r="F387" s="19">
        <f>IF(COUNTA(A387:E387)=0,"",IF(OR(ISNUMBER(SEARCH("소계",B387)),ISNUMBER(SEARCH("합계",B387))),"",TRIM(IF(B387="","이름 없음 ","")&amp;IF(A387="","받은 가족 없음 ","")&amp;IF(C387="","금액 없음 ",IF(ISNUMBER(C387),IF(C387&lt;1000,"금액 확인 ",""),"금액 확인 "))&amp;IF(AND(B387&lt;&gt;"",COUNTIFS($A$2:$A$1001,A387,$B$2:$B$1001,B387,$C$2:$C$1001,C387)&gt;1),"중복 의심",""))))</f>
        <v/>
      </c>
      <c r="G387" s="25">
        <f>IF(OR(COUNTA(A387:E387)=0,OR(ISNUMBER(SEARCH("소계",B387)),ISNUMBER(SEARCH("합계",B387)))),"",1+COUNTIF($B$1:B386,"*소계*"))</f>
        <v/>
      </c>
      <c r="H387">
        <f>IF(AND(A387&lt;&gt;"",A387=가족별!$B$1,G387&lt;&gt;""),COUNTIFS($A$2:A387,가족별!$B$1,$G$2:G387,"&gt;0"),"")</f>
        <v/>
      </c>
      <c r="I387">
        <f>IF(ISNUMBER(SEARCH("소계",B387)),COUNTIF($B$2:B387,"*소계*"),"")</f>
        <v/>
      </c>
      <c r="J387">
        <f>IF(F387="",0,1)</f>
        <v/>
      </c>
    </row>
    <row r="388">
      <c r="A388" s="41" t="n"/>
      <c r="B388" s="41" t="n"/>
      <c r="C388" s="24" t="n"/>
      <c r="D388" s="41" t="n"/>
      <c r="E388" s="41" t="n"/>
      <c r="F388" s="19">
        <f>IF(COUNTA(A388:E388)=0,"",IF(OR(ISNUMBER(SEARCH("소계",B388)),ISNUMBER(SEARCH("합계",B388))),"",TRIM(IF(B388="","이름 없음 ","")&amp;IF(A388="","받은 가족 없음 ","")&amp;IF(C388="","금액 없음 ",IF(ISNUMBER(C388),IF(C388&lt;1000,"금액 확인 ",""),"금액 확인 "))&amp;IF(AND(B388&lt;&gt;"",COUNTIFS($A$2:$A$1001,A388,$B$2:$B$1001,B388,$C$2:$C$1001,C388)&gt;1),"중복 의심",""))))</f>
        <v/>
      </c>
      <c r="G388" s="25">
        <f>IF(OR(COUNTA(A388:E388)=0,OR(ISNUMBER(SEARCH("소계",B388)),ISNUMBER(SEARCH("합계",B388)))),"",1+COUNTIF($B$1:B387,"*소계*"))</f>
        <v/>
      </c>
      <c r="H388">
        <f>IF(AND(A388&lt;&gt;"",A388=가족별!$B$1,G388&lt;&gt;""),COUNTIFS($A$2:A388,가족별!$B$1,$G$2:G388,"&gt;0"),"")</f>
        <v/>
      </c>
      <c r="I388">
        <f>IF(ISNUMBER(SEARCH("소계",B388)),COUNTIF($B$2:B388,"*소계*"),"")</f>
        <v/>
      </c>
      <c r="J388">
        <f>IF(F388="",0,1)</f>
        <v/>
      </c>
    </row>
    <row r="389">
      <c r="A389" s="41" t="n"/>
      <c r="B389" s="41" t="n"/>
      <c r="C389" s="24" t="n"/>
      <c r="D389" s="41" t="n"/>
      <c r="E389" s="41" t="n"/>
      <c r="F389" s="19">
        <f>IF(COUNTA(A389:E389)=0,"",IF(OR(ISNUMBER(SEARCH("소계",B389)),ISNUMBER(SEARCH("합계",B389))),"",TRIM(IF(B389="","이름 없음 ","")&amp;IF(A389="","받은 가족 없음 ","")&amp;IF(C389="","금액 없음 ",IF(ISNUMBER(C389),IF(C389&lt;1000,"금액 확인 ",""),"금액 확인 "))&amp;IF(AND(B389&lt;&gt;"",COUNTIFS($A$2:$A$1001,A389,$B$2:$B$1001,B389,$C$2:$C$1001,C389)&gt;1),"중복 의심",""))))</f>
        <v/>
      </c>
      <c r="G389" s="25">
        <f>IF(OR(COUNTA(A389:E389)=0,OR(ISNUMBER(SEARCH("소계",B389)),ISNUMBER(SEARCH("합계",B389)))),"",1+COUNTIF($B$1:B388,"*소계*"))</f>
        <v/>
      </c>
      <c r="H389">
        <f>IF(AND(A389&lt;&gt;"",A389=가족별!$B$1,G389&lt;&gt;""),COUNTIFS($A$2:A389,가족별!$B$1,$G$2:G389,"&gt;0"),"")</f>
        <v/>
      </c>
      <c r="I389">
        <f>IF(ISNUMBER(SEARCH("소계",B389)),COUNTIF($B$2:B389,"*소계*"),"")</f>
        <v/>
      </c>
      <c r="J389">
        <f>IF(F389="",0,1)</f>
        <v/>
      </c>
    </row>
    <row r="390">
      <c r="A390" s="41" t="n"/>
      <c r="B390" s="41" t="n"/>
      <c r="C390" s="24" t="n"/>
      <c r="D390" s="41" t="n"/>
      <c r="E390" s="41" t="n"/>
      <c r="F390" s="19">
        <f>IF(COUNTA(A390:E390)=0,"",IF(OR(ISNUMBER(SEARCH("소계",B390)),ISNUMBER(SEARCH("합계",B390))),"",TRIM(IF(B390="","이름 없음 ","")&amp;IF(A390="","받은 가족 없음 ","")&amp;IF(C390="","금액 없음 ",IF(ISNUMBER(C390),IF(C390&lt;1000,"금액 확인 ",""),"금액 확인 "))&amp;IF(AND(B390&lt;&gt;"",COUNTIFS($A$2:$A$1001,A390,$B$2:$B$1001,B390,$C$2:$C$1001,C390)&gt;1),"중복 의심",""))))</f>
        <v/>
      </c>
      <c r="G390" s="25">
        <f>IF(OR(COUNTA(A390:E390)=0,OR(ISNUMBER(SEARCH("소계",B390)),ISNUMBER(SEARCH("합계",B390)))),"",1+COUNTIF($B$1:B389,"*소계*"))</f>
        <v/>
      </c>
      <c r="H390">
        <f>IF(AND(A390&lt;&gt;"",A390=가족별!$B$1,G390&lt;&gt;""),COUNTIFS($A$2:A390,가족별!$B$1,$G$2:G390,"&gt;0"),"")</f>
        <v/>
      </c>
      <c r="I390">
        <f>IF(ISNUMBER(SEARCH("소계",B390)),COUNTIF($B$2:B390,"*소계*"),"")</f>
        <v/>
      </c>
      <c r="J390">
        <f>IF(F390="",0,1)</f>
        <v/>
      </c>
    </row>
    <row r="391">
      <c r="A391" s="41" t="n"/>
      <c r="B391" s="41" t="n"/>
      <c r="C391" s="24" t="n"/>
      <c r="D391" s="41" t="n"/>
      <c r="E391" s="41" t="n"/>
      <c r="F391" s="19">
        <f>IF(COUNTA(A391:E391)=0,"",IF(OR(ISNUMBER(SEARCH("소계",B391)),ISNUMBER(SEARCH("합계",B391))),"",TRIM(IF(B391="","이름 없음 ","")&amp;IF(A391="","받은 가족 없음 ","")&amp;IF(C391="","금액 없음 ",IF(ISNUMBER(C391),IF(C391&lt;1000,"금액 확인 ",""),"금액 확인 "))&amp;IF(AND(B391&lt;&gt;"",COUNTIFS($A$2:$A$1001,A391,$B$2:$B$1001,B391,$C$2:$C$1001,C391)&gt;1),"중복 의심",""))))</f>
        <v/>
      </c>
      <c r="G391" s="25">
        <f>IF(OR(COUNTA(A391:E391)=0,OR(ISNUMBER(SEARCH("소계",B391)),ISNUMBER(SEARCH("합계",B391)))),"",1+COUNTIF($B$1:B390,"*소계*"))</f>
        <v/>
      </c>
      <c r="H391">
        <f>IF(AND(A391&lt;&gt;"",A391=가족별!$B$1,G391&lt;&gt;""),COUNTIFS($A$2:A391,가족별!$B$1,$G$2:G391,"&gt;0"),"")</f>
        <v/>
      </c>
      <c r="I391">
        <f>IF(ISNUMBER(SEARCH("소계",B391)),COUNTIF($B$2:B391,"*소계*"),"")</f>
        <v/>
      </c>
      <c r="J391">
        <f>IF(F391="",0,1)</f>
        <v/>
      </c>
    </row>
    <row r="392">
      <c r="A392" s="41" t="n"/>
      <c r="B392" s="41" t="n"/>
      <c r="C392" s="24" t="n"/>
      <c r="D392" s="41" t="n"/>
      <c r="E392" s="41" t="n"/>
      <c r="F392" s="19">
        <f>IF(COUNTA(A392:E392)=0,"",IF(OR(ISNUMBER(SEARCH("소계",B392)),ISNUMBER(SEARCH("합계",B392))),"",TRIM(IF(B392="","이름 없음 ","")&amp;IF(A392="","받은 가족 없음 ","")&amp;IF(C392="","금액 없음 ",IF(ISNUMBER(C392),IF(C392&lt;1000,"금액 확인 ",""),"금액 확인 "))&amp;IF(AND(B392&lt;&gt;"",COUNTIFS($A$2:$A$1001,A392,$B$2:$B$1001,B392,$C$2:$C$1001,C392)&gt;1),"중복 의심",""))))</f>
        <v/>
      </c>
      <c r="G392" s="25">
        <f>IF(OR(COUNTA(A392:E392)=0,OR(ISNUMBER(SEARCH("소계",B392)),ISNUMBER(SEARCH("합계",B392)))),"",1+COUNTIF($B$1:B391,"*소계*"))</f>
        <v/>
      </c>
      <c r="H392">
        <f>IF(AND(A392&lt;&gt;"",A392=가족별!$B$1,G392&lt;&gt;""),COUNTIFS($A$2:A392,가족별!$B$1,$G$2:G392,"&gt;0"),"")</f>
        <v/>
      </c>
      <c r="I392">
        <f>IF(ISNUMBER(SEARCH("소계",B392)),COUNTIF($B$2:B392,"*소계*"),"")</f>
        <v/>
      </c>
      <c r="J392">
        <f>IF(F392="",0,1)</f>
        <v/>
      </c>
    </row>
    <row r="393">
      <c r="A393" s="41" t="n"/>
      <c r="B393" s="41" t="n"/>
      <c r="C393" s="24" t="n"/>
      <c r="D393" s="41" t="n"/>
      <c r="E393" s="41" t="n"/>
      <c r="F393" s="19">
        <f>IF(COUNTA(A393:E393)=0,"",IF(OR(ISNUMBER(SEARCH("소계",B393)),ISNUMBER(SEARCH("합계",B393))),"",TRIM(IF(B393="","이름 없음 ","")&amp;IF(A393="","받은 가족 없음 ","")&amp;IF(C393="","금액 없음 ",IF(ISNUMBER(C393),IF(C393&lt;1000,"금액 확인 ",""),"금액 확인 "))&amp;IF(AND(B393&lt;&gt;"",COUNTIFS($A$2:$A$1001,A393,$B$2:$B$1001,B393,$C$2:$C$1001,C393)&gt;1),"중복 의심",""))))</f>
        <v/>
      </c>
      <c r="G393" s="25">
        <f>IF(OR(COUNTA(A393:E393)=0,OR(ISNUMBER(SEARCH("소계",B393)),ISNUMBER(SEARCH("합계",B393)))),"",1+COUNTIF($B$1:B392,"*소계*"))</f>
        <v/>
      </c>
      <c r="H393">
        <f>IF(AND(A393&lt;&gt;"",A393=가족별!$B$1,G393&lt;&gt;""),COUNTIFS($A$2:A393,가족별!$B$1,$G$2:G393,"&gt;0"),"")</f>
        <v/>
      </c>
      <c r="I393">
        <f>IF(ISNUMBER(SEARCH("소계",B393)),COUNTIF($B$2:B393,"*소계*"),"")</f>
        <v/>
      </c>
      <c r="J393">
        <f>IF(F393="",0,1)</f>
        <v/>
      </c>
    </row>
    <row r="394">
      <c r="A394" s="41" t="n"/>
      <c r="B394" s="41" t="n"/>
      <c r="C394" s="24" t="n"/>
      <c r="D394" s="41" t="n"/>
      <c r="E394" s="41" t="n"/>
      <c r="F394" s="19">
        <f>IF(COUNTA(A394:E394)=0,"",IF(OR(ISNUMBER(SEARCH("소계",B394)),ISNUMBER(SEARCH("합계",B394))),"",TRIM(IF(B394="","이름 없음 ","")&amp;IF(A394="","받은 가족 없음 ","")&amp;IF(C394="","금액 없음 ",IF(ISNUMBER(C394),IF(C394&lt;1000,"금액 확인 ",""),"금액 확인 "))&amp;IF(AND(B394&lt;&gt;"",COUNTIFS($A$2:$A$1001,A394,$B$2:$B$1001,B394,$C$2:$C$1001,C394)&gt;1),"중복 의심",""))))</f>
        <v/>
      </c>
      <c r="G394" s="25">
        <f>IF(OR(COUNTA(A394:E394)=0,OR(ISNUMBER(SEARCH("소계",B394)),ISNUMBER(SEARCH("합계",B394)))),"",1+COUNTIF($B$1:B393,"*소계*"))</f>
        <v/>
      </c>
      <c r="H394">
        <f>IF(AND(A394&lt;&gt;"",A394=가족별!$B$1,G394&lt;&gt;""),COUNTIFS($A$2:A394,가족별!$B$1,$G$2:G394,"&gt;0"),"")</f>
        <v/>
      </c>
      <c r="I394">
        <f>IF(ISNUMBER(SEARCH("소계",B394)),COUNTIF($B$2:B394,"*소계*"),"")</f>
        <v/>
      </c>
      <c r="J394">
        <f>IF(F394="",0,1)</f>
        <v/>
      </c>
    </row>
    <row r="395">
      <c r="A395" s="41" t="n"/>
      <c r="B395" s="41" t="n"/>
      <c r="C395" s="24" t="n"/>
      <c r="D395" s="41" t="n"/>
      <c r="E395" s="41" t="n"/>
      <c r="F395" s="19">
        <f>IF(COUNTA(A395:E395)=0,"",IF(OR(ISNUMBER(SEARCH("소계",B395)),ISNUMBER(SEARCH("합계",B395))),"",TRIM(IF(B395="","이름 없음 ","")&amp;IF(A395="","받은 가족 없음 ","")&amp;IF(C395="","금액 없음 ",IF(ISNUMBER(C395),IF(C395&lt;1000,"금액 확인 ",""),"금액 확인 "))&amp;IF(AND(B395&lt;&gt;"",COUNTIFS($A$2:$A$1001,A395,$B$2:$B$1001,B395,$C$2:$C$1001,C395)&gt;1),"중복 의심",""))))</f>
        <v/>
      </c>
      <c r="G395" s="25">
        <f>IF(OR(COUNTA(A395:E395)=0,OR(ISNUMBER(SEARCH("소계",B395)),ISNUMBER(SEARCH("합계",B395)))),"",1+COUNTIF($B$1:B394,"*소계*"))</f>
        <v/>
      </c>
      <c r="H395">
        <f>IF(AND(A395&lt;&gt;"",A395=가족별!$B$1,G395&lt;&gt;""),COUNTIFS($A$2:A395,가족별!$B$1,$G$2:G395,"&gt;0"),"")</f>
        <v/>
      </c>
      <c r="I395">
        <f>IF(ISNUMBER(SEARCH("소계",B395)),COUNTIF($B$2:B395,"*소계*"),"")</f>
        <v/>
      </c>
      <c r="J395">
        <f>IF(F395="",0,1)</f>
        <v/>
      </c>
    </row>
    <row r="396">
      <c r="A396" s="41" t="n"/>
      <c r="B396" s="41" t="n"/>
      <c r="C396" s="24" t="n"/>
      <c r="D396" s="41" t="n"/>
      <c r="E396" s="41" t="n"/>
      <c r="F396" s="19">
        <f>IF(COUNTA(A396:E396)=0,"",IF(OR(ISNUMBER(SEARCH("소계",B396)),ISNUMBER(SEARCH("합계",B396))),"",TRIM(IF(B396="","이름 없음 ","")&amp;IF(A396="","받은 가족 없음 ","")&amp;IF(C396="","금액 없음 ",IF(ISNUMBER(C396),IF(C396&lt;1000,"금액 확인 ",""),"금액 확인 "))&amp;IF(AND(B396&lt;&gt;"",COUNTIFS($A$2:$A$1001,A396,$B$2:$B$1001,B396,$C$2:$C$1001,C396)&gt;1),"중복 의심",""))))</f>
        <v/>
      </c>
      <c r="G396" s="25">
        <f>IF(OR(COUNTA(A396:E396)=0,OR(ISNUMBER(SEARCH("소계",B396)),ISNUMBER(SEARCH("합계",B396)))),"",1+COUNTIF($B$1:B395,"*소계*"))</f>
        <v/>
      </c>
      <c r="H396">
        <f>IF(AND(A396&lt;&gt;"",A396=가족별!$B$1,G396&lt;&gt;""),COUNTIFS($A$2:A396,가족별!$B$1,$G$2:G396,"&gt;0"),"")</f>
        <v/>
      </c>
      <c r="I396">
        <f>IF(ISNUMBER(SEARCH("소계",B396)),COUNTIF($B$2:B396,"*소계*"),"")</f>
        <v/>
      </c>
      <c r="J396">
        <f>IF(F396="",0,1)</f>
        <v/>
      </c>
    </row>
    <row r="397">
      <c r="A397" s="41" t="n"/>
      <c r="B397" s="41" t="n"/>
      <c r="C397" s="24" t="n"/>
      <c r="D397" s="41" t="n"/>
      <c r="E397" s="41" t="n"/>
      <c r="F397" s="19">
        <f>IF(COUNTA(A397:E397)=0,"",IF(OR(ISNUMBER(SEARCH("소계",B397)),ISNUMBER(SEARCH("합계",B397))),"",TRIM(IF(B397="","이름 없음 ","")&amp;IF(A397="","받은 가족 없음 ","")&amp;IF(C397="","금액 없음 ",IF(ISNUMBER(C397),IF(C397&lt;1000,"금액 확인 ",""),"금액 확인 "))&amp;IF(AND(B397&lt;&gt;"",COUNTIFS($A$2:$A$1001,A397,$B$2:$B$1001,B397,$C$2:$C$1001,C397)&gt;1),"중복 의심",""))))</f>
        <v/>
      </c>
      <c r="G397" s="25">
        <f>IF(OR(COUNTA(A397:E397)=0,OR(ISNUMBER(SEARCH("소계",B397)),ISNUMBER(SEARCH("합계",B397)))),"",1+COUNTIF($B$1:B396,"*소계*"))</f>
        <v/>
      </c>
      <c r="H397">
        <f>IF(AND(A397&lt;&gt;"",A397=가족별!$B$1,G397&lt;&gt;""),COUNTIFS($A$2:A397,가족별!$B$1,$G$2:G397,"&gt;0"),"")</f>
        <v/>
      </c>
      <c r="I397">
        <f>IF(ISNUMBER(SEARCH("소계",B397)),COUNTIF($B$2:B397,"*소계*"),"")</f>
        <v/>
      </c>
      <c r="J397">
        <f>IF(F397="",0,1)</f>
        <v/>
      </c>
    </row>
    <row r="398">
      <c r="A398" s="41" t="n"/>
      <c r="B398" s="41" t="n"/>
      <c r="C398" s="24" t="n"/>
      <c r="D398" s="41" t="n"/>
      <c r="E398" s="41" t="n"/>
      <c r="F398" s="19">
        <f>IF(COUNTA(A398:E398)=0,"",IF(OR(ISNUMBER(SEARCH("소계",B398)),ISNUMBER(SEARCH("합계",B398))),"",TRIM(IF(B398="","이름 없음 ","")&amp;IF(A398="","받은 가족 없음 ","")&amp;IF(C398="","금액 없음 ",IF(ISNUMBER(C398),IF(C398&lt;1000,"금액 확인 ",""),"금액 확인 "))&amp;IF(AND(B398&lt;&gt;"",COUNTIFS($A$2:$A$1001,A398,$B$2:$B$1001,B398,$C$2:$C$1001,C398)&gt;1),"중복 의심",""))))</f>
        <v/>
      </c>
      <c r="G398" s="25">
        <f>IF(OR(COUNTA(A398:E398)=0,OR(ISNUMBER(SEARCH("소계",B398)),ISNUMBER(SEARCH("합계",B398)))),"",1+COUNTIF($B$1:B397,"*소계*"))</f>
        <v/>
      </c>
      <c r="H398">
        <f>IF(AND(A398&lt;&gt;"",A398=가족별!$B$1,G398&lt;&gt;""),COUNTIFS($A$2:A398,가족별!$B$1,$G$2:G398,"&gt;0"),"")</f>
        <v/>
      </c>
      <c r="I398">
        <f>IF(ISNUMBER(SEARCH("소계",B398)),COUNTIF($B$2:B398,"*소계*"),"")</f>
        <v/>
      </c>
      <c r="J398">
        <f>IF(F398="",0,1)</f>
        <v/>
      </c>
    </row>
    <row r="399">
      <c r="A399" s="41" t="n"/>
      <c r="B399" s="41" t="n"/>
      <c r="C399" s="24" t="n"/>
      <c r="D399" s="41" t="n"/>
      <c r="E399" s="41" t="n"/>
      <c r="F399" s="19">
        <f>IF(COUNTA(A399:E399)=0,"",IF(OR(ISNUMBER(SEARCH("소계",B399)),ISNUMBER(SEARCH("합계",B399))),"",TRIM(IF(B399="","이름 없음 ","")&amp;IF(A399="","받은 가족 없음 ","")&amp;IF(C399="","금액 없음 ",IF(ISNUMBER(C399),IF(C399&lt;1000,"금액 확인 ",""),"금액 확인 "))&amp;IF(AND(B399&lt;&gt;"",COUNTIFS($A$2:$A$1001,A399,$B$2:$B$1001,B399,$C$2:$C$1001,C399)&gt;1),"중복 의심",""))))</f>
        <v/>
      </c>
      <c r="G399" s="25">
        <f>IF(OR(COUNTA(A399:E399)=0,OR(ISNUMBER(SEARCH("소계",B399)),ISNUMBER(SEARCH("합계",B399)))),"",1+COUNTIF($B$1:B398,"*소계*"))</f>
        <v/>
      </c>
      <c r="H399">
        <f>IF(AND(A399&lt;&gt;"",A399=가족별!$B$1,G399&lt;&gt;""),COUNTIFS($A$2:A399,가족별!$B$1,$G$2:G399,"&gt;0"),"")</f>
        <v/>
      </c>
      <c r="I399">
        <f>IF(ISNUMBER(SEARCH("소계",B399)),COUNTIF($B$2:B399,"*소계*"),"")</f>
        <v/>
      </c>
      <c r="J399">
        <f>IF(F399="",0,1)</f>
        <v/>
      </c>
    </row>
    <row r="400">
      <c r="A400" s="41" t="n"/>
      <c r="B400" s="41" t="n"/>
      <c r="C400" s="24" t="n"/>
      <c r="D400" s="41" t="n"/>
      <c r="E400" s="41" t="n"/>
      <c r="F400" s="19">
        <f>IF(COUNTA(A400:E400)=0,"",IF(OR(ISNUMBER(SEARCH("소계",B400)),ISNUMBER(SEARCH("합계",B400))),"",TRIM(IF(B400="","이름 없음 ","")&amp;IF(A400="","받은 가족 없음 ","")&amp;IF(C400="","금액 없음 ",IF(ISNUMBER(C400),IF(C400&lt;1000,"금액 확인 ",""),"금액 확인 "))&amp;IF(AND(B400&lt;&gt;"",COUNTIFS($A$2:$A$1001,A400,$B$2:$B$1001,B400,$C$2:$C$1001,C400)&gt;1),"중복 의심",""))))</f>
        <v/>
      </c>
      <c r="G400" s="25">
        <f>IF(OR(COUNTA(A400:E400)=0,OR(ISNUMBER(SEARCH("소계",B400)),ISNUMBER(SEARCH("합계",B400)))),"",1+COUNTIF($B$1:B399,"*소계*"))</f>
        <v/>
      </c>
      <c r="H400">
        <f>IF(AND(A400&lt;&gt;"",A400=가족별!$B$1,G400&lt;&gt;""),COUNTIFS($A$2:A400,가족별!$B$1,$G$2:G400,"&gt;0"),"")</f>
        <v/>
      </c>
      <c r="I400">
        <f>IF(ISNUMBER(SEARCH("소계",B400)),COUNTIF($B$2:B400,"*소계*"),"")</f>
        <v/>
      </c>
      <c r="J400">
        <f>IF(F400="",0,1)</f>
        <v/>
      </c>
    </row>
    <row r="401">
      <c r="A401" s="41" t="n"/>
      <c r="B401" s="41" t="n"/>
      <c r="C401" s="24" t="n"/>
      <c r="D401" s="41" t="n"/>
      <c r="E401" s="41" t="n"/>
      <c r="F401" s="19">
        <f>IF(COUNTA(A401:E401)=0,"",IF(OR(ISNUMBER(SEARCH("소계",B401)),ISNUMBER(SEARCH("합계",B401))),"",TRIM(IF(B401="","이름 없음 ","")&amp;IF(A401="","받은 가족 없음 ","")&amp;IF(C401="","금액 없음 ",IF(ISNUMBER(C401),IF(C401&lt;1000,"금액 확인 ",""),"금액 확인 "))&amp;IF(AND(B401&lt;&gt;"",COUNTIFS($A$2:$A$1001,A401,$B$2:$B$1001,B401,$C$2:$C$1001,C401)&gt;1),"중복 의심",""))))</f>
        <v/>
      </c>
      <c r="G401" s="25">
        <f>IF(OR(COUNTA(A401:E401)=0,OR(ISNUMBER(SEARCH("소계",B401)),ISNUMBER(SEARCH("합계",B401)))),"",1+COUNTIF($B$1:B400,"*소계*"))</f>
        <v/>
      </c>
      <c r="H401">
        <f>IF(AND(A401&lt;&gt;"",A401=가족별!$B$1,G401&lt;&gt;""),COUNTIFS($A$2:A401,가족별!$B$1,$G$2:G401,"&gt;0"),"")</f>
        <v/>
      </c>
      <c r="I401">
        <f>IF(ISNUMBER(SEARCH("소계",B401)),COUNTIF($B$2:B401,"*소계*"),"")</f>
        <v/>
      </c>
      <c r="J401">
        <f>IF(F401="",0,1)</f>
        <v/>
      </c>
    </row>
    <row r="402">
      <c r="A402" s="41" t="n"/>
      <c r="B402" s="41" t="n"/>
      <c r="C402" s="24" t="n"/>
      <c r="D402" s="41" t="n"/>
      <c r="E402" s="41" t="n"/>
      <c r="F402" s="19">
        <f>IF(COUNTA(A402:E402)=0,"",IF(OR(ISNUMBER(SEARCH("소계",B402)),ISNUMBER(SEARCH("합계",B402))),"",TRIM(IF(B402="","이름 없음 ","")&amp;IF(A402="","받은 가족 없음 ","")&amp;IF(C402="","금액 없음 ",IF(ISNUMBER(C402),IF(C402&lt;1000,"금액 확인 ",""),"금액 확인 "))&amp;IF(AND(B402&lt;&gt;"",COUNTIFS($A$2:$A$1001,A402,$B$2:$B$1001,B402,$C$2:$C$1001,C402)&gt;1),"중복 의심",""))))</f>
        <v/>
      </c>
      <c r="G402" s="25">
        <f>IF(OR(COUNTA(A402:E402)=0,OR(ISNUMBER(SEARCH("소계",B402)),ISNUMBER(SEARCH("합계",B402)))),"",1+COUNTIF($B$1:B401,"*소계*"))</f>
        <v/>
      </c>
      <c r="H402">
        <f>IF(AND(A402&lt;&gt;"",A402=가족별!$B$1,G402&lt;&gt;""),COUNTIFS($A$2:A402,가족별!$B$1,$G$2:G402,"&gt;0"),"")</f>
        <v/>
      </c>
      <c r="I402">
        <f>IF(ISNUMBER(SEARCH("소계",B402)),COUNTIF($B$2:B402,"*소계*"),"")</f>
        <v/>
      </c>
      <c r="J402">
        <f>IF(F402="",0,1)</f>
        <v/>
      </c>
    </row>
    <row r="403">
      <c r="A403" s="41" t="n"/>
      <c r="B403" s="41" t="n"/>
      <c r="C403" s="24" t="n"/>
      <c r="D403" s="41" t="n"/>
      <c r="E403" s="41" t="n"/>
      <c r="F403" s="19">
        <f>IF(COUNTA(A403:E403)=0,"",IF(OR(ISNUMBER(SEARCH("소계",B403)),ISNUMBER(SEARCH("합계",B403))),"",TRIM(IF(B403="","이름 없음 ","")&amp;IF(A403="","받은 가족 없음 ","")&amp;IF(C403="","금액 없음 ",IF(ISNUMBER(C403),IF(C403&lt;1000,"금액 확인 ",""),"금액 확인 "))&amp;IF(AND(B403&lt;&gt;"",COUNTIFS($A$2:$A$1001,A403,$B$2:$B$1001,B403,$C$2:$C$1001,C403)&gt;1),"중복 의심",""))))</f>
        <v/>
      </c>
      <c r="G403" s="25">
        <f>IF(OR(COUNTA(A403:E403)=0,OR(ISNUMBER(SEARCH("소계",B403)),ISNUMBER(SEARCH("합계",B403)))),"",1+COUNTIF($B$1:B402,"*소계*"))</f>
        <v/>
      </c>
      <c r="H403">
        <f>IF(AND(A403&lt;&gt;"",A403=가족별!$B$1,G403&lt;&gt;""),COUNTIFS($A$2:A403,가족별!$B$1,$G$2:G403,"&gt;0"),"")</f>
        <v/>
      </c>
      <c r="I403">
        <f>IF(ISNUMBER(SEARCH("소계",B403)),COUNTIF($B$2:B403,"*소계*"),"")</f>
        <v/>
      </c>
      <c r="J403">
        <f>IF(F403="",0,1)</f>
        <v/>
      </c>
    </row>
    <row r="404">
      <c r="A404" s="41" t="n"/>
      <c r="B404" s="41" t="n"/>
      <c r="C404" s="24" t="n"/>
      <c r="D404" s="41" t="n"/>
      <c r="E404" s="41" t="n"/>
      <c r="F404" s="19">
        <f>IF(COUNTA(A404:E404)=0,"",IF(OR(ISNUMBER(SEARCH("소계",B404)),ISNUMBER(SEARCH("합계",B404))),"",TRIM(IF(B404="","이름 없음 ","")&amp;IF(A404="","받은 가족 없음 ","")&amp;IF(C404="","금액 없음 ",IF(ISNUMBER(C404),IF(C404&lt;1000,"금액 확인 ",""),"금액 확인 "))&amp;IF(AND(B404&lt;&gt;"",COUNTIFS($A$2:$A$1001,A404,$B$2:$B$1001,B404,$C$2:$C$1001,C404)&gt;1),"중복 의심",""))))</f>
        <v/>
      </c>
      <c r="G404" s="25">
        <f>IF(OR(COUNTA(A404:E404)=0,OR(ISNUMBER(SEARCH("소계",B404)),ISNUMBER(SEARCH("합계",B404)))),"",1+COUNTIF($B$1:B403,"*소계*"))</f>
        <v/>
      </c>
      <c r="H404">
        <f>IF(AND(A404&lt;&gt;"",A404=가족별!$B$1,G404&lt;&gt;""),COUNTIFS($A$2:A404,가족별!$B$1,$G$2:G404,"&gt;0"),"")</f>
        <v/>
      </c>
      <c r="I404">
        <f>IF(ISNUMBER(SEARCH("소계",B404)),COUNTIF($B$2:B404,"*소계*"),"")</f>
        <v/>
      </c>
      <c r="J404">
        <f>IF(F404="",0,1)</f>
        <v/>
      </c>
    </row>
    <row r="405">
      <c r="A405" s="41" t="n"/>
      <c r="B405" s="41" t="n"/>
      <c r="C405" s="24" t="n"/>
      <c r="D405" s="41" t="n"/>
      <c r="E405" s="41" t="n"/>
      <c r="F405" s="19">
        <f>IF(COUNTA(A405:E405)=0,"",IF(OR(ISNUMBER(SEARCH("소계",B405)),ISNUMBER(SEARCH("합계",B405))),"",TRIM(IF(B405="","이름 없음 ","")&amp;IF(A405="","받은 가족 없음 ","")&amp;IF(C405="","금액 없음 ",IF(ISNUMBER(C405),IF(C405&lt;1000,"금액 확인 ",""),"금액 확인 "))&amp;IF(AND(B405&lt;&gt;"",COUNTIFS($A$2:$A$1001,A405,$B$2:$B$1001,B405,$C$2:$C$1001,C405)&gt;1),"중복 의심",""))))</f>
        <v/>
      </c>
      <c r="G405" s="25">
        <f>IF(OR(COUNTA(A405:E405)=0,OR(ISNUMBER(SEARCH("소계",B405)),ISNUMBER(SEARCH("합계",B405)))),"",1+COUNTIF($B$1:B404,"*소계*"))</f>
        <v/>
      </c>
      <c r="H405">
        <f>IF(AND(A405&lt;&gt;"",A405=가족별!$B$1,G405&lt;&gt;""),COUNTIFS($A$2:A405,가족별!$B$1,$G$2:G405,"&gt;0"),"")</f>
        <v/>
      </c>
      <c r="I405">
        <f>IF(ISNUMBER(SEARCH("소계",B405)),COUNTIF($B$2:B405,"*소계*"),"")</f>
        <v/>
      </c>
      <c r="J405">
        <f>IF(F405="",0,1)</f>
        <v/>
      </c>
    </row>
    <row r="406">
      <c r="A406" s="41" t="n"/>
      <c r="B406" s="41" t="n"/>
      <c r="C406" s="24" t="n"/>
      <c r="D406" s="41" t="n"/>
      <c r="E406" s="41" t="n"/>
      <c r="F406" s="19">
        <f>IF(COUNTA(A406:E406)=0,"",IF(OR(ISNUMBER(SEARCH("소계",B406)),ISNUMBER(SEARCH("합계",B406))),"",TRIM(IF(B406="","이름 없음 ","")&amp;IF(A406="","받은 가족 없음 ","")&amp;IF(C406="","금액 없음 ",IF(ISNUMBER(C406),IF(C406&lt;1000,"금액 확인 ",""),"금액 확인 "))&amp;IF(AND(B406&lt;&gt;"",COUNTIFS($A$2:$A$1001,A406,$B$2:$B$1001,B406,$C$2:$C$1001,C406)&gt;1),"중복 의심",""))))</f>
        <v/>
      </c>
      <c r="G406" s="25">
        <f>IF(OR(COUNTA(A406:E406)=0,OR(ISNUMBER(SEARCH("소계",B406)),ISNUMBER(SEARCH("합계",B406)))),"",1+COUNTIF($B$1:B405,"*소계*"))</f>
        <v/>
      </c>
      <c r="H406">
        <f>IF(AND(A406&lt;&gt;"",A406=가족별!$B$1,G406&lt;&gt;""),COUNTIFS($A$2:A406,가족별!$B$1,$G$2:G406,"&gt;0"),"")</f>
        <v/>
      </c>
      <c r="I406">
        <f>IF(ISNUMBER(SEARCH("소계",B406)),COUNTIF($B$2:B406,"*소계*"),"")</f>
        <v/>
      </c>
      <c r="J406">
        <f>IF(F406="",0,1)</f>
        <v/>
      </c>
    </row>
    <row r="407">
      <c r="A407" s="41" t="n"/>
      <c r="B407" s="41" t="n"/>
      <c r="C407" s="24" t="n"/>
      <c r="D407" s="41" t="n"/>
      <c r="E407" s="41" t="n"/>
      <c r="F407" s="19">
        <f>IF(COUNTA(A407:E407)=0,"",IF(OR(ISNUMBER(SEARCH("소계",B407)),ISNUMBER(SEARCH("합계",B407))),"",TRIM(IF(B407="","이름 없음 ","")&amp;IF(A407="","받은 가족 없음 ","")&amp;IF(C407="","금액 없음 ",IF(ISNUMBER(C407),IF(C407&lt;1000,"금액 확인 ",""),"금액 확인 "))&amp;IF(AND(B407&lt;&gt;"",COUNTIFS($A$2:$A$1001,A407,$B$2:$B$1001,B407,$C$2:$C$1001,C407)&gt;1),"중복 의심",""))))</f>
        <v/>
      </c>
      <c r="G407" s="25">
        <f>IF(OR(COUNTA(A407:E407)=0,OR(ISNUMBER(SEARCH("소계",B407)),ISNUMBER(SEARCH("합계",B407)))),"",1+COUNTIF($B$1:B406,"*소계*"))</f>
        <v/>
      </c>
      <c r="H407">
        <f>IF(AND(A407&lt;&gt;"",A407=가족별!$B$1,G407&lt;&gt;""),COUNTIFS($A$2:A407,가족별!$B$1,$G$2:G407,"&gt;0"),"")</f>
        <v/>
      </c>
      <c r="I407">
        <f>IF(ISNUMBER(SEARCH("소계",B407)),COUNTIF($B$2:B407,"*소계*"),"")</f>
        <v/>
      </c>
      <c r="J407">
        <f>IF(F407="",0,1)</f>
        <v/>
      </c>
    </row>
    <row r="408">
      <c r="A408" s="41" t="n"/>
      <c r="B408" s="41" t="n"/>
      <c r="C408" s="24" t="n"/>
      <c r="D408" s="41" t="n"/>
      <c r="E408" s="41" t="n"/>
      <c r="F408" s="19">
        <f>IF(COUNTA(A408:E408)=0,"",IF(OR(ISNUMBER(SEARCH("소계",B408)),ISNUMBER(SEARCH("합계",B408))),"",TRIM(IF(B408="","이름 없음 ","")&amp;IF(A408="","받은 가족 없음 ","")&amp;IF(C408="","금액 없음 ",IF(ISNUMBER(C408),IF(C408&lt;1000,"금액 확인 ",""),"금액 확인 "))&amp;IF(AND(B408&lt;&gt;"",COUNTIFS($A$2:$A$1001,A408,$B$2:$B$1001,B408,$C$2:$C$1001,C408)&gt;1),"중복 의심",""))))</f>
        <v/>
      </c>
      <c r="G408" s="25">
        <f>IF(OR(COUNTA(A408:E408)=0,OR(ISNUMBER(SEARCH("소계",B408)),ISNUMBER(SEARCH("합계",B408)))),"",1+COUNTIF($B$1:B407,"*소계*"))</f>
        <v/>
      </c>
      <c r="H408">
        <f>IF(AND(A408&lt;&gt;"",A408=가족별!$B$1,G408&lt;&gt;""),COUNTIFS($A$2:A408,가족별!$B$1,$G$2:G408,"&gt;0"),"")</f>
        <v/>
      </c>
      <c r="I408">
        <f>IF(ISNUMBER(SEARCH("소계",B408)),COUNTIF($B$2:B408,"*소계*"),"")</f>
        <v/>
      </c>
      <c r="J408">
        <f>IF(F408="",0,1)</f>
        <v/>
      </c>
    </row>
    <row r="409">
      <c r="A409" s="41" t="n"/>
      <c r="B409" s="41" t="n"/>
      <c r="C409" s="24" t="n"/>
      <c r="D409" s="41" t="n"/>
      <c r="E409" s="41" t="n"/>
      <c r="F409" s="19">
        <f>IF(COUNTA(A409:E409)=0,"",IF(OR(ISNUMBER(SEARCH("소계",B409)),ISNUMBER(SEARCH("합계",B409))),"",TRIM(IF(B409="","이름 없음 ","")&amp;IF(A409="","받은 가족 없음 ","")&amp;IF(C409="","금액 없음 ",IF(ISNUMBER(C409),IF(C409&lt;1000,"금액 확인 ",""),"금액 확인 "))&amp;IF(AND(B409&lt;&gt;"",COUNTIFS($A$2:$A$1001,A409,$B$2:$B$1001,B409,$C$2:$C$1001,C409)&gt;1),"중복 의심",""))))</f>
        <v/>
      </c>
      <c r="G409" s="25">
        <f>IF(OR(COUNTA(A409:E409)=0,OR(ISNUMBER(SEARCH("소계",B409)),ISNUMBER(SEARCH("합계",B409)))),"",1+COUNTIF($B$1:B408,"*소계*"))</f>
        <v/>
      </c>
      <c r="H409">
        <f>IF(AND(A409&lt;&gt;"",A409=가족별!$B$1,G409&lt;&gt;""),COUNTIFS($A$2:A409,가족별!$B$1,$G$2:G409,"&gt;0"),"")</f>
        <v/>
      </c>
      <c r="I409">
        <f>IF(ISNUMBER(SEARCH("소계",B409)),COUNTIF($B$2:B409,"*소계*"),"")</f>
        <v/>
      </c>
      <c r="J409">
        <f>IF(F409="",0,1)</f>
        <v/>
      </c>
    </row>
    <row r="410">
      <c r="A410" s="41" t="n"/>
      <c r="B410" s="41" t="n"/>
      <c r="C410" s="24" t="n"/>
      <c r="D410" s="41" t="n"/>
      <c r="E410" s="41" t="n"/>
      <c r="F410" s="19">
        <f>IF(COUNTA(A410:E410)=0,"",IF(OR(ISNUMBER(SEARCH("소계",B410)),ISNUMBER(SEARCH("합계",B410))),"",TRIM(IF(B410="","이름 없음 ","")&amp;IF(A410="","받은 가족 없음 ","")&amp;IF(C410="","금액 없음 ",IF(ISNUMBER(C410),IF(C410&lt;1000,"금액 확인 ",""),"금액 확인 "))&amp;IF(AND(B410&lt;&gt;"",COUNTIFS($A$2:$A$1001,A410,$B$2:$B$1001,B410,$C$2:$C$1001,C410)&gt;1),"중복 의심",""))))</f>
        <v/>
      </c>
      <c r="G410" s="25">
        <f>IF(OR(COUNTA(A410:E410)=0,OR(ISNUMBER(SEARCH("소계",B410)),ISNUMBER(SEARCH("합계",B410)))),"",1+COUNTIF($B$1:B409,"*소계*"))</f>
        <v/>
      </c>
      <c r="H410">
        <f>IF(AND(A410&lt;&gt;"",A410=가족별!$B$1,G410&lt;&gt;""),COUNTIFS($A$2:A410,가족별!$B$1,$G$2:G410,"&gt;0"),"")</f>
        <v/>
      </c>
      <c r="I410">
        <f>IF(ISNUMBER(SEARCH("소계",B410)),COUNTIF($B$2:B410,"*소계*"),"")</f>
        <v/>
      </c>
      <c r="J410">
        <f>IF(F410="",0,1)</f>
        <v/>
      </c>
    </row>
    <row r="411">
      <c r="A411" s="41" t="n"/>
      <c r="B411" s="41" t="n"/>
      <c r="C411" s="24" t="n"/>
      <c r="D411" s="41" t="n"/>
      <c r="E411" s="41" t="n"/>
      <c r="F411" s="19">
        <f>IF(COUNTA(A411:E411)=0,"",IF(OR(ISNUMBER(SEARCH("소계",B411)),ISNUMBER(SEARCH("합계",B411))),"",TRIM(IF(B411="","이름 없음 ","")&amp;IF(A411="","받은 가족 없음 ","")&amp;IF(C411="","금액 없음 ",IF(ISNUMBER(C411),IF(C411&lt;1000,"금액 확인 ",""),"금액 확인 "))&amp;IF(AND(B411&lt;&gt;"",COUNTIFS($A$2:$A$1001,A411,$B$2:$B$1001,B411,$C$2:$C$1001,C411)&gt;1),"중복 의심",""))))</f>
        <v/>
      </c>
      <c r="G411" s="25">
        <f>IF(OR(COUNTA(A411:E411)=0,OR(ISNUMBER(SEARCH("소계",B411)),ISNUMBER(SEARCH("합계",B411)))),"",1+COUNTIF($B$1:B410,"*소계*"))</f>
        <v/>
      </c>
      <c r="H411">
        <f>IF(AND(A411&lt;&gt;"",A411=가족별!$B$1,G411&lt;&gt;""),COUNTIFS($A$2:A411,가족별!$B$1,$G$2:G411,"&gt;0"),"")</f>
        <v/>
      </c>
      <c r="I411">
        <f>IF(ISNUMBER(SEARCH("소계",B411)),COUNTIF($B$2:B411,"*소계*"),"")</f>
        <v/>
      </c>
      <c r="J411">
        <f>IF(F411="",0,1)</f>
        <v/>
      </c>
    </row>
    <row r="412">
      <c r="A412" s="41" t="n"/>
      <c r="B412" s="41" t="n"/>
      <c r="C412" s="24" t="n"/>
      <c r="D412" s="41" t="n"/>
      <c r="E412" s="41" t="n"/>
      <c r="F412" s="19">
        <f>IF(COUNTA(A412:E412)=0,"",IF(OR(ISNUMBER(SEARCH("소계",B412)),ISNUMBER(SEARCH("합계",B412))),"",TRIM(IF(B412="","이름 없음 ","")&amp;IF(A412="","받은 가족 없음 ","")&amp;IF(C412="","금액 없음 ",IF(ISNUMBER(C412),IF(C412&lt;1000,"금액 확인 ",""),"금액 확인 "))&amp;IF(AND(B412&lt;&gt;"",COUNTIFS($A$2:$A$1001,A412,$B$2:$B$1001,B412,$C$2:$C$1001,C412)&gt;1),"중복 의심",""))))</f>
        <v/>
      </c>
      <c r="G412" s="25">
        <f>IF(OR(COUNTA(A412:E412)=0,OR(ISNUMBER(SEARCH("소계",B412)),ISNUMBER(SEARCH("합계",B412)))),"",1+COUNTIF($B$1:B411,"*소계*"))</f>
        <v/>
      </c>
      <c r="H412">
        <f>IF(AND(A412&lt;&gt;"",A412=가족별!$B$1,G412&lt;&gt;""),COUNTIFS($A$2:A412,가족별!$B$1,$G$2:G412,"&gt;0"),"")</f>
        <v/>
      </c>
      <c r="I412">
        <f>IF(ISNUMBER(SEARCH("소계",B412)),COUNTIF($B$2:B412,"*소계*"),"")</f>
        <v/>
      </c>
      <c r="J412">
        <f>IF(F412="",0,1)</f>
        <v/>
      </c>
    </row>
    <row r="413">
      <c r="A413" s="41" t="n"/>
      <c r="B413" s="41" t="n"/>
      <c r="C413" s="24" t="n"/>
      <c r="D413" s="41" t="n"/>
      <c r="E413" s="41" t="n"/>
      <c r="F413" s="19">
        <f>IF(COUNTA(A413:E413)=0,"",IF(OR(ISNUMBER(SEARCH("소계",B413)),ISNUMBER(SEARCH("합계",B413))),"",TRIM(IF(B413="","이름 없음 ","")&amp;IF(A413="","받은 가족 없음 ","")&amp;IF(C413="","금액 없음 ",IF(ISNUMBER(C413),IF(C413&lt;1000,"금액 확인 ",""),"금액 확인 "))&amp;IF(AND(B413&lt;&gt;"",COUNTIFS($A$2:$A$1001,A413,$B$2:$B$1001,B413,$C$2:$C$1001,C413)&gt;1),"중복 의심",""))))</f>
        <v/>
      </c>
      <c r="G413" s="25">
        <f>IF(OR(COUNTA(A413:E413)=0,OR(ISNUMBER(SEARCH("소계",B413)),ISNUMBER(SEARCH("합계",B413)))),"",1+COUNTIF($B$1:B412,"*소계*"))</f>
        <v/>
      </c>
      <c r="H413">
        <f>IF(AND(A413&lt;&gt;"",A413=가족별!$B$1,G413&lt;&gt;""),COUNTIFS($A$2:A413,가족별!$B$1,$G$2:G413,"&gt;0"),"")</f>
        <v/>
      </c>
      <c r="I413">
        <f>IF(ISNUMBER(SEARCH("소계",B413)),COUNTIF($B$2:B413,"*소계*"),"")</f>
        <v/>
      </c>
      <c r="J413">
        <f>IF(F413="",0,1)</f>
        <v/>
      </c>
    </row>
    <row r="414">
      <c r="A414" s="41" t="n"/>
      <c r="B414" s="41" t="n"/>
      <c r="C414" s="24" t="n"/>
      <c r="D414" s="41" t="n"/>
      <c r="E414" s="41" t="n"/>
      <c r="F414" s="19">
        <f>IF(COUNTA(A414:E414)=0,"",IF(OR(ISNUMBER(SEARCH("소계",B414)),ISNUMBER(SEARCH("합계",B414))),"",TRIM(IF(B414="","이름 없음 ","")&amp;IF(A414="","받은 가족 없음 ","")&amp;IF(C414="","금액 없음 ",IF(ISNUMBER(C414),IF(C414&lt;1000,"금액 확인 ",""),"금액 확인 "))&amp;IF(AND(B414&lt;&gt;"",COUNTIFS($A$2:$A$1001,A414,$B$2:$B$1001,B414,$C$2:$C$1001,C414)&gt;1),"중복 의심",""))))</f>
        <v/>
      </c>
      <c r="G414" s="25">
        <f>IF(OR(COUNTA(A414:E414)=0,OR(ISNUMBER(SEARCH("소계",B414)),ISNUMBER(SEARCH("합계",B414)))),"",1+COUNTIF($B$1:B413,"*소계*"))</f>
        <v/>
      </c>
      <c r="H414">
        <f>IF(AND(A414&lt;&gt;"",A414=가족별!$B$1,G414&lt;&gt;""),COUNTIFS($A$2:A414,가족별!$B$1,$G$2:G414,"&gt;0"),"")</f>
        <v/>
      </c>
      <c r="I414">
        <f>IF(ISNUMBER(SEARCH("소계",B414)),COUNTIF($B$2:B414,"*소계*"),"")</f>
        <v/>
      </c>
      <c r="J414">
        <f>IF(F414="",0,1)</f>
        <v/>
      </c>
    </row>
    <row r="415">
      <c r="A415" s="41" t="n"/>
      <c r="B415" s="41" t="n"/>
      <c r="C415" s="24" t="n"/>
      <c r="D415" s="41" t="n"/>
      <c r="E415" s="41" t="n"/>
      <c r="F415" s="19">
        <f>IF(COUNTA(A415:E415)=0,"",IF(OR(ISNUMBER(SEARCH("소계",B415)),ISNUMBER(SEARCH("합계",B415))),"",TRIM(IF(B415="","이름 없음 ","")&amp;IF(A415="","받은 가족 없음 ","")&amp;IF(C415="","금액 없음 ",IF(ISNUMBER(C415),IF(C415&lt;1000,"금액 확인 ",""),"금액 확인 "))&amp;IF(AND(B415&lt;&gt;"",COUNTIFS($A$2:$A$1001,A415,$B$2:$B$1001,B415,$C$2:$C$1001,C415)&gt;1),"중복 의심",""))))</f>
        <v/>
      </c>
      <c r="G415" s="25">
        <f>IF(OR(COUNTA(A415:E415)=0,OR(ISNUMBER(SEARCH("소계",B415)),ISNUMBER(SEARCH("합계",B415)))),"",1+COUNTIF($B$1:B414,"*소계*"))</f>
        <v/>
      </c>
      <c r="H415">
        <f>IF(AND(A415&lt;&gt;"",A415=가족별!$B$1,G415&lt;&gt;""),COUNTIFS($A$2:A415,가족별!$B$1,$G$2:G415,"&gt;0"),"")</f>
        <v/>
      </c>
      <c r="I415">
        <f>IF(ISNUMBER(SEARCH("소계",B415)),COUNTIF($B$2:B415,"*소계*"),"")</f>
        <v/>
      </c>
      <c r="J415">
        <f>IF(F415="",0,1)</f>
        <v/>
      </c>
    </row>
    <row r="416">
      <c r="A416" s="41" t="n"/>
      <c r="B416" s="41" t="n"/>
      <c r="C416" s="24" t="n"/>
      <c r="D416" s="41" t="n"/>
      <c r="E416" s="41" t="n"/>
      <c r="F416" s="19">
        <f>IF(COUNTA(A416:E416)=0,"",IF(OR(ISNUMBER(SEARCH("소계",B416)),ISNUMBER(SEARCH("합계",B416))),"",TRIM(IF(B416="","이름 없음 ","")&amp;IF(A416="","받은 가족 없음 ","")&amp;IF(C416="","금액 없음 ",IF(ISNUMBER(C416),IF(C416&lt;1000,"금액 확인 ",""),"금액 확인 "))&amp;IF(AND(B416&lt;&gt;"",COUNTIFS($A$2:$A$1001,A416,$B$2:$B$1001,B416,$C$2:$C$1001,C416)&gt;1),"중복 의심",""))))</f>
        <v/>
      </c>
      <c r="G416" s="25">
        <f>IF(OR(COUNTA(A416:E416)=0,OR(ISNUMBER(SEARCH("소계",B416)),ISNUMBER(SEARCH("합계",B416)))),"",1+COUNTIF($B$1:B415,"*소계*"))</f>
        <v/>
      </c>
      <c r="H416">
        <f>IF(AND(A416&lt;&gt;"",A416=가족별!$B$1,G416&lt;&gt;""),COUNTIFS($A$2:A416,가족별!$B$1,$G$2:G416,"&gt;0"),"")</f>
        <v/>
      </c>
      <c r="I416">
        <f>IF(ISNUMBER(SEARCH("소계",B416)),COUNTIF($B$2:B416,"*소계*"),"")</f>
        <v/>
      </c>
      <c r="J416">
        <f>IF(F416="",0,1)</f>
        <v/>
      </c>
    </row>
    <row r="417">
      <c r="A417" s="41" t="n"/>
      <c r="B417" s="41" t="n"/>
      <c r="C417" s="24" t="n"/>
      <c r="D417" s="41" t="n"/>
      <c r="E417" s="41" t="n"/>
      <c r="F417" s="19">
        <f>IF(COUNTA(A417:E417)=0,"",IF(OR(ISNUMBER(SEARCH("소계",B417)),ISNUMBER(SEARCH("합계",B417))),"",TRIM(IF(B417="","이름 없음 ","")&amp;IF(A417="","받은 가족 없음 ","")&amp;IF(C417="","금액 없음 ",IF(ISNUMBER(C417),IF(C417&lt;1000,"금액 확인 ",""),"금액 확인 "))&amp;IF(AND(B417&lt;&gt;"",COUNTIFS($A$2:$A$1001,A417,$B$2:$B$1001,B417,$C$2:$C$1001,C417)&gt;1),"중복 의심",""))))</f>
        <v/>
      </c>
      <c r="G417" s="25">
        <f>IF(OR(COUNTA(A417:E417)=0,OR(ISNUMBER(SEARCH("소계",B417)),ISNUMBER(SEARCH("합계",B417)))),"",1+COUNTIF($B$1:B416,"*소계*"))</f>
        <v/>
      </c>
      <c r="H417">
        <f>IF(AND(A417&lt;&gt;"",A417=가족별!$B$1,G417&lt;&gt;""),COUNTIFS($A$2:A417,가족별!$B$1,$G$2:G417,"&gt;0"),"")</f>
        <v/>
      </c>
      <c r="I417">
        <f>IF(ISNUMBER(SEARCH("소계",B417)),COUNTIF($B$2:B417,"*소계*"),"")</f>
        <v/>
      </c>
      <c r="J417">
        <f>IF(F417="",0,1)</f>
        <v/>
      </c>
    </row>
    <row r="418">
      <c r="A418" s="41" t="n"/>
      <c r="B418" s="41" t="n"/>
      <c r="C418" s="24" t="n"/>
      <c r="D418" s="41" t="n"/>
      <c r="E418" s="41" t="n"/>
      <c r="F418" s="19">
        <f>IF(COUNTA(A418:E418)=0,"",IF(OR(ISNUMBER(SEARCH("소계",B418)),ISNUMBER(SEARCH("합계",B418))),"",TRIM(IF(B418="","이름 없음 ","")&amp;IF(A418="","받은 가족 없음 ","")&amp;IF(C418="","금액 없음 ",IF(ISNUMBER(C418),IF(C418&lt;1000,"금액 확인 ",""),"금액 확인 "))&amp;IF(AND(B418&lt;&gt;"",COUNTIFS($A$2:$A$1001,A418,$B$2:$B$1001,B418,$C$2:$C$1001,C418)&gt;1),"중복 의심",""))))</f>
        <v/>
      </c>
      <c r="G418" s="25">
        <f>IF(OR(COUNTA(A418:E418)=0,OR(ISNUMBER(SEARCH("소계",B418)),ISNUMBER(SEARCH("합계",B418)))),"",1+COUNTIF($B$1:B417,"*소계*"))</f>
        <v/>
      </c>
      <c r="H418">
        <f>IF(AND(A418&lt;&gt;"",A418=가족별!$B$1,G418&lt;&gt;""),COUNTIFS($A$2:A418,가족별!$B$1,$G$2:G418,"&gt;0"),"")</f>
        <v/>
      </c>
      <c r="I418">
        <f>IF(ISNUMBER(SEARCH("소계",B418)),COUNTIF($B$2:B418,"*소계*"),"")</f>
        <v/>
      </c>
      <c r="J418">
        <f>IF(F418="",0,1)</f>
        <v/>
      </c>
    </row>
    <row r="419">
      <c r="A419" s="41" t="n"/>
      <c r="B419" s="41" t="n"/>
      <c r="C419" s="24" t="n"/>
      <c r="D419" s="41" t="n"/>
      <c r="E419" s="41" t="n"/>
      <c r="F419" s="19">
        <f>IF(COUNTA(A419:E419)=0,"",IF(OR(ISNUMBER(SEARCH("소계",B419)),ISNUMBER(SEARCH("합계",B419))),"",TRIM(IF(B419="","이름 없음 ","")&amp;IF(A419="","받은 가족 없음 ","")&amp;IF(C419="","금액 없음 ",IF(ISNUMBER(C419),IF(C419&lt;1000,"금액 확인 ",""),"금액 확인 "))&amp;IF(AND(B419&lt;&gt;"",COUNTIFS($A$2:$A$1001,A419,$B$2:$B$1001,B419,$C$2:$C$1001,C419)&gt;1),"중복 의심",""))))</f>
        <v/>
      </c>
      <c r="G419" s="25">
        <f>IF(OR(COUNTA(A419:E419)=0,OR(ISNUMBER(SEARCH("소계",B419)),ISNUMBER(SEARCH("합계",B419)))),"",1+COUNTIF($B$1:B418,"*소계*"))</f>
        <v/>
      </c>
      <c r="H419">
        <f>IF(AND(A419&lt;&gt;"",A419=가족별!$B$1,G419&lt;&gt;""),COUNTIFS($A$2:A419,가족별!$B$1,$G$2:G419,"&gt;0"),"")</f>
        <v/>
      </c>
      <c r="I419">
        <f>IF(ISNUMBER(SEARCH("소계",B419)),COUNTIF($B$2:B419,"*소계*"),"")</f>
        <v/>
      </c>
      <c r="J419">
        <f>IF(F419="",0,1)</f>
        <v/>
      </c>
    </row>
    <row r="420">
      <c r="A420" s="41" t="n"/>
      <c r="B420" s="41" t="n"/>
      <c r="C420" s="24" t="n"/>
      <c r="D420" s="41" t="n"/>
      <c r="E420" s="41" t="n"/>
      <c r="F420" s="19">
        <f>IF(COUNTA(A420:E420)=0,"",IF(OR(ISNUMBER(SEARCH("소계",B420)),ISNUMBER(SEARCH("합계",B420))),"",TRIM(IF(B420="","이름 없음 ","")&amp;IF(A420="","받은 가족 없음 ","")&amp;IF(C420="","금액 없음 ",IF(ISNUMBER(C420),IF(C420&lt;1000,"금액 확인 ",""),"금액 확인 "))&amp;IF(AND(B420&lt;&gt;"",COUNTIFS($A$2:$A$1001,A420,$B$2:$B$1001,B420,$C$2:$C$1001,C420)&gt;1),"중복 의심",""))))</f>
        <v/>
      </c>
      <c r="G420" s="25">
        <f>IF(OR(COUNTA(A420:E420)=0,OR(ISNUMBER(SEARCH("소계",B420)),ISNUMBER(SEARCH("합계",B420)))),"",1+COUNTIF($B$1:B419,"*소계*"))</f>
        <v/>
      </c>
      <c r="H420">
        <f>IF(AND(A420&lt;&gt;"",A420=가족별!$B$1,G420&lt;&gt;""),COUNTIFS($A$2:A420,가족별!$B$1,$G$2:G420,"&gt;0"),"")</f>
        <v/>
      </c>
      <c r="I420">
        <f>IF(ISNUMBER(SEARCH("소계",B420)),COUNTIF($B$2:B420,"*소계*"),"")</f>
        <v/>
      </c>
      <c r="J420">
        <f>IF(F420="",0,1)</f>
        <v/>
      </c>
    </row>
    <row r="421">
      <c r="A421" s="41" t="n"/>
      <c r="B421" s="41" t="n"/>
      <c r="C421" s="24" t="n"/>
      <c r="D421" s="41" t="n"/>
      <c r="E421" s="41" t="n"/>
      <c r="F421" s="19">
        <f>IF(COUNTA(A421:E421)=0,"",IF(OR(ISNUMBER(SEARCH("소계",B421)),ISNUMBER(SEARCH("합계",B421))),"",TRIM(IF(B421="","이름 없음 ","")&amp;IF(A421="","받은 가족 없음 ","")&amp;IF(C421="","금액 없음 ",IF(ISNUMBER(C421),IF(C421&lt;1000,"금액 확인 ",""),"금액 확인 "))&amp;IF(AND(B421&lt;&gt;"",COUNTIFS($A$2:$A$1001,A421,$B$2:$B$1001,B421,$C$2:$C$1001,C421)&gt;1),"중복 의심",""))))</f>
        <v/>
      </c>
      <c r="G421" s="25">
        <f>IF(OR(COUNTA(A421:E421)=0,OR(ISNUMBER(SEARCH("소계",B421)),ISNUMBER(SEARCH("합계",B421)))),"",1+COUNTIF($B$1:B420,"*소계*"))</f>
        <v/>
      </c>
      <c r="H421">
        <f>IF(AND(A421&lt;&gt;"",A421=가족별!$B$1,G421&lt;&gt;""),COUNTIFS($A$2:A421,가족별!$B$1,$G$2:G421,"&gt;0"),"")</f>
        <v/>
      </c>
      <c r="I421">
        <f>IF(ISNUMBER(SEARCH("소계",B421)),COUNTIF($B$2:B421,"*소계*"),"")</f>
        <v/>
      </c>
      <c r="J421">
        <f>IF(F421="",0,1)</f>
        <v/>
      </c>
    </row>
    <row r="422">
      <c r="A422" s="41" t="n"/>
      <c r="B422" s="41" t="n"/>
      <c r="C422" s="24" t="n"/>
      <c r="D422" s="41" t="n"/>
      <c r="E422" s="41" t="n"/>
      <c r="F422" s="19">
        <f>IF(COUNTA(A422:E422)=0,"",IF(OR(ISNUMBER(SEARCH("소계",B422)),ISNUMBER(SEARCH("합계",B422))),"",TRIM(IF(B422="","이름 없음 ","")&amp;IF(A422="","받은 가족 없음 ","")&amp;IF(C422="","금액 없음 ",IF(ISNUMBER(C422),IF(C422&lt;1000,"금액 확인 ",""),"금액 확인 "))&amp;IF(AND(B422&lt;&gt;"",COUNTIFS($A$2:$A$1001,A422,$B$2:$B$1001,B422,$C$2:$C$1001,C422)&gt;1),"중복 의심",""))))</f>
        <v/>
      </c>
      <c r="G422" s="25">
        <f>IF(OR(COUNTA(A422:E422)=0,OR(ISNUMBER(SEARCH("소계",B422)),ISNUMBER(SEARCH("합계",B422)))),"",1+COUNTIF($B$1:B421,"*소계*"))</f>
        <v/>
      </c>
      <c r="H422">
        <f>IF(AND(A422&lt;&gt;"",A422=가족별!$B$1,G422&lt;&gt;""),COUNTIFS($A$2:A422,가족별!$B$1,$G$2:G422,"&gt;0"),"")</f>
        <v/>
      </c>
      <c r="I422">
        <f>IF(ISNUMBER(SEARCH("소계",B422)),COUNTIF($B$2:B422,"*소계*"),"")</f>
        <v/>
      </c>
      <c r="J422">
        <f>IF(F422="",0,1)</f>
        <v/>
      </c>
    </row>
    <row r="423">
      <c r="A423" s="41" t="n"/>
      <c r="B423" s="41" t="n"/>
      <c r="C423" s="24" t="n"/>
      <c r="D423" s="41" t="n"/>
      <c r="E423" s="41" t="n"/>
      <c r="F423" s="19">
        <f>IF(COUNTA(A423:E423)=0,"",IF(OR(ISNUMBER(SEARCH("소계",B423)),ISNUMBER(SEARCH("합계",B423))),"",TRIM(IF(B423="","이름 없음 ","")&amp;IF(A423="","받은 가족 없음 ","")&amp;IF(C423="","금액 없음 ",IF(ISNUMBER(C423),IF(C423&lt;1000,"금액 확인 ",""),"금액 확인 "))&amp;IF(AND(B423&lt;&gt;"",COUNTIFS($A$2:$A$1001,A423,$B$2:$B$1001,B423,$C$2:$C$1001,C423)&gt;1),"중복 의심",""))))</f>
        <v/>
      </c>
      <c r="G423" s="25">
        <f>IF(OR(COUNTA(A423:E423)=0,OR(ISNUMBER(SEARCH("소계",B423)),ISNUMBER(SEARCH("합계",B423)))),"",1+COUNTIF($B$1:B422,"*소계*"))</f>
        <v/>
      </c>
      <c r="H423">
        <f>IF(AND(A423&lt;&gt;"",A423=가족별!$B$1,G423&lt;&gt;""),COUNTIFS($A$2:A423,가족별!$B$1,$G$2:G423,"&gt;0"),"")</f>
        <v/>
      </c>
      <c r="I423">
        <f>IF(ISNUMBER(SEARCH("소계",B423)),COUNTIF($B$2:B423,"*소계*"),"")</f>
        <v/>
      </c>
      <c r="J423">
        <f>IF(F423="",0,1)</f>
        <v/>
      </c>
    </row>
    <row r="424">
      <c r="A424" s="41" t="n"/>
      <c r="B424" s="41" t="n"/>
      <c r="C424" s="24" t="n"/>
      <c r="D424" s="41" t="n"/>
      <c r="E424" s="41" t="n"/>
      <c r="F424" s="19">
        <f>IF(COUNTA(A424:E424)=0,"",IF(OR(ISNUMBER(SEARCH("소계",B424)),ISNUMBER(SEARCH("합계",B424))),"",TRIM(IF(B424="","이름 없음 ","")&amp;IF(A424="","받은 가족 없음 ","")&amp;IF(C424="","금액 없음 ",IF(ISNUMBER(C424),IF(C424&lt;1000,"금액 확인 ",""),"금액 확인 "))&amp;IF(AND(B424&lt;&gt;"",COUNTIFS($A$2:$A$1001,A424,$B$2:$B$1001,B424,$C$2:$C$1001,C424)&gt;1),"중복 의심",""))))</f>
        <v/>
      </c>
      <c r="G424" s="25">
        <f>IF(OR(COUNTA(A424:E424)=0,OR(ISNUMBER(SEARCH("소계",B424)),ISNUMBER(SEARCH("합계",B424)))),"",1+COUNTIF($B$1:B423,"*소계*"))</f>
        <v/>
      </c>
      <c r="H424">
        <f>IF(AND(A424&lt;&gt;"",A424=가족별!$B$1,G424&lt;&gt;""),COUNTIFS($A$2:A424,가족별!$B$1,$G$2:G424,"&gt;0"),"")</f>
        <v/>
      </c>
      <c r="I424">
        <f>IF(ISNUMBER(SEARCH("소계",B424)),COUNTIF($B$2:B424,"*소계*"),"")</f>
        <v/>
      </c>
      <c r="J424">
        <f>IF(F424="",0,1)</f>
        <v/>
      </c>
    </row>
    <row r="425">
      <c r="A425" s="41" t="n"/>
      <c r="B425" s="41" t="n"/>
      <c r="C425" s="24" t="n"/>
      <c r="D425" s="41" t="n"/>
      <c r="E425" s="41" t="n"/>
      <c r="F425" s="19">
        <f>IF(COUNTA(A425:E425)=0,"",IF(OR(ISNUMBER(SEARCH("소계",B425)),ISNUMBER(SEARCH("합계",B425))),"",TRIM(IF(B425="","이름 없음 ","")&amp;IF(A425="","받은 가족 없음 ","")&amp;IF(C425="","금액 없음 ",IF(ISNUMBER(C425),IF(C425&lt;1000,"금액 확인 ",""),"금액 확인 "))&amp;IF(AND(B425&lt;&gt;"",COUNTIFS($A$2:$A$1001,A425,$B$2:$B$1001,B425,$C$2:$C$1001,C425)&gt;1),"중복 의심",""))))</f>
        <v/>
      </c>
      <c r="G425" s="25">
        <f>IF(OR(COUNTA(A425:E425)=0,OR(ISNUMBER(SEARCH("소계",B425)),ISNUMBER(SEARCH("합계",B425)))),"",1+COUNTIF($B$1:B424,"*소계*"))</f>
        <v/>
      </c>
      <c r="H425">
        <f>IF(AND(A425&lt;&gt;"",A425=가족별!$B$1,G425&lt;&gt;""),COUNTIFS($A$2:A425,가족별!$B$1,$G$2:G425,"&gt;0"),"")</f>
        <v/>
      </c>
      <c r="I425">
        <f>IF(ISNUMBER(SEARCH("소계",B425)),COUNTIF($B$2:B425,"*소계*"),"")</f>
        <v/>
      </c>
      <c r="J425">
        <f>IF(F425="",0,1)</f>
        <v/>
      </c>
    </row>
    <row r="426">
      <c r="A426" s="41" t="n"/>
      <c r="B426" s="41" t="n"/>
      <c r="C426" s="24" t="n"/>
      <c r="D426" s="41" t="n"/>
      <c r="E426" s="41" t="n"/>
      <c r="F426" s="19">
        <f>IF(COUNTA(A426:E426)=0,"",IF(OR(ISNUMBER(SEARCH("소계",B426)),ISNUMBER(SEARCH("합계",B426))),"",TRIM(IF(B426="","이름 없음 ","")&amp;IF(A426="","받은 가족 없음 ","")&amp;IF(C426="","금액 없음 ",IF(ISNUMBER(C426),IF(C426&lt;1000,"금액 확인 ",""),"금액 확인 "))&amp;IF(AND(B426&lt;&gt;"",COUNTIFS($A$2:$A$1001,A426,$B$2:$B$1001,B426,$C$2:$C$1001,C426)&gt;1),"중복 의심",""))))</f>
        <v/>
      </c>
      <c r="G426" s="25">
        <f>IF(OR(COUNTA(A426:E426)=0,OR(ISNUMBER(SEARCH("소계",B426)),ISNUMBER(SEARCH("합계",B426)))),"",1+COUNTIF($B$1:B425,"*소계*"))</f>
        <v/>
      </c>
      <c r="H426">
        <f>IF(AND(A426&lt;&gt;"",A426=가족별!$B$1,G426&lt;&gt;""),COUNTIFS($A$2:A426,가족별!$B$1,$G$2:G426,"&gt;0"),"")</f>
        <v/>
      </c>
      <c r="I426">
        <f>IF(ISNUMBER(SEARCH("소계",B426)),COUNTIF($B$2:B426,"*소계*"),"")</f>
        <v/>
      </c>
      <c r="J426">
        <f>IF(F426="",0,1)</f>
        <v/>
      </c>
    </row>
    <row r="427">
      <c r="A427" s="41" t="n"/>
      <c r="B427" s="41" t="n"/>
      <c r="C427" s="24" t="n"/>
      <c r="D427" s="41" t="n"/>
      <c r="E427" s="41" t="n"/>
      <c r="F427" s="19">
        <f>IF(COUNTA(A427:E427)=0,"",IF(OR(ISNUMBER(SEARCH("소계",B427)),ISNUMBER(SEARCH("합계",B427))),"",TRIM(IF(B427="","이름 없음 ","")&amp;IF(A427="","받은 가족 없음 ","")&amp;IF(C427="","금액 없음 ",IF(ISNUMBER(C427),IF(C427&lt;1000,"금액 확인 ",""),"금액 확인 "))&amp;IF(AND(B427&lt;&gt;"",COUNTIFS($A$2:$A$1001,A427,$B$2:$B$1001,B427,$C$2:$C$1001,C427)&gt;1),"중복 의심",""))))</f>
        <v/>
      </c>
      <c r="G427" s="25">
        <f>IF(OR(COUNTA(A427:E427)=0,OR(ISNUMBER(SEARCH("소계",B427)),ISNUMBER(SEARCH("합계",B427)))),"",1+COUNTIF($B$1:B426,"*소계*"))</f>
        <v/>
      </c>
      <c r="H427">
        <f>IF(AND(A427&lt;&gt;"",A427=가족별!$B$1,G427&lt;&gt;""),COUNTIFS($A$2:A427,가족별!$B$1,$G$2:G427,"&gt;0"),"")</f>
        <v/>
      </c>
      <c r="I427">
        <f>IF(ISNUMBER(SEARCH("소계",B427)),COUNTIF($B$2:B427,"*소계*"),"")</f>
        <v/>
      </c>
      <c r="J427">
        <f>IF(F427="",0,1)</f>
        <v/>
      </c>
    </row>
    <row r="428">
      <c r="A428" s="41" t="n"/>
      <c r="B428" s="41" t="n"/>
      <c r="C428" s="24" t="n"/>
      <c r="D428" s="41" t="n"/>
      <c r="E428" s="41" t="n"/>
      <c r="F428" s="19">
        <f>IF(COUNTA(A428:E428)=0,"",IF(OR(ISNUMBER(SEARCH("소계",B428)),ISNUMBER(SEARCH("합계",B428))),"",TRIM(IF(B428="","이름 없음 ","")&amp;IF(A428="","받은 가족 없음 ","")&amp;IF(C428="","금액 없음 ",IF(ISNUMBER(C428),IF(C428&lt;1000,"금액 확인 ",""),"금액 확인 "))&amp;IF(AND(B428&lt;&gt;"",COUNTIFS($A$2:$A$1001,A428,$B$2:$B$1001,B428,$C$2:$C$1001,C428)&gt;1),"중복 의심",""))))</f>
        <v/>
      </c>
      <c r="G428" s="25">
        <f>IF(OR(COUNTA(A428:E428)=0,OR(ISNUMBER(SEARCH("소계",B428)),ISNUMBER(SEARCH("합계",B428)))),"",1+COUNTIF($B$1:B427,"*소계*"))</f>
        <v/>
      </c>
      <c r="H428">
        <f>IF(AND(A428&lt;&gt;"",A428=가족별!$B$1,G428&lt;&gt;""),COUNTIFS($A$2:A428,가족별!$B$1,$G$2:G428,"&gt;0"),"")</f>
        <v/>
      </c>
      <c r="I428">
        <f>IF(ISNUMBER(SEARCH("소계",B428)),COUNTIF($B$2:B428,"*소계*"),"")</f>
        <v/>
      </c>
      <c r="J428">
        <f>IF(F428="",0,1)</f>
        <v/>
      </c>
    </row>
    <row r="429">
      <c r="A429" s="41" t="n"/>
      <c r="B429" s="41" t="n"/>
      <c r="C429" s="24" t="n"/>
      <c r="D429" s="41" t="n"/>
      <c r="E429" s="41" t="n"/>
      <c r="F429" s="19">
        <f>IF(COUNTA(A429:E429)=0,"",IF(OR(ISNUMBER(SEARCH("소계",B429)),ISNUMBER(SEARCH("합계",B429))),"",TRIM(IF(B429="","이름 없음 ","")&amp;IF(A429="","받은 가족 없음 ","")&amp;IF(C429="","금액 없음 ",IF(ISNUMBER(C429),IF(C429&lt;1000,"금액 확인 ",""),"금액 확인 "))&amp;IF(AND(B429&lt;&gt;"",COUNTIFS($A$2:$A$1001,A429,$B$2:$B$1001,B429,$C$2:$C$1001,C429)&gt;1),"중복 의심",""))))</f>
        <v/>
      </c>
      <c r="G429" s="25">
        <f>IF(OR(COUNTA(A429:E429)=0,OR(ISNUMBER(SEARCH("소계",B429)),ISNUMBER(SEARCH("합계",B429)))),"",1+COUNTIF($B$1:B428,"*소계*"))</f>
        <v/>
      </c>
      <c r="H429">
        <f>IF(AND(A429&lt;&gt;"",A429=가족별!$B$1,G429&lt;&gt;""),COUNTIFS($A$2:A429,가족별!$B$1,$G$2:G429,"&gt;0"),"")</f>
        <v/>
      </c>
      <c r="I429">
        <f>IF(ISNUMBER(SEARCH("소계",B429)),COUNTIF($B$2:B429,"*소계*"),"")</f>
        <v/>
      </c>
      <c r="J429">
        <f>IF(F429="",0,1)</f>
        <v/>
      </c>
    </row>
    <row r="430">
      <c r="A430" s="41" t="n"/>
      <c r="B430" s="41" t="n"/>
      <c r="C430" s="24" t="n"/>
      <c r="D430" s="41" t="n"/>
      <c r="E430" s="41" t="n"/>
      <c r="F430" s="19">
        <f>IF(COUNTA(A430:E430)=0,"",IF(OR(ISNUMBER(SEARCH("소계",B430)),ISNUMBER(SEARCH("합계",B430))),"",TRIM(IF(B430="","이름 없음 ","")&amp;IF(A430="","받은 가족 없음 ","")&amp;IF(C430="","금액 없음 ",IF(ISNUMBER(C430),IF(C430&lt;1000,"금액 확인 ",""),"금액 확인 "))&amp;IF(AND(B430&lt;&gt;"",COUNTIFS($A$2:$A$1001,A430,$B$2:$B$1001,B430,$C$2:$C$1001,C430)&gt;1),"중복 의심",""))))</f>
        <v/>
      </c>
      <c r="G430" s="25">
        <f>IF(OR(COUNTA(A430:E430)=0,OR(ISNUMBER(SEARCH("소계",B430)),ISNUMBER(SEARCH("합계",B430)))),"",1+COUNTIF($B$1:B429,"*소계*"))</f>
        <v/>
      </c>
      <c r="H430">
        <f>IF(AND(A430&lt;&gt;"",A430=가족별!$B$1,G430&lt;&gt;""),COUNTIFS($A$2:A430,가족별!$B$1,$G$2:G430,"&gt;0"),"")</f>
        <v/>
      </c>
      <c r="I430">
        <f>IF(ISNUMBER(SEARCH("소계",B430)),COUNTIF($B$2:B430,"*소계*"),"")</f>
        <v/>
      </c>
      <c r="J430">
        <f>IF(F430="",0,1)</f>
        <v/>
      </c>
    </row>
    <row r="431">
      <c r="A431" s="41" t="n"/>
      <c r="B431" s="41" t="n"/>
      <c r="C431" s="24" t="n"/>
      <c r="D431" s="41" t="n"/>
      <c r="E431" s="41" t="n"/>
      <c r="F431" s="19">
        <f>IF(COUNTA(A431:E431)=0,"",IF(OR(ISNUMBER(SEARCH("소계",B431)),ISNUMBER(SEARCH("합계",B431))),"",TRIM(IF(B431="","이름 없음 ","")&amp;IF(A431="","받은 가족 없음 ","")&amp;IF(C431="","금액 없음 ",IF(ISNUMBER(C431),IF(C431&lt;1000,"금액 확인 ",""),"금액 확인 "))&amp;IF(AND(B431&lt;&gt;"",COUNTIFS($A$2:$A$1001,A431,$B$2:$B$1001,B431,$C$2:$C$1001,C431)&gt;1),"중복 의심",""))))</f>
        <v/>
      </c>
      <c r="G431" s="25">
        <f>IF(OR(COUNTA(A431:E431)=0,OR(ISNUMBER(SEARCH("소계",B431)),ISNUMBER(SEARCH("합계",B431)))),"",1+COUNTIF($B$1:B430,"*소계*"))</f>
        <v/>
      </c>
      <c r="H431">
        <f>IF(AND(A431&lt;&gt;"",A431=가족별!$B$1,G431&lt;&gt;""),COUNTIFS($A$2:A431,가족별!$B$1,$G$2:G431,"&gt;0"),"")</f>
        <v/>
      </c>
      <c r="I431">
        <f>IF(ISNUMBER(SEARCH("소계",B431)),COUNTIF($B$2:B431,"*소계*"),"")</f>
        <v/>
      </c>
      <c r="J431">
        <f>IF(F431="",0,1)</f>
        <v/>
      </c>
    </row>
    <row r="432">
      <c r="A432" s="41" t="n"/>
      <c r="B432" s="41" t="n"/>
      <c r="C432" s="24" t="n"/>
      <c r="D432" s="41" t="n"/>
      <c r="E432" s="41" t="n"/>
      <c r="F432" s="19">
        <f>IF(COUNTA(A432:E432)=0,"",IF(OR(ISNUMBER(SEARCH("소계",B432)),ISNUMBER(SEARCH("합계",B432))),"",TRIM(IF(B432="","이름 없음 ","")&amp;IF(A432="","받은 가족 없음 ","")&amp;IF(C432="","금액 없음 ",IF(ISNUMBER(C432),IF(C432&lt;1000,"금액 확인 ",""),"금액 확인 "))&amp;IF(AND(B432&lt;&gt;"",COUNTIFS($A$2:$A$1001,A432,$B$2:$B$1001,B432,$C$2:$C$1001,C432)&gt;1),"중복 의심",""))))</f>
        <v/>
      </c>
      <c r="G432" s="25">
        <f>IF(OR(COUNTA(A432:E432)=0,OR(ISNUMBER(SEARCH("소계",B432)),ISNUMBER(SEARCH("합계",B432)))),"",1+COUNTIF($B$1:B431,"*소계*"))</f>
        <v/>
      </c>
      <c r="H432">
        <f>IF(AND(A432&lt;&gt;"",A432=가족별!$B$1,G432&lt;&gt;""),COUNTIFS($A$2:A432,가족별!$B$1,$G$2:G432,"&gt;0"),"")</f>
        <v/>
      </c>
      <c r="I432">
        <f>IF(ISNUMBER(SEARCH("소계",B432)),COUNTIF($B$2:B432,"*소계*"),"")</f>
        <v/>
      </c>
      <c r="J432">
        <f>IF(F432="",0,1)</f>
        <v/>
      </c>
    </row>
    <row r="433">
      <c r="A433" s="41" t="n"/>
      <c r="B433" s="41" t="n"/>
      <c r="C433" s="24" t="n"/>
      <c r="D433" s="41" t="n"/>
      <c r="E433" s="41" t="n"/>
      <c r="F433" s="19">
        <f>IF(COUNTA(A433:E433)=0,"",IF(OR(ISNUMBER(SEARCH("소계",B433)),ISNUMBER(SEARCH("합계",B433))),"",TRIM(IF(B433="","이름 없음 ","")&amp;IF(A433="","받은 가족 없음 ","")&amp;IF(C433="","금액 없음 ",IF(ISNUMBER(C433),IF(C433&lt;1000,"금액 확인 ",""),"금액 확인 "))&amp;IF(AND(B433&lt;&gt;"",COUNTIFS($A$2:$A$1001,A433,$B$2:$B$1001,B433,$C$2:$C$1001,C433)&gt;1),"중복 의심",""))))</f>
        <v/>
      </c>
      <c r="G433" s="25">
        <f>IF(OR(COUNTA(A433:E433)=0,OR(ISNUMBER(SEARCH("소계",B433)),ISNUMBER(SEARCH("합계",B433)))),"",1+COUNTIF($B$1:B432,"*소계*"))</f>
        <v/>
      </c>
      <c r="H433">
        <f>IF(AND(A433&lt;&gt;"",A433=가족별!$B$1,G433&lt;&gt;""),COUNTIFS($A$2:A433,가족별!$B$1,$G$2:G433,"&gt;0"),"")</f>
        <v/>
      </c>
      <c r="I433">
        <f>IF(ISNUMBER(SEARCH("소계",B433)),COUNTIF($B$2:B433,"*소계*"),"")</f>
        <v/>
      </c>
      <c r="J433">
        <f>IF(F433="",0,1)</f>
        <v/>
      </c>
    </row>
    <row r="434">
      <c r="A434" s="41" t="n"/>
      <c r="B434" s="41" t="n"/>
      <c r="C434" s="24" t="n"/>
      <c r="D434" s="41" t="n"/>
      <c r="E434" s="41" t="n"/>
      <c r="F434" s="19">
        <f>IF(COUNTA(A434:E434)=0,"",IF(OR(ISNUMBER(SEARCH("소계",B434)),ISNUMBER(SEARCH("합계",B434))),"",TRIM(IF(B434="","이름 없음 ","")&amp;IF(A434="","받은 가족 없음 ","")&amp;IF(C434="","금액 없음 ",IF(ISNUMBER(C434),IF(C434&lt;1000,"금액 확인 ",""),"금액 확인 "))&amp;IF(AND(B434&lt;&gt;"",COUNTIFS($A$2:$A$1001,A434,$B$2:$B$1001,B434,$C$2:$C$1001,C434)&gt;1),"중복 의심",""))))</f>
        <v/>
      </c>
      <c r="G434" s="25">
        <f>IF(OR(COUNTA(A434:E434)=0,OR(ISNUMBER(SEARCH("소계",B434)),ISNUMBER(SEARCH("합계",B434)))),"",1+COUNTIF($B$1:B433,"*소계*"))</f>
        <v/>
      </c>
      <c r="H434">
        <f>IF(AND(A434&lt;&gt;"",A434=가족별!$B$1,G434&lt;&gt;""),COUNTIFS($A$2:A434,가족별!$B$1,$G$2:G434,"&gt;0"),"")</f>
        <v/>
      </c>
      <c r="I434">
        <f>IF(ISNUMBER(SEARCH("소계",B434)),COUNTIF($B$2:B434,"*소계*"),"")</f>
        <v/>
      </c>
      <c r="J434">
        <f>IF(F434="",0,1)</f>
        <v/>
      </c>
    </row>
    <row r="435">
      <c r="A435" s="41" t="n"/>
      <c r="B435" s="41" t="n"/>
      <c r="C435" s="24" t="n"/>
      <c r="D435" s="41" t="n"/>
      <c r="E435" s="41" t="n"/>
      <c r="F435" s="19">
        <f>IF(COUNTA(A435:E435)=0,"",IF(OR(ISNUMBER(SEARCH("소계",B435)),ISNUMBER(SEARCH("합계",B435))),"",TRIM(IF(B435="","이름 없음 ","")&amp;IF(A435="","받은 가족 없음 ","")&amp;IF(C435="","금액 없음 ",IF(ISNUMBER(C435),IF(C435&lt;1000,"금액 확인 ",""),"금액 확인 "))&amp;IF(AND(B435&lt;&gt;"",COUNTIFS($A$2:$A$1001,A435,$B$2:$B$1001,B435,$C$2:$C$1001,C435)&gt;1),"중복 의심",""))))</f>
        <v/>
      </c>
      <c r="G435" s="25">
        <f>IF(OR(COUNTA(A435:E435)=0,OR(ISNUMBER(SEARCH("소계",B435)),ISNUMBER(SEARCH("합계",B435)))),"",1+COUNTIF($B$1:B434,"*소계*"))</f>
        <v/>
      </c>
      <c r="H435">
        <f>IF(AND(A435&lt;&gt;"",A435=가족별!$B$1,G435&lt;&gt;""),COUNTIFS($A$2:A435,가족별!$B$1,$G$2:G435,"&gt;0"),"")</f>
        <v/>
      </c>
      <c r="I435">
        <f>IF(ISNUMBER(SEARCH("소계",B435)),COUNTIF($B$2:B435,"*소계*"),"")</f>
        <v/>
      </c>
      <c r="J435">
        <f>IF(F435="",0,1)</f>
        <v/>
      </c>
    </row>
    <row r="436">
      <c r="A436" s="41" t="n"/>
      <c r="B436" s="41" t="n"/>
      <c r="C436" s="24" t="n"/>
      <c r="D436" s="41" t="n"/>
      <c r="E436" s="41" t="n"/>
      <c r="F436" s="19">
        <f>IF(COUNTA(A436:E436)=0,"",IF(OR(ISNUMBER(SEARCH("소계",B436)),ISNUMBER(SEARCH("합계",B436))),"",TRIM(IF(B436="","이름 없음 ","")&amp;IF(A436="","받은 가족 없음 ","")&amp;IF(C436="","금액 없음 ",IF(ISNUMBER(C436),IF(C436&lt;1000,"금액 확인 ",""),"금액 확인 "))&amp;IF(AND(B436&lt;&gt;"",COUNTIFS($A$2:$A$1001,A436,$B$2:$B$1001,B436,$C$2:$C$1001,C436)&gt;1),"중복 의심",""))))</f>
        <v/>
      </c>
      <c r="G436" s="25">
        <f>IF(OR(COUNTA(A436:E436)=0,OR(ISNUMBER(SEARCH("소계",B436)),ISNUMBER(SEARCH("합계",B436)))),"",1+COUNTIF($B$1:B435,"*소계*"))</f>
        <v/>
      </c>
      <c r="H436">
        <f>IF(AND(A436&lt;&gt;"",A436=가족별!$B$1,G436&lt;&gt;""),COUNTIFS($A$2:A436,가족별!$B$1,$G$2:G436,"&gt;0"),"")</f>
        <v/>
      </c>
      <c r="I436">
        <f>IF(ISNUMBER(SEARCH("소계",B436)),COUNTIF($B$2:B436,"*소계*"),"")</f>
        <v/>
      </c>
      <c r="J436">
        <f>IF(F436="",0,1)</f>
        <v/>
      </c>
    </row>
    <row r="437">
      <c r="A437" s="41" t="n"/>
      <c r="B437" s="41" t="n"/>
      <c r="C437" s="24" t="n"/>
      <c r="D437" s="41" t="n"/>
      <c r="E437" s="41" t="n"/>
      <c r="F437" s="19">
        <f>IF(COUNTA(A437:E437)=0,"",IF(OR(ISNUMBER(SEARCH("소계",B437)),ISNUMBER(SEARCH("합계",B437))),"",TRIM(IF(B437="","이름 없음 ","")&amp;IF(A437="","받은 가족 없음 ","")&amp;IF(C437="","금액 없음 ",IF(ISNUMBER(C437),IF(C437&lt;1000,"금액 확인 ",""),"금액 확인 "))&amp;IF(AND(B437&lt;&gt;"",COUNTIFS($A$2:$A$1001,A437,$B$2:$B$1001,B437,$C$2:$C$1001,C437)&gt;1),"중복 의심",""))))</f>
        <v/>
      </c>
      <c r="G437" s="25">
        <f>IF(OR(COUNTA(A437:E437)=0,OR(ISNUMBER(SEARCH("소계",B437)),ISNUMBER(SEARCH("합계",B437)))),"",1+COUNTIF($B$1:B436,"*소계*"))</f>
        <v/>
      </c>
      <c r="H437">
        <f>IF(AND(A437&lt;&gt;"",A437=가족별!$B$1,G437&lt;&gt;""),COUNTIFS($A$2:A437,가족별!$B$1,$G$2:G437,"&gt;0"),"")</f>
        <v/>
      </c>
      <c r="I437">
        <f>IF(ISNUMBER(SEARCH("소계",B437)),COUNTIF($B$2:B437,"*소계*"),"")</f>
        <v/>
      </c>
      <c r="J437">
        <f>IF(F437="",0,1)</f>
        <v/>
      </c>
    </row>
    <row r="438">
      <c r="A438" s="41" t="n"/>
      <c r="B438" s="41" t="n"/>
      <c r="C438" s="24" t="n"/>
      <c r="D438" s="41" t="n"/>
      <c r="E438" s="41" t="n"/>
      <c r="F438" s="19">
        <f>IF(COUNTA(A438:E438)=0,"",IF(OR(ISNUMBER(SEARCH("소계",B438)),ISNUMBER(SEARCH("합계",B438))),"",TRIM(IF(B438="","이름 없음 ","")&amp;IF(A438="","받은 가족 없음 ","")&amp;IF(C438="","금액 없음 ",IF(ISNUMBER(C438),IF(C438&lt;1000,"금액 확인 ",""),"금액 확인 "))&amp;IF(AND(B438&lt;&gt;"",COUNTIFS($A$2:$A$1001,A438,$B$2:$B$1001,B438,$C$2:$C$1001,C438)&gt;1),"중복 의심",""))))</f>
        <v/>
      </c>
      <c r="G438" s="25">
        <f>IF(OR(COUNTA(A438:E438)=0,OR(ISNUMBER(SEARCH("소계",B438)),ISNUMBER(SEARCH("합계",B438)))),"",1+COUNTIF($B$1:B437,"*소계*"))</f>
        <v/>
      </c>
      <c r="H438">
        <f>IF(AND(A438&lt;&gt;"",A438=가족별!$B$1,G438&lt;&gt;""),COUNTIFS($A$2:A438,가족별!$B$1,$G$2:G438,"&gt;0"),"")</f>
        <v/>
      </c>
      <c r="I438">
        <f>IF(ISNUMBER(SEARCH("소계",B438)),COUNTIF($B$2:B438,"*소계*"),"")</f>
        <v/>
      </c>
      <c r="J438">
        <f>IF(F438="",0,1)</f>
        <v/>
      </c>
    </row>
    <row r="439">
      <c r="A439" s="41" t="n"/>
      <c r="B439" s="41" t="n"/>
      <c r="C439" s="24" t="n"/>
      <c r="D439" s="41" t="n"/>
      <c r="E439" s="41" t="n"/>
      <c r="F439" s="19">
        <f>IF(COUNTA(A439:E439)=0,"",IF(OR(ISNUMBER(SEARCH("소계",B439)),ISNUMBER(SEARCH("합계",B439))),"",TRIM(IF(B439="","이름 없음 ","")&amp;IF(A439="","받은 가족 없음 ","")&amp;IF(C439="","금액 없음 ",IF(ISNUMBER(C439),IF(C439&lt;1000,"금액 확인 ",""),"금액 확인 "))&amp;IF(AND(B439&lt;&gt;"",COUNTIFS($A$2:$A$1001,A439,$B$2:$B$1001,B439,$C$2:$C$1001,C439)&gt;1),"중복 의심",""))))</f>
        <v/>
      </c>
      <c r="G439" s="25">
        <f>IF(OR(COUNTA(A439:E439)=0,OR(ISNUMBER(SEARCH("소계",B439)),ISNUMBER(SEARCH("합계",B439)))),"",1+COUNTIF($B$1:B438,"*소계*"))</f>
        <v/>
      </c>
      <c r="H439">
        <f>IF(AND(A439&lt;&gt;"",A439=가족별!$B$1,G439&lt;&gt;""),COUNTIFS($A$2:A439,가족별!$B$1,$G$2:G439,"&gt;0"),"")</f>
        <v/>
      </c>
      <c r="I439">
        <f>IF(ISNUMBER(SEARCH("소계",B439)),COUNTIF($B$2:B439,"*소계*"),"")</f>
        <v/>
      </c>
      <c r="J439">
        <f>IF(F439="",0,1)</f>
        <v/>
      </c>
    </row>
    <row r="440">
      <c r="A440" s="41" t="n"/>
      <c r="B440" s="41" t="n"/>
      <c r="C440" s="24" t="n"/>
      <c r="D440" s="41" t="n"/>
      <c r="E440" s="41" t="n"/>
      <c r="F440" s="19">
        <f>IF(COUNTA(A440:E440)=0,"",IF(OR(ISNUMBER(SEARCH("소계",B440)),ISNUMBER(SEARCH("합계",B440))),"",TRIM(IF(B440="","이름 없음 ","")&amp;IF(A440="","받은 가족 없음 ","")&amp;IF(C440="","금액 없음 ",IF(ISNUMBER(C440),IF(C440&lt;1000,"금액 확인 ",""),"금액 확인 "))&amp;IF(AND(B440&lt;&gt;"",COUNTIFS($A$2:$A$1001,A440,$B$2:$B$1001,B440,$C$2:$C$1001,C440)&gt;1),"중복 의심",""))))</f>
        <v/>
      </c>
      <c r="G440" s="25">
        <f>IF(OR(COUNTA(A440:E440)=0,OR(ISNUMBER(SEARCH("소계",B440)),ISNUMBER(SEARCH("합계",B440)))),"",1+COUNTIF($B$1:B439,"*소계*"))</f>
        <v/>
      </c>
      <c r="H440">
        <f>IF(AND(A440&lt;&gt;"",A440=가족별!$B$1,G440&lt;&gt;""),COUNTIFS($A$2:A440,가족별!$B$1,$G$2:G440,"&gt;0"),"")</f>
        <v/>
      </c>
      <c r="I440">
        <f>IF(ISNUMBER(SEARCH("소계",B440)),COUNTIF($B$2:B440,"*소계*"),"")</f>
        <v/>
      </c>
      <c r="J440">
        <f>IF(F440="",0,1)</f>
        <v/>
      </c>
    </row>
    <row r="441">
      <c r="A441" s="41" t="n"/>
      <c r="B441" s="41" t="n"/>
      <c r="C441" s="24" t="n"/>
      <c r="D441" s="41" t="n"/>
      <c r="E441" s="41" t="n"/>
      <c r="F441" s="19">
        <f>IF(COUNTA(A441:E441)=0,"",IF(OR(ISNUMBER(SEARCH("소계",B441)),ISNUMBER(SEARCH("합계",B441))),"",TRIM(IF(B441="","이름 없음 ","")&amp;IF(A441="","받은 가족 없음 ","")&amp;IF(C441="","금액 없음 ",IF(ISNUMBER(C441),IF(C441&lt;1000,"금액 확인 ",""),"금액 확인 "))&amp;IF(AND(B441&lt;&gt;"",COUNTIFS($A$2:$A$1001,A441,$B$2:$B$1001,B441,$C$2:$C$1001,C441)&gt;1),"중복 의심",""))))</f>
        <v/>
      </c>
      <c r="G441" s="25">
        <f>IF(OR(COUNTA(A441:E441)=0,OR(ISNUMBER(SEARCH("소계",B441)),ISNUMBER(SEARCH("합계",B441)))),"",1+COUNTIF($B$1:B440,"*소계*"))</f>
        <v/>
      </c>
      <c r="H441">
        <f>IF(AND(A441&lt;&gt;"",A441=가족별!$B$1,G441&lt;&gt;""),COUNTIFS($A$2:A441,가족별!$B$1,$G$2:G441,"&gt;0"),"")</f>
        <v/>
      </c>
      <c r="I441">
        <f>IF(ISNUMBER(SEARCH("소계",B441)),COUNTIF($B$2:B441,"*소계*"),"")</f>
        <v/>
      </c>
      <c r="J441">
        <f>IF(F441="",0,1)</f>
        <v/>
      </c>
    </row>
    <row r="442">
      <c r="A442" s="41" t="n"/>
      <c r="B442" s="41" t="n"/>
      <c r="C442" s="24" t="n"/>
      <c r="D442" s="41" t="n"/>
      <c r="E442" s="41" t="n"/>
      <c r="F442" s="19">
        <f>IF(COUNTA(A442:E442)=0,"",IF(OR(ISNUMBER(SEARCH("소계",B442)),ISNUMBER(SEARCH("합계",B442))),"",TRIM(IF(B442="","이름 없음 ","")&amp;IF(A442="","받은 가족 없음 ","")&amp;IF(C442="","금액 없음 ",IF(ISNUMBER(C442),IF(C442&lt;1000,"금액 확인 ",""),"금액 확인 "))&amp;IF(AND(B442&lt;&gt;"",COUNTIFS($A$2:$A$1001,A442,$B$2:$B$1001,B442,$C$2:$C$1001,C442)&gt;1),"중복 의심",""))))</f>
        <v/>
      </c>
      <c r="G442" s="25">
        <f>IF(OR(COUNTA(A442:E442)=0,OR(ISNUMBER(SEARCH("소계",B442)),ISNUMBER(SEARCH("합계",B442)))),"",1+COUNTIF($B$1:B441,"*소계*"))</f>
        <v/>
      </c>
      <c r="H442">
        <f>IF(AND(A442&lt;&gt;"",A442=가족별!$B$1,G442&lt;&gt;""),COUNTIFS($A$2:A442,가족별!$B$1,$G$2:G442,"&gt;0"),"")</f>
        <v/>
      </c>
      <c r="I442">
        <f>IF(ISNUMBER(SEARCH("소계",B442)),COUNTIF($B$2:B442,"*소계*"),"")</f>
        <v/>
      </c>
      <c r="J442">
        <f>IF(F442="",0,1)</f>
        <v/>
      </c>
    </row>
    <row r="443">
      <c r="A443" s="41" t="n"/>
      <c r="B443" s="41" t="n"/>
      <c r="C443" s="24" t="n"/>
      <c r="D443" s="41" t="n"/>
      <c r="E443" s="41" t="n"/>
      <c r="F443" s="19">
        <f>IF(COUNTA(A443:E443)=0,"",IF(OR(ISNUMBER(SEARCH("소계",B443)),ISNUMBER(SEARCH("합계",B443))),"",TRIM(IF(B443="","이름 없음 ","")&amp;IF(A443="","받은 가족 없음 ","")&amp;IF(C443="","금액 없음 ",IF(ISNUMBER(C443),IF(C443&lt;1000,"금액 확인 ",""),"금액 확인 "))&amp;IF(AND(B443&lt;&gt;"",COUNTIFS($A$2:$A$1001,A443,$B$2:$B$1001,B443,$C$2:$C$1001,C443)&gt;1),"중복 의심",""))))</f>
        <v/>
      </c>
      <c r="G443" s="25">
        <f>IF(OR(COUNTA(A443:E443)=0,OR(ISNUMBER(SEARCH("소계",B443)),ISNUMBER(SEARCH("합계",B443)))),"",1+COUNTIF($B$1:B442,"*소계*"))</f>
        <v/>
      </c>
      <c r="H443">
        <f>IF(AND(A443&lt;&gt;"",A443=가족별!$B$1,G443&lt;&gt;""),COUNTIFS($A$2:A443,가족별!$B$1,$G$2:G443,"&gt;0"),"")</f>
        <v/>
      </c>
      <c r="I443">
        <f>IF(ISNUMBER(SEARCH("소계",B443)),COUNTIF($B$2:B443,"*소계*"),"")</f>
        <v/>
      </c>
      <c r="J443">
        <f>IF(F443="",0,1)</f>
        <v/>
      </c>
    </row>
    <row r="444">
      <c r="A444" s="41" t="n"/>
      <c r="B444" s="41" t="n"/>
      <c r="C444" s="24" t="n"/>
      <c r="D444" s="41" t="n"/>
      <c r="E444" s="41" t="n"/>
      <c r="F444" s="19">
        <f>IF(COUNTA(A444:E444)=0,"",IF(OR(ISNUMBER(SEARCH("소계",B444)),ISNUMBER(SEARCH("합계",B444))),"",TRIM(IF(B444="","이름 없음 ","")&amp;IF(A444="","받은 가족 없음 ","")&amp;IF(C444="","금액 없음 ",IF(ISNUMBER(C444),IF(C444&lt;1000,"금액 확인 ",""),"금액 확인 "))&amp;IF(AND(B444&lt;&gt;"",COUNTIFS($A$2:$A$1001,A444,$B$2:$B$1001,B444,$C$2:$C$1001,C444)&gt;1),"중복 의심",""))))</f>
        <v/>
      </c>
      <c r="G444" s="25">
        <f>IF(OR(COUNTA(A444:E444)=0,OR(ISNUMBER(SEARCH("소계",B444)),ISNUMBER(SEARCH("합계",B444)))),"",1+COUNTIF($B$1:B443,"*소계*"))</f>
        <v/>
      </c>
      <c r="H444">
        <f>IF(AND(A444&lt;&gt;"",A444=가족별!$B$1,G444&lt;&gt;""),COUNTIFS($A$2:A444,가족별!$B$1,$G$2:G444,"&gt;0"),"")</f>
        <v/>
      </c>
      <c r="I444">
        <f>IF(ISNUMBER(SEARCH("소계",B444)),COUNTIF($B$2:B444,"*소계*"),"")</f>
        <v/>
      </c>
      <c r="J444">
        <f>IF(F444="",0,1)</f>
        <v/>
      </c>
    </row>
    <row r="445">
      <c r="A445" s="41" t="n"/>
      <c r="B445" s="41" t="n"/>
      <c r="C445" s="24" t="n"/>
      <c r="D445" s="41" t="n"/>
      <c r="E445" s="41" t="n"/>
      <c r="F445" s="19">
        <f>IF(COUNTA(A445:E445)=0,"",IF(OR(ISNUMBER(SEARCH("소계",B445)),ISNUMBER(SEARCH("합계",B445))),"",TRIM(IF(B445="","이름 없음 ","")&amp;IF(A445="","받은 가족 없음 ","")&amp;IF(C445="","금액 없음 ",IF(ISNUMBER(C445),IF(C445&lt;1000,"금액 확인 ",""),"금액 확인 "))&amp;IF(AND(B445&lt;&gt;"",COUNTIFS($A$2:$A$1001,A445,$B$2:$B$1001,B445,$C$2:$C$1001,C445)&gt;1),"중복 의심",""))))</f>
        <v/>
      </c>
      <c r="G445" s="25">
        <f>IF(OR(COUNTA(A445:E445)=0,OR(ISNUMBER(SEARCH("소계",B445)),ISNUMBER(SEARCH("합계",B445)))),"",1+COUNTIF($B$1:B444,"*소계*"))</f>
        <v/>
      </c>
      <c r="H445">
        <f>IF(AND(A445&lt;&gt;"",A445=가족별!$B$1,G445&lt;&gt;""),COUNTIFS($A$2:A445,가족별!$B$1,$G$2:G445,"&gt;0"),"")</f>
        <v/>
      </c>
      <c r="I445">
        <f>IF(ISNUMBER(SEARCH("소계",B445)),COUNTIF($B$2:B445,"*소계*"),"")</f>
        <v/>
      </c>
      <c r="J445">
        <f>IF(F445="",0,1)</f>
        <v/>
      </c>
    </row>
    <row r="446">
      <c r="A446" s="41" t="n"/>
      <c r="B446" s="41" t="n"/>
      <c r="C446" s="24" t="n"/>
      <c r="D446" s="41" t="n"/>
      <c r="E446" s="41" t="n"/>
      <c r="F446" s="19">
        <f>IF(COUNTA(A446:E446)=0,"",IF(OR(ISNUMBER(SEARCH("소계",B446)),ISNUMBER(SEARCH("합계",B446))),"",TRIM(IF(B446="","이름 없음 ","")&amp;IF(A446="","받은 가족 없음 ","")&amp;IF(C446="","금액 없음 ",IF(ISNUMBER(C446),IF(C446&lt;1000,"금액 확인 ",""),"금액 확인 "))&amp;IF(AND(B446&lt;&gt;"",COUNTIFS($A$2:$A$1001,A446,$B$2:$B$1001,B446,$C$2:$C$1001,C446)&gt;1),"중복 의심",""))))</f>
        <v/>
      </c>
      <c r="G446" s="25">
        <f>IF(OR(COUNTA(A446:E446)=0,OR(ISNUMBER(SEARCH("소계",B446)),ISNUMBER(SEARCH("합계",B446)))),"",1+COUNTIF($B$1:B445,"*소계*"))</f>
        <v/>
      </c>
      <c r="H446">
        <f>IF(AND(A446&lt;&gt;"",A446=가족별!$B$1,G446&lt;&gt;""),COUNTIFS($A$2:A446,가족별!$B$1,$G$2:G446,"&gt;0"),"")</f>
        <v/>
      </c>
      <c r="I446">
        <f>IF(ISNUMBER(SEARCH("소계",B446)),COUNTIF($B$2:B446,"*소계*"),"")</f>
        <v/>
      </c>
      <c r="J446">
        <f>IF(F446="",0,1)</f>
        <v/>
      </c>
    </row>
    <row r="447">
      <c r="A447" s="41" t="n"/>
      <c r="B447" s="41" t="n"/>
      <c r="C447" s="24" t="n"/>
      <c r="D447" s="41" t="n"/>
      <c r="E447" s="41" t="n"/>
      <c r="F447" s="19">
        <f>IF(COUNTA(A447:E447)=0,"",IF(OR(ISNUMBER(SEARCH("소계",B447)),ISNUMBER(SEARCH("합계",B447))),"",TRIM(IF(B447="","이름 없음 ","")&amp;IF(A447="","받은 가족 없음 ","")&amp;IF(C447="","금액 없음 ",IF(ISNUMBER(C447),IF(C447&lt;1000,"금액 확인 ",""),"금액 확인 "))&amp;IF(AND(B447&lt;&gt;"",COUNTIFS($A$2:$A$1001,A447,$B$2:$B$1001,B447,$C$2:$C$1001,C447)&gt;1),"중복 의심",""))))</f>
        <v/>
      </c>
      <c r="G447" s="25">
        <f>IF(OR(COUNTA(A447:E447)=0,OR(ISNUMBER(SEARCH("소계",B447)),ISNUMBER(SEARCH("합계",B447)))),"",1+COUNTIF($B$1:B446,"*소계*"))</f>
        <v/>
      </c>
      <c r="H447">
        <f>IF(AND(A447&lt;&gt;"",A447=가족별!$B$1,G447&lt;&gt;""),COUNTIFS($A$2:A447,가족별!$B$1,$G$2:G447,"&gt;0"),"")</f>
        <v/>
      </c>
      <c r="I447">
        <f>IF(ISNUMBER(SEARCH("소계",B447)),COUNTIF($B$2:B447,"*소계*"),"")</f>
        <v/>
      </c>
      <c r="J447">
        <f>IF(F447="",0,1)</f>
        <v/>
      </c>
    </row>
    <row r="448">
      <c r="A448" s="41" t="n"/>
      <c r="B448" s="41" t="n"/>
      <c r="C448" s="24" t="n"/>
      <c r="D448" s="41" t="n"/>
      <c r="E448" s="41" t="n"/>
      <c r="F448" s="19">
        <f>IF(COUNTA(A448:E448)=0,"",IF(OR(ISNUMBER(SEARCH("소계",B448)),ISNUMBER(SEARCH("합계",B448))),"",TRIM(IF(B448="","이름 없음 ","")&amp;IF(A448="","받은 가족 없음 ","")&amp;IF(C448="","금액 없음 ",IF(ISNUMBER(C448),IF(C448&lt;1000,"금액 확인 ",""),"금액 확인 "))&amp;IF(AND(B448&lt;&gt;"",COUNTIFS($A$2:$A$1001,A448,$B$2:$B$1001,B448,$C$2:$C$1001,C448)&gt;1),"중복 의심",""))))</f>
        <v/>
      </c>
      <c r="G448" s="25">
        <f>IF(OR(COUNTA(A448:E448)=0,OR(ISNUMBER(SEARCH("소계",B448)),ISNUMBER(SEARCH("합계",B448)))),"",1+COUNTIF($B$1:B447,"*소계*"))</f>
        <v/>
      </c>
      <c r="H448">
        <f>IF(AND(A448&lt;&gt;"",A448=가족별!$B$1,G448&lt;&gt;""),COUNTIFS($A$2:A448,가족별!$B$1,$G$2:G448,"&gt;0"),"")</f>
        <v/>
      </c>
      <c r="I448">
        <f>IF(ISNUMBER(SEARCH("소계",B448)),COUNTIF($B$2:B448,"*소계*"),"")</f>
        <v/>
      </c>
      <c r="J448">
        <f>IF(F448="",0,1)</f>
        <v/>
      </c>
    </row>
    <row r="449">
      <c r="A449" s="41" t="n"/>
      <c r="B449" s="41" t="n"/>
      <c r="C449" s="24" t="n"/>
      <c r="D449" s="41" t="n"/>
      <c r="E449" s="41" t="n"/>
      <c r="F449" s="19">
        <f>IF(COUNTA(A449:E449)=0,"",IF(OR(ISNUMBER(SEARCH("소계",B449)),ISNUMBER(SEARCH("합계",B449))),"",TRIM(IF(B449="","이름 없음 ","")&amp;IF(A449="","받은 가족 없음 ","")&amp;IF(C449="","금액 없음 ",IF(ISNUMBER(C449),IF(C449&lt;1000,"금액 확인 ",""),"금액 확인 "))&amp;IF(AND(B449&lt;&gt;"",COUNTIFS($A$2:$A$1001,A449,$B$2:$B$1001,B449,$C$2:$C$1001,C449)&gt;1),"중복 의심",""))))</f>
        <v/>
      </c>
      <c r="G449" s="25">
        <f>IF(OR(COUNTA(A449:E449)=0,OR(ISNUMBER(SEARCH("소계",B449)),ISNUMBER(SEARCH("합계",B449)))),"",1+COUNTIF($B$1:B448,"*소계*"))</f>
        <v/>
      </c>
      <c r="H449">
        <f>IF(AND(A449&lt;&gt;"",A449=가족별!$B$1,G449&lt;&gt;""),COUNTIFS($A$2:A449,가족별!$B$1,$G$2:G449,"&gt;0"),"")</f>
        <v/>
      </c>
      <c r="I449">
        <f>IF(ISNUMBER(SEARCH("소계",B449)),COUNTIF($B$2:B449,"*소계*"),"")</f>
        <v/>
      </c>
      <c r="J449">
        <f>IF(F449="",0,1)</f>
        <v/>
      </c>
    </row>
    <row r="450">
      <c r="A450" s="41" t="n"/>
      <c r="B450" s="41" t="n"/>
      <c r="C450" s="24" t="n"/>
      <c r="D450" s="41" t="n"/>
      <c r="E450" s="41" t="n"/>
      <c r="F450" s="19">
        <f>IF(COUNTA(A450:E450)=0,"",IF(OR(ISNUMBER(SEARCH("소계",B450)),ISNUMBER(SEARCH("합계",B450))),"",TRIM(IF(B450="","이름 없음 ","")&amp;IF(A450="","받은 가족 없음 ","")&amp;IF(C450="","금액 없음 ",IF(ISNUMBER(C450),IF(C450&lt;1000,"금액 확인 ",""),"금액 확인 "))&amp;IF(AND(B450&lt;&gt;"",COUNTIFS($A$2:$A$1001,A450,$B$2:$B$1001,B450,$C$2:$C$1001,C450)&gt;1),"중복 의심",""))))</f>
        <v/>
      </c>
      <c r="G450" s="25">
        <f>IF(OR(COUNTA(A450:E450)=0,OR(ISNUMBER(SEARCH("소계",B450)),ISNUMBER(SEARCH("합계",B450)))),"",1+COUNTIF($B$1:B449,"*소계*"))</f>
        <v/>
      </c>
      <c r="H450">
        <f>IF(AND(A450&lt;&gt;"",A450=가족별!$B$1,G450&lt;&gt;""),COUNTIFS($A$2:A450,가족별!$B$1,$G$2:G450,"&gt;0"),"")</f>
        <v/>
      </c>
      <c r="I450">
        <f>IF(ISNUMBER(SEARCH("소계",B450)),COUNTIF($B$2:B450,"*소계*"),"")</f>
        <v/>
      </c>
      <c r="J450">
        <f>IF(F450="",0,1)</f>
        <v/>
      </c>
    </row>
    <row r="451">
      <c r="A451" s="41" t="n"/>
      <c r="B451" s="41" t="n"/>
      <c r="C451" s="24" t="n"/>
      <c r="D451" s="41" t="n"/>
      <c r="E451" s="41" t="n"/>
      <c r="F451" s="19">
        <f>IF(COUNTA(A451:E451)=0,"",IF(OR(ISNUMBER(SEARCH("소계",B451)),ISNUMBER(SEARCH("합계",B451))),"",TRIM(IF(B451="","이름 없음 ","")&amp;IF(A451="","받은 가족 없음 ","")&amp;IF(C451="","금액 없음 ",IF(ISNUMBER(C451),IF(C451&lt;1000,"금액 확인 ",""),"금액 확인 "))&amp;IF(AND(B451&lt;&gt;"",COUNTIFS($A$2:$A$1001,A451,$B$2:$B$1001,B451,$C$2:$C$1001,C451)&gt;1),"중복 의심",""))))</f>
        <v/>
      </c>
      <c r="G451" s="25">
        <f>IF(OR(COUNTA(A451:E451)=0,OR(ISNUMBER(SEARCH("소계",B451)),ISNUMBER(SEARCH("합계",B451)))),"",1+COUNTIF($B$1:B450,"*소계*"))</f>
        <v/>
      </c>
      <c r="H451">
        <f>IF(AND(A451&lt;&gt;"",A451=가족별!$B$1,G451&lt;&gt;""),COUNTIFS($A$2:A451,가족별!$B$1,$G$2:G451,"&gt;0"),"")</f>
        <v/>
      </c>
      <c r="I451">
        <f>IF(ISNUMBER(SEARCH("소계",B451)),COUNTIF($B$2:B451,"*소계*"),"")</f>
        <v/>
      </c>
      <c r="J451">
        <f>IF(F451="",0,1)</f>
        <v/>
      </c>
    </row>
    <row r="452">
      <c r="A452" s="41" t="n"/>
      <c r="B452" s="41" t="n"/>
      <c r="C452" s="24" t="n"/>
      <c r="D452" s="41" t="n"/>
      <c r="E452" s="41" t="n"/>
      <c r="F452" s="19">
        <f>IF(COUNTA(A452:E452)=0,"",IF(OR(ISNUMBER(SEARCH("소계",B452)),ISNUMBER(SEARCH("합계",B452))),"",TRIM(IF(B452="","이름 없음 ","")&amp;IF(A452="","받은 가족 없음 ","")&amp;IF(C452="","금액 없음 ",IF(ISNUMBER(C452),IF(C452&lt;1000,"금액 확인 ",""),"금액 확인 "))&amp;IF(AND(B452&lt;&gt;"",COUNTIFS($A$2:$A$1001,A452,$B$2:$B$1001,B452,$C$2:$C$1001,C452)&gt;1),"중복 의심",""))))</f>
        <v/>
      </c>
      <c r="G452" s="25">
        <f>IF(OR(COUNTA(A452:E452)=0,OR(ISNUMBER(SEARCH("소계",B452)),ISNUMBER(SEARCH("합계",B452)))),"",1+COUNTIF($B$1:B451,"*소계*"))</f>
        <v/>
      </c>
      <c r="H452">
        <f>IF(AND(A452&lt;&gt;"",A452=가족별!$B$1,G452&lt;&gt;""),COUNTIFS($A$2:A452,가족별!$B$1,$G$2:G452,"&gt;0"),"")</f>
        <v/>
      </c>
      <c r="I452">
        <f>IF(ISNUMBER(SEARCH("소계",B452)),COUNTIF($B$2:B452,"*소계*"),"")</f>
        <v/>
      </c>
      <c r="J452">
        <f>IF(F452="",0,1)</f>
        <v/>
      </c>
    </row>
    <row r="453">
      <c r="A453" s="41" t="n"/>
      <c r="B453" s="41" t="n"/>
      <c r="C453" s="24" t="n"/>
      <c r="D453" s="41" t="n"/>
      <c r="E453" s="41" t="n"/>
      <c r="F453" s="19">
        <f>IF(COUNTA(A453:E453)=0,"",IF(OR(ISNUMBER(SEARCH("소계",B453)),ISNUMBER(SEARCH("합계",B453))),"",TRIM(IF(B453="","이름 없음 ","")&amp;IF(A453="","받은 가족 없음 ","")&amp;IF(C453="","금액 없음 ",IF(ISNUMBER(C453),IF(C453&lt;1000,"금액 확인 ",""),"금액 확인 "))&amp;IF(AND(B453&lt;&gt;"",COUNTIFS($A$2:$A$1001,A453,$B$2:$B$1001,B453,$C$2:$C$1001,C453)&gt;1),"중복 의심",""))))</f>
        <v/>
      </c>
      <c r="G453" s="25">
        <f>IF(OR(COUNTA(A453:E453)=0,OR(ISNUMBER(SEARCH("소계",B453)),ISNUMBER(SEARCH("합계",B453)))),"",1+COUNTIF($B$1:B452,"*소계*"))</f>
        <v/>
      </c>
      <c r="H453">
        <f>IF(AND(A453&lt;&gt;"",A453=가족별!$B$1,G453&lt;&gt;""),COUNTIFS($A$2:A453,가족별!$B$1,$G$2:G453,"&gt;0"),"")</f>
        <v/>
      </c>
      <c r="I453">
        <f>IF(ISNUMBER(SEARCH("소계",B453)),COUNTIF($B$2:B453,"*소계*"),"")</f>
        <v/>
      </c>
      <c r="J453">
        <f>IF(F453="",0,1)</f>
        <v/>
      </c>
    </row>
    <row r="454">
      <c r="A454" s="41" t="n"/>
      <c r="B454" s="41" t="n"/>
      <c r="C454" s="24" t="n"/>
      <c r="D454" s="41" t="n"/>
      <c r="E454" s="41" t="n"/>
      <c r="F454" s="19">
        <f>IF(COUNTA(A454:E454)=0,"",IF(OR(ISNUMBER(SEARCH("소계",B454)),ISNUMBER(SEARCH("합계",B454))),"",TRIM(IF(B454="","이름 없음 ","")&amp;IF(A454="","받은 가족 없음 ","")&amp;IF(C454="","금액 없음 ",IF(ISNUMBER(C454),IF(C454&lt;1000,"금액 확인 ",""),"금액 확인 "))&amp;IF(AND(B454&lt;&gt;"",COUNTIFS($A$2:$A$1001,A454,$B$2:$B$1001,B454,$C$2:$C$1001,C454)&gt;1),"중복 의심",""))))</f>
        <v/>
      </c>
      <c r="G454" s="25">
        <f>IF(OR(COUNTA(A454:E454)=0,OR(ISNUMBER(SEARCH("소계",B454)),ISNUMBER(SEARCH("합계",B454)))),"",1+COUNTIF($B$1:B453,"*소계*"))</f>
        <v/>
      </c>
      <c r="H454">
        <f>IF(AND(A454&lt;&gt;"",A454=가족별!$B$1,G454&lt;&gt;""),COUNTIFS($A$2:A454,가족별!$B$1,$G$2:G454,"&gt;0"),"")</f>
        <v/>
      </c>
      <c r="I454">
        <f>IF(ISNUMBER(SEARCH("소계",B454)),COUNTIF($B$2:B454,"*소계*"),"")</f>
        <v/>
      </c>
      <c r="J454">
        <f>IF(F454="",0,1)</f>
        <v/>
      </c>
    </row>
    <row r="455">
      <c r="A455" s="41" t="n"/>
      <c r="B455" s="41" t="n"/>
      <c r="C455" s="24" t="n"/>
      <c r="D455" s="41" t="n"/>
      <c r="E455" s="41" t="n"/>
      <c r="F455" s="19">
        <f>IF(COUNTA(A455:E455)=0,"",IF(OR(ISNUMBER(SEARCH("소계",B455)),ISNUMBER(SEARCH("합계",B455))),"",TRIM(IF(B455="","이름 없음 ","")&amp;IF(A455="","받은 가족 없음 ","")&amp;IF(C455="","금액 없음 ",IF(ISNUMBER(C455),IF(C455&lt;1000,"금액 확인 ",""),"금액 확인 "))&amp;IF(AND(B455&lt;&gt;"",COUNTIFS($A$2:$A$1001,A455,$B$2:$B$1001,B455,$C$2:$C$1001,C455)&gt;1),"중복 의심",""))))</f>
        <v/>
      </c>
      <c r="G455" s="25">
        <f>IF(OR(COUNTA(A455:E455)=0,OR(ISNUMBER(SEARCH("소계",B455)),ISNUMBER(SEARCH("합계",B455)))),"",1+COUNTIF($B$1:B454,"*소계*"))</f>
        <v/>
      </c>
      <c r="H455">
        <f>IF(AND(A455&lt;&gt;"",A455=가족별!$B$1,G455&lt;&gt;""),COUNTIFS($A$2:A455,가족별!$B$1,$G$2:G455,"&gt;0"),"")</f>
        <v/>
      </c>
      <c r="I455">
        <f>IF(ISNUMBER(SEARCH("소계",B455)),COUNTIF($B$2:B455,"*소계*"),"")</f>
        <v/>
      </c>
      <c r="J455">
        <f>IF(F455="",0,1)</f>
        <v/>
      </c>
    </row>
    <row r="456">
      <c r="A456" s="41" t="n"/>
      <c r="B456" s="41" t="n"/>
      <c r="C456" s="24" t="n"/>
      <c r="D456" s="41" t="n"/>
      <c r="E456" s="41" t="n"/>
      <c r="F456" s="19">
        <f>IF(COUNTA(A456:E456)=0,"",IF(OR(ISNUMBER(SEARCH("소계",B456)),ISNUMBER(SEARCH("합계",B456))),"",TRIM(IF(B456="","이름 없음 ","")&amp;IF(A456="","받은 가족 없음 ","")&amp;IF(C456="","금액 없음 ",IF(ISNUMBER(C456),IF(C456&lt;1000,"금액 확인 ",""),"금액 확인 "))&amp;IF(AND(B456&lt;&gt;"",COUNTIFS($A$2:$A$1001,A456,$B$2:$B$1001,B456,$C$2:$C$1001,C456)&gt;1),"중복 의심",""))))</f>
        <v/>
      </c>
      <c r="G456" s="25">
        <f>IF(OR(COUNTA(A456:E456)=0,OR(ISNUMBER(SEARCH("소계",B456)),ISNUMBER(SEARCH("합계",B456)))),"",1+COUNTIF($B$1:B455,"*소계*"))</f>
        <v/>
      </c>
      <c r="H456">
        <f>IF(AND(A456&lt;&gt;"",A456=가족별!$B$1,G456&lt;&gt;""),COUNTIFS($A$2:A456,가족별!$B$1,$G$2:G456,"&gt;0"),"")</f>
        <v/>
      </c>
      <c r="I456">
        <f>IF(ISNUMBER(SEARCH("소계",B456)),COUNTIF($B$2:B456,"*소계*"),"")</f>
        <v/>
      </c>
      <c r="J456">
        <f>IF(F456="",0,1)</f>
        <v/>
      </c>
    </row>
    <row r="457">
      <c r="A457" s="41" t="n"/>
      <c r="B457" s="41" t="n"/>
      <c r="C457" s="24" t="n"/>
      <c r="D457" s="41" t="n"/>
      <c r="E457" s="41" t="n"/>
      <c r="F457" s="19">
        <f>IF(COUNTA(A457:E457)=0,"",IF(OR(ISNUMBER(SEARCH("소계",B457)),ISNUMBER(SEARCH("합계",B457))),"",TRIM(IF(B457="","이름 없음 ","")&amp;IF(A457="","받은 가족 없음 ","")&amp;IF(C457="","금액 없음 ",IF(ISNUMBER(C457),IF(C457&lt;1000,"금액 확인 ",""),"금액 확인 "))&amp;IF(AND(B457&lt;&gt;"",COUNTIFS($A$2:$A$1001,A457,$B$2:$B$1001,B457,$C$2:$C$1001,C457)&gt;1),"중복 의심",""))))</f>
        <v/>
      </c>
      <c r="G457" s="25">
        <f>IF(OR(COUNTA(A457:E457)=0,OR(ISNUMBER(SEARCH("소계",B457)),ISNUMBER(SEARCH("합계",B457)))),"",1+COUNTIF($B$1:B456,"*소계*"))</f>
        <v/>
      </c>
      <c r="H457">
        <f>IF(AND(A457&lt;&gt;"",A457=가족별!$B$1,G457&lt;&gt;""),COUNTIFS($A$2:A457,가족별!$B$1,$G$2:G457,"&gt;0"),"")</f>
        <v/>
      </c>
      <c r="I457">
        <f>IF(ISNUMBER(SEARCH("소계",B457)),COUNTIF($B$2:B457,"*소계*"),"")</f>
        <v/>
      </c>
      <c r="J457">
        <f>IF(F457="",0,1)</f>
        <v/>
      </c>
    </row>
    <row r="458">
      <c r="A458" s="41" t="n"/>
      <c r="B458" s="41" t="n"/>
      <c r="C458" s="24" t="n"/>
      <c r="D458" s="41" t="n"/>
      <c r="E458" s="41" t="n"/>
      <c r="F458" s="19">
        <f>IF(COUNTA(A458:E458)=0,"",IF(OR(ISNUMBER(SEARCH("소계",B458)),ISNUMBER(SEARCH("합계",B458))),"",TRIM(IF(B458="","이름 없음 ","")&amp;IF(A458="","받은 가족 없음 ","")&amp;IF(C458="","금액 없음 ",IF(ISNUMBER(C458),IF(C458&lt;1000,"금액 확인 ",""),"금액 확인 "))&amp;IF(AND(B458&lt;&gt;"",COUNTIFS($A$2:$A$1001,A458,$B$2:$B$1001,B458,$C$2:$C$1001,C458)&gt;1),"중복 의심",""))))</f>
        <v/>
      </c>
      <c r="G458" s="25">
        <f>IF(OR(COUNTA(A458:E458)=0,OR(ISNUMBER(SEARCH("소계",B458)),ISNUMBER(SEARCH("합계",B458)))),"",1+COUNTIF($B$1:B457,"*소계*"))</f>
        <v/>
      </c>
      <c r="H458">
        <f>IF(AND(A458&lt;&gt;"",A458=가족별!$B$1,G458&lt;&gt;""),COUNTIFS($A$2:A458,가족별!$B$1,$G$2:G458,"&gt;0"),"")</f>
        <v/>
      </c>
      <c r="I458">
        <f>IF(ISNUMBER(SEARCH("소계",B458)),COUNTIF($B$2:B458,"*소계*"),"")</f>
        <v/>
      </c>
      <c r="J458">
        <f>IF(F458="",0,1)</f>
        <v/>
      </c>
    </row>
    <row r="459">
      <c r="A459" s="41" t="n"/>
      <c r="B459" s="41" t="n"/>
      <c r="C459" s="24" t="n"/>
      <c r="D459" s="41" t="n"/>
      <c r="E459" s="41" t="n"/>
      <c r="F459" s="19">
        <f>IF(COUNTA(A459:E459)=0,"",IF(OR(ISNUMBER(SEARCH("소계",B459)),ISNUMBER(SEARCH("합계",B459))),"",TRIM(IF(B459="","이름 없음 ","")&amp;IF(A459="","받은 가족 없음 ","")&amp;IF(C459="","금액 없음 ",IF(ISNUMBER(C459),IF(C459&lt;1000,"금액 확인 ",""),"금액 확인 "))&amp;IF(AND(B459&lt;&gt;"",COUNTIFS($A$2:$A$1001,A459,$B$2:$B$1001,B459,$C$2:$C$1001,C459)&gt;1),"중복 의심",""))))</f>
        <v/>
      </c>
      <c r="G459" s="25">
        <f>IF(OR(COUNTA(A459:E459)=0,OR(ISNUMBER(SEARCH("소계",B459)),ISNUMBER(SEARCH("합계",B459)))),"",1+COUNTIF($B$1:B458,"*소계*"))</f>
        <v/>
      </c>
      <c r="H459">
        <f>IF(AND(A459&lt;&gt;"",A459=가족별!$B$1,G459&lt;&gt;""),COUNTIFS($A$2:A459,가족별!$B$1,$G$2:G459,"&gt;0"),"")</f>
        <v/>
      </c>
      <c r="I459">
        <f>IF(ISNUMBER(SEARCH("소계",B459)),COUNTIF($B$2:B459,"*소계*"),"")</f>
        <v/>
      </c>
      <c r="J459">
        <f>IF(F459="",0,1)</f>
        <v/>
      </c>
    </row>
    <row r="460">
      <c r="A460" s="41" t="n"/>
      <c r="B460" s="41" t="n"/>
      <c r="C460" s="24" t="n"/>
      <c r="D460" s="41" t="n"/>
      <c r="E460" s="41" t="n"/>
      <c r="F460" s="19">
        <f>IF(COUNTA(A460:E460)=0,"",IF(OR(ISNUMBER(SEARCH("소계",B460)),ISNUMBER(SEARCH("합계",B460))),"",TRIM(IF(B460="","이름 없음 ","")&amp;IF(A460="","받은 가족 없음 ","")&amp;IF(C460="","금액 없음 ",IF(ISNUMBER(C460),IF(C460&lt;1000,"금액 확인 ",""),"금액 확인 "))&amp;IF(AND(B460&lt;&gt;"",COUNTIFS($A$2:$A$1001,A460,$B$2:$B$1001,B460,$C$2:$C$1001,C460)&gt;1),"중복 의심",""))))</f>
        <v/>
      </c>
      <c r="G460" s="25">
        <f>IF(OR(COUNTA(A460:E460)=0,OR(ISNUMBER(SEARCH("소계",B460)),ISNUMBER(SEARCH("합계",B460)))),"",1+COUNTIF($B$1:B459,"*소계*"))</f>
        <v/>
      </c>
      <c r="H460">
        <f>IF(AND(A460&lt;&gt;"",A460=가족별!$B$1,G460&lt;&gt;""),COUNTIFS($A$2:A460,가족별!$B$1,$G$2:G460,"&gt;0"),"")</f>
        <v/>
      </c>
      <c r="I460">
        <f>IF(ISNUMBER(SEARCH("소계",B460)),COUNTIF($B$2:B460,"*소계*"),"")</f>
        <v/>
      </c>
      <c r="J460">
        <f>IF(F460="",0,1)</f>
        <v/>
      </c>
    </row>
    <row r="461">
      <c r="A461" s="41" t="n"/>
      <c r="B461" s="41" t="n"/>
      <c r="C461" s="24" t="n"/>
      <c r="D461" s="41" t="n"/>
      <c r="E461" s="41" t="n"/>
      <c r="F461" s="19">
        <f>IF(COUNTA(A461:E461)=0,"",IF(OR(ISNUMBER(SEARCH("소계",B461)),ISNUMBER(SEARCH("합계",B461))),"",TRIM(IF(B461="","이름 없음 ","")&amp;IF(A461="","받은 가족 없음 ","")&amp;IF(C461="","금액 없음 ",IF(ISNUMBER(C461),IF(C461&lt;1000,"금액 확인 ",""),"금액 확인 "))&amp;IF(AND(B461&lt;&gt;"",COUNTIFS($A$2:$A$1001,A461,$B$2:$B$1001,B461,$C$2:$C$1001,C461)&gt;1),"중복 의심",""))))</f>
        <v/>
      </c>
      <c r="G461" s="25">
        <f>IF(OR(COUNTA(A461:E461)=0,OR(ISNUMBER(SEARCH("소계",B461)),ISNUMBER(SEARCH("합계",B461)))),"",1+COUNTIF($B$1:B460,"*소계*"))</f>
        <v/>
      </c>
      <c r="H461">
        <f>IF(AND(A461&lt;&gt;"",A461=가족별!$B$1,G461&lt;&gt;""),COUNTIFS($A$2:A461,가족별!$B$1,$G$2:G461,"&gt;0"),"")</f>
        <v/>
      </c>
      <c r="I461">
        <f>IF(ISNUMBER(SEARCH("소계",B461)),COUNTIF($B$2:B461,"*소계*"),"")</f>
        <v/>
      </c>
      <c r="J461">
        <f>IF(F461="",0,1)</f>
        <v/>
      </c>
    </row>
    <row r="462">
      <c r="A462" s="41" t="n"/>
      <c r="B462" s="41" t="n"/>
      <c r="C462" s="24" t="n"/>
      <c r="D462" s="41" t="n"/>
      <c r="E462" s="41" t="n"/>
      <c r="F462" s="19">
        <f>IF(COUNTA(A462:E462)=0,"",IF(OR(ISNUMBER(SEARCH("소계",B462)),ISNUMBER(SEARCH("합계",B462))),"",TRIM(IF(B462="","이름 없음 ","")&amp;IF(A462="","받은 가족 없음 ","")&amp;IF(C462="","금액 없음 ",IF(ISNUMBER(C462),IF(C462&lt;1000,"금액 확인 ",""),"금액 확인 "))&amp;IF(AND(B462&lt;&gt;"",COUNTIFS($A$2:$A$1001,A462,$B$2:$B$1001,B462,$C$2:$C$1001,C462)&gt;1),"중복 의심",""))))</f>
        <v/>
      </c>
      <c r="G462" s="25">
        <f>IF(OR(COUNTA(A462:E462)=0,OR(ISNUMBER(SEARCH("소계",B462)),ISNUMBER(SEARCH("합계",B462)))),"",1+COUNTIF($B$1:B461,"*소계*"))</f>
        <v/>
      </c>
      <c r="H462">
        <f>IF(AND(A462&lt;&gt;"",A462=가족별!$B$1,G462&lt;&gt;""),COUNTIFS($A$2:A462,가족별!$B$1,$G$2:G462,"&gt;0"),"")</f>
        <v/>
      </c>
      <c r="I462">
        <f>IF(ISNUMBER(SEARCH("소계",B462)),COUNTIF($B$2:B462,"*소계*"),"")</f>
        <v/>
      </c>
      <c r="J462">
        <f>IF(F462="",0,1)</f>
        <v/>
      </c>
    </row>
    <row r="463">
      <c r="A463" s="41" t="n"/>
      <c r="B463" s="41" t="n"/>
      <c r="C463" s="24" t="n"/>
      <c r="D463" s="41" t="n"/>
      <c r="E463" s="41" t="n"/>
      <c r="F463" s="19">
        <f>IF(COUNTA(A463:E463)=0,"",IF(OR(ISNUMBER(SEARCH("소계",B463)),ISNUMBER(SEARCH("합계",B463))),"",TRIM(IF(B463="","이름 없음 ","")&amp;IF(A463="","받은 가족 없음 ","")&amp;IF(C463="","금액 없음 ",IF(ISNUMBER(C463),IF(C463&lt;1000,"금액 확인 ",""),"금액 확인 "))&amp;IF(AND(B463&lt;&gt;"",COUNTIFS($A$2:$A$1001,A463,$B$2:$B$1001,B463,$C$2:$C$1001,C463)&gt;1),"중복 의심",""))))</f>
        <v/>
      </c>
      <c r="G463" s="25">
        <f>IF(OR(COUNTA(A463:E463)=0,OR(ISNUMBER(SEARCH("소계",B463)),ISNUMBER(SEARCH("합계",B463)))),"",1+COUNTIF($B$1:B462,"*소계*"))</f>
        <v/>
      </c>
      <c r="H463">
        <f>IF(AND(A463&lt;&gt;"",A463=가족별!$B$1,G463&lt;&gt;""),COUNTIFS($A$2:A463,가족별!$B$1,$G$2:G463,"&gt;0"),"")</f>
        <v/>
      </c>
      <c r="I463">
        <f>IF(ISNUMBER(SEARCH("소계",B463)),COUNTIF($B$2:B463,"*소계*"),"")</f>
        <v/>
      </c>
      <c r="J463">
        <f>IF(F463="",0,1)</f>
        <v/>
      </c>
    </row>
    <row r="464">
      <c r="A464" s="41" t="n"/>
      <c r="B464" s="41" t="n"/>
      <c r="C464" s="24" t="n"/>
      <c r="D464" s="41" t="n"/>
      <c r="E464" s="41" t="n"/>
      <c r="F464" s="19">
        <f>IF(COUNTA(A464:E464)=0,"",IF(OR(ISNUMBER(SEARCH("소계",B464)),ISNUMBER(SEARCH("합계",B464))),"",TRIM(IF(B464="","이름 없음 ","")&amp;IF(A464="","받은 가족 없음 ","")&amp;IF(C464="","금액 없음 ",IF(ISNUMBER(C464),IF(C464&lt;1000,"금액 확인 ",""),"금액 확인 "))&amp;IF(AND(B464&lt;&gt;"",COUNTIFS($A$2:$A$1001,A464,$B$2:$B$1001,B464,$C$2:$C$1001,C464)&gt;1),"중복 의심",""))))</f>
        <v/>
      </c>
      <c r="G464" s="25">
        <f>IF(OR(COUNTA(A464:E464)=0,OR(ISNUMBER(SEARCH("소계",B464)),ISNUMBER(SEARCH("합계",B464)))),"",1+COUNTIF($B$1:B463,"*소계*"))</f>
        <v/>
      </c>
      <c r="H464">
        <f>IF(AND(A464&lt;&gt;"",A464=가족별!$B$1,G464&lt;&gt;""),COUNTIFS($A$2:A464,가족별!$B$1,$G$2:G464,"&gt;0"),"")</f>
        <v/>
      </c>
      <c r="I464">
        <f>IF(ISNUMBER(SEARCH("소계",B464)),COUNTIF($B$2:B464,"*소계*"),"")</f>
        <v/>
      </c>
      <c r="J464">
        <f>IF(F464="",0,1)</f>
        <v/>
      </c>
    </row>
    <row r="465">
      <c r="A465" s="41" t="n"/>
      <c r="B465" s="41" t="n"/>
      <c r="C465" s="24" t="n"/>
      <c r="D465" s="41" t="n"/>
      <c r="E465" s="41" t="n"/>
      <c r="F465" s="19">
        <f>IF(COUNTA(A465:E465)=0,"",IF(OR(ISNUMBER(SEARCH("소계",B465)),ISNUMBER(SEARCH("합계",B465))),"",TRIM(IF(B465="","이름 없음 ","")&amp;IF(A465="","받은 가족 없음 ","")&amp;IF(C465="","금액 없음 ",IF(ISNUMBER(C465),IF(C465&lt;1000,"금액 확인 ",""),"금액 확인 "))&amp;IF(AND(B465&lt;&gt;"",COUNTIFS($A$2:$A$1001,A465,$B$2:$B$1001,B465,$C$2:$C$1001,C465)&gt;1),"중복 의심",""))))</f>
        <v/>
      </c>
      <c r="G465" s="25">
        <f>IF(OR(COUNTA(A465:E465)=0,OR(ISNUMBER(SEARCH("소계",B465)),ISNUMBER(SEARCH("합계",B465)))),"",1+COUNTIF($B$1:B464,"*소계*"))</f>
        <v/>
      </c>
      <c r="H465">
        <f>IF(AND(A465&lt;&gt;"",A465=가족별!$B$1,G465&lt;&gt;""),COUNTIFS($A$2:A465,가족별!$B$1,$G$2:G465,"&gt;0"),"")</f>
        <v/>
      </c>
      <c r="I465">
        <f>IF(ISNUMBER(SEARCH("소계",B465)),COUNTIF($B$2:B465,"*소계*"),"")</f>
        <v/>
      </c>
      <c r="J465">
        <f>IF(F465="",0,1)</f>
        <v/>
      </c>
    </row>
    <row r="466">
      <c r="A466" s="41" t="n"/>
      <c r="B466" s="41" t="n"/>
      <c r="C466" s="24" t="n"/>
      <c r="D466" s="41" t="n"/>
      <c r="E466" s="41" t="n"/>
      <c r="F466" s="19">
        <f>IF(COUNTA(A466:E466)=0,"",IF(OR(ISNUMBER(SEARCH("소계",B466)),ISNUMBER(SEARCH("합계",B466))),"",TRIM(IF(B466="","이름 없음 ","")&amp;IF(A466="","받은 가족 없음 ","")&amp;IF(C466="","금액 없음 ",IF(ISNUMBER(C466),IF(C466&lt;1000,"금액 확인 ",""),"금액 확인 "))&amp;IF(AND(B466&lt;&gt;"",COUNTIFS($A$2:$A$1001,A466,$B$2:$B$1001,B466,$C$2:$C$1001,C466)&gt;1),"중복 의심",""))))</f>
        <v/>
      </c>
      <c r="G466" s="25">
        <f>IF(OR(COUNTA(A466:E466)=0,OR(ISNUMBER(SEARCH("소계",B466)),ISNUMBER(SEARCH("합계",B466)))),"",1+COUNTIF($B$1:B465,"*소계*"))</f>
        <v/>
      </c>
      <c r="H466">
        <f>IF(AND(A466&lt;&gt;"",A466=가족별!$B$1,G466&lt;&gt;""),COUNTIFS($A$2:A466,가족별!$B$1,$G$2:G466,"&gt;0"),"")</f>
        <v/>
      </c>
      <c r="I466">
        <f>IF(ISNUMBER(SEARCH("소계",B466)),COUNTIF($B$2:B466,"*소계*"),"")</f>
        <v/>
      </c>
      <c r="J466">
        <f>IF(F466="",0,1)</f>
        <v/>
      </c>
    </row>
    <row r="467">
      <c r="A467" s="41" t="n"/>
      <c r="B467" s="41" t="n"/>
      <c r="C467" s="24" t="n"/>
      <c r="D467" s="41" t="n"/>
      <c r="E467" s="41" t="n"/>
      <c r="F467" s="19">
        <f>IF(COUNTA(A467:E467)=0,"",IF(OR(ISNUMBER(SEARCH("소계",B467)),ISNUMBER(SEARCH("합계",B467))),"",TRIM(IF(B467="","이름 없음 ","")&amp;IF(A467="","받은 가족 없음 ","")&amp;IF(C467="","금액 없음 ",IF(ISNUMBER(C467),IF(C467&lt;1000,"금액 확인 ",""),"금액 확인 "))&amp;IF(AND(B467&lt;&gt;"",COUNTIFS($A$2:$A$1001,A467,$B$2:$B$1001,B467,$C$2:$C$1001,C467)&gt;1),"중복 의심",""))))</f>
        <v/>
      </c>
      <c r="G467" s="25">
        <f>IF(OR(COUNTA(A467:E467)=0,OR(ISNUMBER(SEARCH("소계",B467)),ISNUMBER(SEARCH("합계",B467)))),"",1+COUNTIF($B$1:B466,"*소계*"))</f>
        <v/>
      </c>
      <c r="H467">
        <f>IF(AND(A467&lt;&gt;"",A467=가족별!$B$1,G467&lt;&gt;""),COUNTIFS($A$2:A467,가족별!$B$1,$G$2:G467,"&gt;0"),"")</f>
        <v/>
      </c>
      <c r="I467">
        <f>IF(ISNUMBER(SEARCH("소계",B467)),COUNTIF($B$2:B467,"*소계*"),"")</f>
        <v/>
      </c>
      <c r="J467">
        <f>IF(F467="",0,1)</f>
        <v/>
      </c>
    </row>
    <row r="468">
      <c r="A468" s="41" t="n"/>
      <c r="B468" s="41" t="n"/>
      <c r="C468" s="24" t="n"/>
      <c r="D468" s="41" t="n"/>
      <c r="E468" s="41" t="n"/>
      <c r="F468" s="19">
        <f>IF(COUNTA(A468:E468)=0,"",IF(OR(ISNUMBER(SEARCH("소계",B468)),ISNUMBER(SEARCH("합계",B468))),"",TRIM(IF(B468="","이름 없음 ","")&amp;IF(A468="","받은 가족 없음 ","")&amp;IF(C468="","금액 없음 ",IF(ISNUMBER(C468),IF(C468&lt;1000,"금액 확인 ",""),"금액 확인 "))&amp;IF(AND(B468&lt;&gt;"",COUNTIFS($A$2:$A$1001,A468,$B$2:$B$1001,B468,$C$2:$C$1001,C468)&gt;1),"중복 의심",""))))</f>
        <v/>
      </c>
      <c r="G468" s="25">
        <f>IF(OR(COUNTA(A468:E468)=0,OR(ISNUMBER(SEARCH("소계",B468)),ISNUMBER(SEARCH("합계",B468)))),"",1+COUNTIF($B$1:B467,"*소계*"))</f>
        <v/>
      </c>
      <c r="H468">
        <f>IF(AND(A468&lt;&gt;"",A468=가족별!$B$1,G468&lt;&gt;""),COUNTIFS($A$2:A468,가족별!$B$1,$G$2:G468,"&gt;0"),"")</f>
        <v/>
      </c>
      <c r="I468">
        <f>IF(ISNUMBER(SEARCH("소계",B468)),COUNTIF($B$2:B468,"*소계*"),"")</f>
        <v/>
      </c>
      <c r="J468">
        <f>IF(F468="",0,1)</f>
        <v/>
      </c>
    </row>
    <row r="469">
      <c r="A469" s="41" t="n"/>
      <c r="B469" s="41" t="n"/>
      <c r="C469" s="24" t="n"/>
      <c r="D469" s="41" t="n"/>
      <c r="E469" s="41" t="n"/>
      <c r="F469" s="19">
        <f>IF(COUNTA(A469:E469)=0,"",IF(OR(ISNUMBER(SEARCH("소계",B469)),ISNUMBER(SEARCH("합계",B469))),"",TRIM(IF(B469="","이름 없음 ","")&amp;IF(A469="","받은 가족 없음 ","")&amp;IF(C469="","금액 없음 ",IF(ISNUMBER(C469),IF(C469&lt;1000,"금액 확인 ",""),"금액 확인 "))&amp;IF(AND(B469&lt;&gt;"",COUNTIFS($A$2:$A$1001,A469,$B$2:$B$1001,B469,$C$2:$C$1001,C469)&gt;1),"중복 의심",""))))</f>
        <v/>
      </c>
      <c r="G469" s="25">
        <f>IF(OR(COUNTA(A469:E469)=0,OR(ISNUMBER(SEARCH("소계",B469)),ISNUMBER(SEARCH("합계",B469)))),"",1+COUNTIF($B$1:B468,"*소계*"))</f>
        <v/>
      </c>
      <c r="H469">
        <f>IF(AND(A469&lt;&gt;"",A469=가족별!$B$1,G469&lt;&gt;""),COUNTIFS($A$2:A469,가족별!$B$1,$G$2:G469,"&gt;0"),"")</f>
        <v/>
      </c>
      <c r="I469">
        <f>IF(ISNUMBER(SEARCH("소계",B469)),COUNTIF($B$2:B469,"*소계*"),"")</f>
        <v/>
      </c>
      <c r="J469">
        <f>IF(F469="",0,1)</f>
        <v/>
      </c>
    </row>
    <row r="470">
      <c r="A470" s="41" t="n"/>
      <c r="B470" s="41" t="n"/>
      <c r="C470" s="24" t="n"/>
      <c r="D470" s="41" t="n"/>
      <c r="E470" s="41" t="n"/>
      <c r="F470" s="19">
        <f>IF(COUNTA(A470:E470)=0,"",IF(OR(ISNUMBER(SEARCH("소계",B470)),ISNUMBER(SEARCH("합계",B470))),"",TRIM(IF(B470="","이름 없음 ","")&amp;IF(A470="","받은 가족 없음 ","")&amp;IF(C470="","금액 없음 ",IF(ISNUMBER(C470),IF(C470&lt;1000,"금액 확인 ",""),"금액 확인 "))&amp;IF(AND(B470&lt;&gt;"",COUNTIFS($A$2:$A$1001,A470,$B$2:$B$1001,B470,$C$2:$C$1001,C470)&gt;1),"중복 의심",""))))</f>
        <v/>
      </c>
      <c r="G470" s="25">
        <f>IF(OR(COUNTA(A470:E470)=0,OR(ISNUMBER(SEARCH("소계",B470)),ISNUMBER(SEARCH("합계",B470)))),"",1+COUNTIF($B$1:B469,"*소계*"))</f>
        <v/>
      </c>
      <c r="H470">
        <f>IF(AND(A470&lt;&gt;"",A470=가족별!$B$1,G470&lt;&gt;""),COUNTIFS($A$2:A470,가족별!$B$1,$G$2:G470,"&gt;0"),"")</f>
        <v/>
      </c>
      <c r="I470">
        <f>IF(ISNUMBER(SEARCH("소계",B470)),COUNTIF($B$2:B470,"*소계*"),"")</f>
        <v/>
      </c>
      <c r="J470">
        <f>IF(F470="",0,1)</f>
        <v/>
      </c>
    </row>
    <row r="471">
      <c r="A471" s="41" t="n"/>
      <c r="B471" s="41" t="n"/>
      <c r="C471" s="24" t="n"/>
      <c r="D471" s="41" t="n"/>
      <c r="E471" s="41" t="n"/>
      <c r="F471" s="19">
        <f>IF(COUNTA(A471:E471)=0,"",IF(OR(ISNUMBER(SEARCH("소계",B471)),ISNUMBER(SEARCH("합계",B471))),"",TRIM(IF(B471="","이름 없음 ","")&amp;IF(A471="","받은 가족 없음 ","")&amp;IF(C471="","금액 없음 ",IF(ISNUMBER(C471),IF(C471&lt;1000,"금액 확인 ",""),"금액 확인 "))&amp;IF(AND(B471&lt;&gt;"",COUNTIFS($A$2:$A$1001,A471,$B$2:$B$1001,B471,$C$2:$C$1001,C471)&gt;1),"중복 의심",""))))</f>
        <v/>
      </c>
      <c r="G471" s="25">
        <f>IF(OR(COUNTA(A471:E471)=0,OR(ISNUMBER(SEARCH("소계",B471)),ISNUMBER(SEARCH("합계",B471)))),"",1+COUNTIF($B$1:B470,"*소계*"))</f>
        <v/>
      </c>
      <c r="H471">
        <f>IF(AND(A471&lt;&gt;"",A471=가족별!$B$1,G471&lt;&gt;""),COUNTIFS($A$2:A471,가족별!$B$1,$G$2:G471,"&gt;0"),"")</f>
        <v/>
      </c>
      <c r="I471">
        <f>IF(ISNUMBER(SEARCH("소계",B471)),COUNTIF($B$2:B471,"*소계*"),"")</f>
        <v/>
      </c>
      <c r="J471">
        <f>IF(F471="",0,1)</f>
        <v/>
      </c>
    </row>
    <row r="472">
      <c r="A472" s="41" t="n"/>
      <c r="B472" s="41" t="n"/>
      <c r="C472" s="24" t="n"/>
      <c r="D472" s="41" t="n"/>
      <c r="E472" s="41" t="n"/>
      <c r="F472" s="19">
        <f>IF(COUNTA(A472:E472)=0,"",IF(OR(ISNUMBER(SEARCH("소계",B472)),ISNUMBER(SEARCH("합계",B472))),"",TRIM(IF(B472="","이름 없음 ","")&amp;IF(A472="","받은 가족 없음 ","")&amp;IF(C472="","금액 없음 ",IF(ISNUMBER(C472),IF(C472&lt;1000,"금액 확인 ",""),"금액 확인 "))&amp;IF(AND(B472&lt;&gt;"",COUNTIFS($A$2:$A$1001,A472,$B$2:$B$1001,B472,$C$2:$C$1001,C472)&gt;1),"중복 의심",""))))</f>
        <v/>
      </c>
      <c r="G472" s="25">
        <f>IF(OR(COUNTA(A472:E472)=0,OR(ISNUMBER(SEARCH("소계",B472)),ISNUMBER(SEARCH("합계",B472)))),"",1+COUNTIF($B$1:B471,"*소계*"))</f>
        <v/>
      </c>
      <c r="H472">
        <f>IF(AND(A472&lt;&gt;"",A472=가족별!$B$1,G472&lt;&gt;""),COUNTIFS($A$2:A472,가족별!$B$1,$G$2:G472,"&gt;0"),"")</f>
        <v/>
      </c>
      <c r="I472">
        <f>IF(ISNUMBER(SEARCH("소계",B472)),COUNTIF($B$2:B472,"*소계*"),"")</f>
        <v/>
      </c>
      <c r="J472">
        <f>IF(F472="",0,1)</f>
        <v/>
      </c>
    </row>
    <row r="473">
      <c r="A473" s="41" t="n"/>
      <c r="B473" s="41" t="n"/>
      <c r="C473" s="24" t="n"/>
      <c r="D473" s="41" t="n"/>
      <c r="E473" s="41" t="n"/>
      <c r="F473" s="19">
        <f>IF(COUNTA(A473:E473)=0,"",IF(OR(ISNUMBER(SEARCH("소계",B473)),ISNUMBER(SEARCH("합계",B473))),"",TRIM(IF(B473="","이름 없음 ","")&amp;IF(A473="","받은 가족 없음 ","")&amp;IF(C473="","금액 없음 ",IF(ISNUMBER(C473),IF(C473&lt;1000,"금액 확인 ",""),"금액 확인 "))&amp;IF(AND(B473&lt;&gt;"",COUNTIFS($A$2:$A$1001,A473,$B$2:$B$1001,B473,$C$2:$C$1001,C473)&gt;1),"중복 의심",""))))</f>
        <v/>
      </c>
      <c r="G473" s="25">
        <f>IF(OR(COUNTA(A473:E473)=0,OR(ISNUMBER(SEARCH("소계",B473)),ISNUMBER(SEARCH("합계",B473)))),"",1+COUNTIF($B$1:B472,"*소계*"))</f>
        <v/>
      </c>
      <c r="H473">
        <f>IF(AND(A473&lt;&gt;"",A473=가족별!$B$1,G473&lt;&gt;""),COUNTIFS($A$2:A473,가족별!$B$1,$G$2:G473,"&gt;0"),"")</f>
        <v/>
      </c>
      <c r="I473">
        <f>IF(ISNUMBER(SEARCH("소계",B473)),COUNTIF($B$2:B473,"*소계*"),"")</f>
        <v/>
      </c>
      <c r="J473">
        <f>IF(F473="",0,1)</f>
        <v/>
      </c>
    </row>
    <row r="474">
      <c r="A474" s="41" t="n"/>
      <c r="B474" s="41" t="n"/>
      <c r="C474" s="24" t="n"/>
      <c r="D474" s="41" t="n"/>
      <c r="E474" s="41" t="n"/>
      <c r="F474" s="19">
        <f>IF(COUNTA(A474:E474)=0,"",IF(OR(ISNUMBER(SEARCH("소계",B474)),ISNUMBER(SEARCH("합계",B474))),"",TRIM(IF(B474="","이름 없음 ","")&amp;IF(A474="","받은 가족 없음 ","")&amp;IF(C474="","금액 없음 ",IF(ISNUMBER(C474),IF(C474&lt;1000,"금액 확인 ",""),"금액 확인 "))&amp;IF(AND(B474&lt;&gt;"",COUNTIFS($A$2:$A$1001,A474,$B$2:$B$1001,B474,$C$2:$C$1001,C474)&gt;1),"중복 의심",""))))</f>
        <v/>
      </c>
      <c r="G474" s="25">
        <f>IF(OR(COUNTA(A474:E474)=0,OR(ISNUMBER(SEARCH("소계",B474)),ISNUMBER(SEARCH("합계",B474)))),"",1+COUNTIF($B$1:B473,"*소계*"))</f>
        <v/>
      </c>
      <c r="H474">
        <f>IF(AND(A474&lt;&gt;"",A474=가족별!$B$1,G474&lt;&gt;""),COUNTIFS($A$2:A474,가족별!$B$1,$G$2:G474,"&gt;0"),"")</f>
        <v/>
      </c>
      <c r="I474">
        <f>IF(ISNUMBER(SEARCH("소계",B474)),COUNTIF($B$2:B474,"*소계*"),"")</f>
        <v/>
      </c>
      <c r="J474">
        <f>IF(F474="",0,1)</f>
        <v/>
      </c>
    </row>
    <row r="475">
      <c r="A475" s="41" t="n"/>
      <c r="B475" s="41" t="n"/>
      <c r="C475" s="24" t="n"/>
      <c r="D475" s="41" t="n"/>
      <c r="E475" s="41" t="n"/>
      <c r="F475" s="19">
        <f>IF(COUNTA(A475:E475)=0,"",IF(OR(ISNUMBER(SEARCH("소계",B475)),ISNUMBER(SEARCH("합계",B475))),"",TRIM(IF(B475="","이름 없음 ","")&amp;IF(A475="","받은 가족 없음 ","")&amp;IF(C475="","금액 없음 ",IF(ISNUMBER(C475),IF(C475&lt;1000,"금액 확인 ",""),"금액 확인 "))&amp;IF(AND(B475&lt;&gt;"",COUNTIFS($A$2:$A$1001,A475,$B$2:$B$1001,B475,$C$2:$C$1001,C475)&gt;1),"중복 의심",""))))</f>
        <v/>
      </c>
      <c r="G475" s="25">
        <f>IF(OR(COUNTA(A475:E475)=0,OR(ISNUMBER(SEARCH("소계",B475)),ISNUMBER(SEARCH("합계",B475)))),"",1+COUNTIF($B$1:B474,"*소계*"))</f>
        <v/>
      </c>
      <c r="H475">
        <f>IF(AND(A475&lt;&gt;"",A475=가족별!$B$1,G475&lt;&gt;""),COUNTIFS($A$2:A475,가족별!$B$1,$G$2:G475,"&gt;0"),"")</f>
        <v/>
      </c>
      <c r="I475">
        <f>IF(ISNUMBER(SEARCH("소계",B475)),COUNTIF($B$2:B475,"*소계*"),"")</f>
        <v/>
      </c>
      <c r="J475">
        <f>IF(F475="",0,1)</f>
        <v/>
      </c>
    </row>
    <row r="476">
      <c r="A476" s="41" t="n"/>
      <c r="B476" s="41" t="n"/>
      <c r="C476" s="24" t="n"/>
      <c r="D476" s="41" t="n"/>
      <c r="E476" s="41" t="n"/>
      <c r="F476" s="19">
        <f>IF(COUNTA(A476:E476)=0,"",IF(OR(ISNUMBER(SEARCH("소계",B476)),ISNUMBER(SEARCH("합계",B476))),"",TRIM(IF(B476="","이름 없음 ","")&amp;IF(A476="","받은 가족 없음 ","")&amp;IF(C476="","금액 없음 ",IF(ISNUMBER(C476),IF(C476&lt;1000,"금액 확인 ",""),"금액 확인 "))&amp;IF(AND(B476&lt;&gt;"",COUNTIFS($A$2:$A$1001,A476,$B$2:$B$1001,B476,$C$2:$C$1001,C476)&gt;1),"중복 의심",""))))</f>
        <v/>
      </c>
      <c r="G476" s="25">
        <f>IF(OR(COUNTA(A476:E476)=0,OR(ISNUMBER(SEARCH("소계",B476)),ISNUMBER(SEARCH("합계",B476)))),"",1+COUNTIF($B$1:B475,"*소계*"))</f>
        <v/>
      </c>
      <c r="H476">
        <f>IF(AND(A476&lt;&gt;"",A476=가족별!$B$1,G476&lt;&gt;""),COUNTIFS($A$2:A476,가족별!$B$1,$G$2:G476,"&gt;0"),"")</f>
        <v/>
      </c>
      <c r="I476">
        <f>IF(ISNUMBER(SEARCH("소계",B476)),COUNTIF($B$2:B476,"*소계*"),"")</f>
        <v/>
      </c>
      <c r="J476">
        <f>IF(F476="",0,1)</f>
        <v/>
      </c>
    </row>
    <row r="477">
      <c r="A477" s="41" t="n"/>
      <c r="B477" s="41" t="n"/>
      <c r="C477" s="24" t="n"/>
      <c r="D477" s="41" t="n"/>
      <c r="E477" s="41" t="n"/>
      <c r="F477" s="19">
        <f>IF(COUNTA(A477:E477)=0,"",IF(OR(ISNUMBER(SEARCH("소계",B477)),ISNUMBER(SEARCH("합계",B477))),"",TRIM(IF(B477="","이름 없음 ","")&amp;IF(A477="","받은 가족 없음 ","")&amp;IF(C477="","금액 없음 ",IF(ISNUMBER(C477),IF(C477&lt;1000,"금액 확인 ",""),"금액 확인 "))&amp;IF(AND(B477&lt;&gt;"",COUNTIFS($A$2:$A$1001,A477,$B$2:$B$1001,B477,$C$2:$C$1001,C477)&gt;1),"중복 의심",""))))</f>
        <v/>
      </c>
      <c r="G477" s="25">
        <f>IF(OR(COUNTA(A477:E477)=0,OR(ISNUMBER(SEARCH("소계",B477)),ISNUMBER(SEARCH("합계",B477)))),"",1+COUNTIF($B$1:B476,"*소계*"))</f>
        <v/>
      </c>
      <c r="H477">
        <f>IF(AND(A477&lt;&gt;"",A477=가족별!$B$1,G477&lt;&gt;""),COUNTIFS($A$2:A477,가족별!$B$1,$G$2:G477,"&gt;0"),"")</f>
        <v/>
      </c>
      <c r="I477">
        <f>IF(ISNUMBER(SEARCH("소계",B477)),COUNTIF($B$2:B477,"*소계*"),"")</f>
        <v/>
      </c>
      <c r="J477">
        <f>IF(F477="",0,1)</f>
        <v/>
      </c>
    </row>
    <row r="478">
      <c r="A478" s="41" t="n"/>
      <c r="B478" s="41" t="n"/>
      <c r="C478" s="24" t="n"/>
      <c r="D478" s="41" t="n"/>
      <c r="E478" s="41" t="n"/>
      <c r="F478" s="19">
        <f>IF(COUNTA(A478:E478)=0,"",IF(OR(ISNUMBER(SEARCH("소계",B478)),ISNUMBER(SEARCH("합계",B478))),"",TRIM(IF(B478="","이름 없음 ","")&amp;IF(A478="","받은 가족 없음 ","")&amp;IF(C478="","금액 없음 ",IF(ISNUMBER(C478),IF(C478&lt;1000,"금액 확인 ",""),"금액 확인 "))&amp;IF(AND(B478&lt;&gt;"",COUNTIFS($A$2:$A$1001,A478,$B$2:$B$1001,B478,$C$2:$C$1001,C478)&gt;1),"중복 의심",""))))</f>
        <v/>
      </c>
      <c r="G478" s="25">
        <f>IF(OR(COUNTA(A478:E478)=0,OR(ISNUMBER(SEARCH("소계",B478)),ISNUMBER(SEARCH("합계",B478)))),"",1+COUNTIF($B$1:B477,"*소계*"))</f>
        <v/>
      </c>
      <c r="H478">
        <f>IF(AND(A478&lt;&gt;"",A478=가족별!$B$1,G478&lt;&gt;""),COUNTIFS($A$2:A478,가족별!$B$1,$G$2:G478,"&gt;0"),"")</f>
        <v/>
      </c>
      <c r="I478">
        <f>IF(ISNUMBER(SEARCH("소계",B478)),COUNTIF($B$2:B478,"*소계*"),"")</f>
        <v/>
      </c>
      <c r="J478">
        <f>IF(F478="",0,1)</f>
        <v/>
      </c>
    </row>
    <row r="479">
      <c r="A479" s="41" t="n"/>
      <c r="B479" s="41" t="n"/>
      <c r="C479" s="24" t="n"/>
      <c r="D479" s="41" t="n"/>
      <c r="E479" s="41" t="n"/>
      <c r="F479" s="19">
        <f>IF(COUNTA(A479:E479)=0,"",IF(OR(ISNUMBER(SEARCH("소계",B479)),ISNUMBER(SEARCH("합계",B479))),"",TRIM(IF(B479="","이름 없음 ","")&amp;IF(A479="","받은 가족 없음 ","")&amp;IF(C479="","금액 없음 ",IF(ISNUMBER(C479),IF(C479&lt;1000,"금액 확인 ",""),"금액 확인 "))&amp;IF(AND(B479&lt;&gt;"",COUNTIFS($A$2:$A$1001,A479,$B$2:$B$1001,B479,$C$2:$C$1001,C479)&gt;1),"중복 의심",""))))</f>
        <v/>
      </c>
      <c r="G479" s="25">
        <f>IF(OR(COUNTA(A479:E479)=0,OR(ISNUMBER(SEARCH("소계",B479)),ISNUMBER(SEARCH("합계",B479)))),"",1+COUNTIF($B$1:B478,"*소계*"))</f>
        <v/>
      </c>
      <c r="H479">
        <f>IF(AND(A479&lt;&gt;"",A479=가족별!$B$1,G479&lt;&gt;""),COUNTIFS($A$2:A479,가족별!$B$1,$G$2:G479,"&gt;0"),"")</f>
        <v/>
      </c>
      <c r="I479">
        <f>IF(ISNUMBER(SEARCH("소계",B479)),COUNTIF($B$2:B479,"*소계*"),"")</f>
        <v/>
      </c>
      <c r="J479">
        <f>IF(F479="",0,1)</f>
        <v/>
      </c>
    </row>
    <row r="480">
      <c r="A480" s="41" t="n"/>
      <c r="B480" s="41" t="n"/>
      <c r="C480" s="24" t="n"/>
      <c r="D480" s="41" t="n"/>
      <c r="E480" s="41" t="n"/>
      <c r="F480" s="19">
        <f>IF(COUNTA(A480:E480)=0,"",IF(OR(ISNUMBER(SEARCH("소계",B480)),ISNUMBER(SEARCH("합계",B480))),"",TRIM(IF(B480="","이름 없음 ","")&amp;IF(A480="","받은 가족 없음 ","")&amp;IF(C480="","금액 없음 ",IF(ISNUMBER(C480),IF(C480&lt;1000,"금액 확인 ",""),"금액 확인 "))&amp;IF(AND(B480&lt;&gt;"",COUNTIFS($A$2:$A$1001,A480,$B$2:$B$1001,B480,$C$2:$C$1001,C480)&gt;1),"중복 의심",""))))</f>
        <v/>
      </c>
      <c r="G480" s="25">
        <f>IF(OR(COUNTA(A480:E480)=0,OR(ISNUMBER(SEARCH("소계",B480)),ISNUMBER(SEARCH("합계",B480)))),"",1+COUNTIF($B$1:B479,"*소계*"))</f>
        <v/>
      </c>
      <c r="H480">
        <f>IF(AND(A480&lt;&gt;"",A480=가족별!$B$1,G480&lt;&gt;""),COUNTIFS($A$2:A480,가족별!$B$1,$G$2:G480,"&gt;0"),"")</f>
        <v/>
      </c>
      <c r="I480">
        <f>IF(ISNUMBER(SEARCH("소계",B480)),COUNTIF($B$2:B480,"*소계*"),"")</f>
        <v/>
      </c>
      <c r="J480">
        <f>IF(F480="",0,1)</f>
        <v/>
      </c>
    </row>
    <row r="481">
      <c r="A481" s="41" t="n"/>
      <c r="B481" s="41" t="n"/>
      <c r="C481" s="24" t="n"/>
      <c r="D481" s="41" t="n"/>
      <c r="E481" s="41" t="n"/>
      <c r="F481" s="19">
        <f>IF(COUNTA(A481:E481)=0,"",IF(OR(ISNUMBER(SEARCH("소계",B481)),ISNUMBER(SEARCH("합계",B481))),"",TRIM(IF(B481="","이름 없음 ","")&amp;IF(A481="","받은 가족 없음 ","")&amp;IF(C481="","금액 없음 ",IF(ISNUMBER(C481),IF(C481&lt;1000,"금액 확인 ",""),"금액 확인 "))&amp;IF(AND(B481&lt;&gt;"",COUNTIFS($A$2:$A$1001,A481,$B$2:$B$1001,B481,$C$2:$C$1001,C481)&gt;1),"중복 의심",""))))</f>
        <v/>
      </c>
      <c r="G481" s="25">
        <f>IF(OR(COUNTA(A481:E481)=0,OR(ISNUMBER(SEARCH("소계",B481)),ISNUMBER(SEARCH("합계",B481)))),"",1+COUNTIF($B$1:B480,"*소계*"))</f>
        <v/>
      </c>
      <c r="H481">
        <f>IF(AND(A481&lt;&gt;"",A481=가족별!$B$1,G481&lt;&gt;""),COUNTIFS($A$2:A481,가족별!$B$1,$G$2:G481,"&gt;0"),"")</f>
        <v/>
      </c>
      <c r="I481">
        <f>IF(ISNUMBER(SEARCH("소계",B481)),COUNTIF($B$2:B481,"*소계*"),"")</f>
        <v/>
      </c>
      <c r="J481">
        <f>IF(F481="",0,1)</f>
        <v/>
      </c>
    </row>
    <row r="482">
      <c r="A482" s="41" t="n"/>
      <c r="B482" s="41" t="n"/>
      <c r="C482" s="24" t="n"/>
      <c r="D482" s="41" t="n"/>
      <c r="E482" s="41" t="n"/>
      <c r="F482" s="19">
        <f>IF(COUNTA(A482:E482)=0,"",IF(OR(ISNUMBER(SEARCH("소계",B482)),ISNUMBER(SEARCH("합계",B482))),"",TRIM(IF(B482="","이름 없음 ","")&amp;IF(A482="","받은 가족 없음 ","")&amp;IF(C482="","금액 없음 ",IF(ISNUMBER(C482),IF(C482&lt;1000,"금액 확인 ",""),"금액 확인 "))&amp;IF(AND(B482&lt;&gt;"",COUNTIFS($A$2:$A$1001,A482,$B$2:$B$1001,B482,$C$2:$C$1001,C482)&gt;1),"중복 의심",""))))</f>
        <v/>
      </c>
      <c r="G482" s="25">
        <f>IF(OR(COUNTA(A482:E482)=0,OR(ISNUMBER(SEARCH("소계",B482)),ISNUMBER(SEARCH("합계",B482)))),"",1+COUNTIF($B$1:B481,"*소계*"))</f>
        <v/>
      </c>
      <c r="H482">
        <f>IF(AND(A482&lt;&gt;"",A482=가족별!$B$1,G482&lt;&gt;""),COUNTIFS($A$2:A482,가족별!$B$1,$G$2:G482,"&gt;0"),"")</f>
        <v/>
      </c>
      <c r="I482">
        <f>IF(ISNUMBER(SEARCH("소계",B482)),COUNTIF($B$2:B482,"*소계*"),"")</f>
        <v/>
      </c>
      <c r="J482">
        <f>IF(F482="",0,1)</f>
        <v/>
      </c>
    </row>
    <row r="483">
      <c r="A483" s="41" t="n"/>
      <c r="B483" s="41" t="n"/>
      <c r="C483" s="24" t="n"/>
      <c r="D483" s="41" t="n"/>
      <c r="E483" s="41" t="n"/>
      <c r="F483" s="19">
        <f>IF(COUNTA(A483:E483)=0,"",IF(OR(ISNUMBER(SEARCH("소계",B483)),ISNUMBER(SEARCH("합계",B483))),"",TRIM(IF(B483="","이름 없음 ","")&amp;IF(A483="","받은 가족 없음 ","")&amp;IF(C483="","금액 없음 ",IF(ISNUMBER(C483),IF(C483&lt;1000,"금액 확인 ",""),"금액 확인 "))&amp;IF(AND(B483&lt;&gt;"",COUNTIFS($A$2:$A$1001,A483,$B$2:$B$1001,B483,$C$2:$C$1001,C483)&gt;1),"중복 의심",""))))</f>
        <v/>
      </c>
      <c r="G483" s="25">
        <f>IF(OR(COUNTA(A483:E483)=0,OR(ISNUMBER(SEARCH("소계",B483)),ISNUMBER(SEARCH("합계",B483)))),"",1+COUNTIF($B$1:B482,"*소계*"))</f>
        <v/>
      </c>
      <c r="H483">
        <f>IF(AND(A483&lt;&gt;"",A483=가족별!$B$1,G483&lt;&gt;""),COUNTIFS($A$2:A483,가족별!$B$1,$G$2:G483,"&gt;0"),"")</f>
        <v/>
      </c>
      <c r="I483">
        <f>IF(ISNUMBER(SEARCH("소계",B483)),COUNTIF($B$2:B483,"*소계*"),"")</f>
        <v/>
      </c>
      <c r="J483">
        <f>IF(F483="",0,1)</f>
        <v/>
      </c>
    </row>
    <row r="484">
      <c r="A484" s="41" t="n"/>
      <c r="B484" s="41" t="n"/>
      <c r="C484" s="24" t="n"/>
      <c r="D484" s="41" t="n"/>
      <c r="E484" s="41" t="n"/>
      <c r="F484" s="19">
        <f>IF(COUNTA(A484:E484)=0,"",IF(OR(ISNUMBER(SEARCH("소계",B484)),ISNUMBER(SEARCH("합계",B484))),"",TRIM(IF(B484="","이름 없음 ","")&amp;IF(A484="","받은 가족 없음 ","")&amp;IF(C484="","금액 없음 ",IF(ISNUMBER(C484),IF(C484&lt;1000,"금액 확인 ",""),"금액 확인 "))&amp;IF(AND(B484&lt;&gt;"",COUNTIFS($A$2:$A$1001,A484,$B$2:$B$1001,B484,$C$2:$C$1001,C484)&gt;1),"중복 의심",""))))</f>
        <v/>
      </c>
      <c r="G484" s="25">
        <f>IF(OR(COUNTA(A484:E484)=0,OR(ISNUMBER(SEARCH("소계",B484)),ISNUMBER(SEARCH("합계",B484)))),"",1+COUNTIF($B$1:B483,"*소계*"))</f>
        <v/>
      </c>
      <c r="H484">
        <f>IF(AND(A484&lt;&gt;"",A484=가족별!$B$1,G484&lt;&gt;""),COUNTIFS($A$2:A484,가족별!$B$1,$G$2:G484,"&gt;0"),"")</f>
        <v/>
      </c>
      <c r="I484">
        <f>IF(ISNUMBER(SEARCH("소계",B484)),COUNTIF($B$2:B484,"*소계*"),"")</f>
        <v/>
      </c>
      <c r="J484">
        <f>IF(F484="",0,1)</f>
        <v/>
      </c>
    </row>
    <row r="485">
      <c r="A485" s="41" t="n"/>
      <c r="B485" s="41" t="n"/>
      <c r="C485" s="24" t="n"/>
      <c r="D485" s="41" t="n"/>
      <c r="E485" s="41" t="n"/>
      <c r="F485" s="19">
        <f>IF(COUNTA(A485:E485)=0,"",IF(OR(ISNUMBER(SEARCH("소계",B485)),ISNUMBER(SEARCH("합계",B485))),"",TRIM(IF(B485="","이름 없음 ","")&amp;IF(A485="","받은 가족 없음 ","")&amp;IF(C485="","금액 없음 ",IF(ISNUMBER(C485),IF(C485&lt;1000,"금액 확인 ",""),"금액 확인 "))&amp;IF(AND(B485&lt;&gt;"",COUNTIFS($A$2:$A$1001,A485,$B$2:$B$1001,B485,$C$2:$C$1001,C485)&gt;1),"중복 의심",""))))</f>
        <v/>
      </c>
      <c r="G485" s="25">
        <f>IF(OR(COUNTA(A485:E485)=0,OR(ISNUMBER(SEARCH("소계",B485)),ISNUMBER(SEARCH("합계",B485)))),"",1+COUNTIF($B$1:B484,"*소계*"))</f>
        <v/>
      </c>
      <c r="H485">
        <f>IF(AND(A485&lt;&gt;"",A485=가족별!$B$1,G485&lt;&gt;""),COUNTIFS($A$2:A485,가족별!$B$1,$G$2:G485,"&gt;0"),"")</f>
        <v/>
      </c>
      <c r="I485">
        <f>IF(ISNUMBER(SEARCH("소계",B485)),COUNTIF($B$2:B485,"*소계*"),"")</f>
        <v/>
      </c>
      <c r="J485">
        <f>IF(F485="",0,1)</f>
        <v/>
      </c>
    </row>
    <row r="486">
      <c r="A486" s="41" t="n"/>
      <c r="B486" s="41" t="n"/>
      <c r="C486" s="24" t="n"/>
      <c r="D486" s="41" t="n"/>
      <c r="E486" s="41" t="n"/>
      <c r="F486" s="19">
        <f>IF(COUNTA(A486:E486)=0,"",IF(OR(ISNUMBER(SEARCH("소계",B486)),ISNUMBER(SEARCH("합계",B486))),"",TRIM(IF(B486="","이름 없음 ","")&amp;IF(A486="","받은 가족 없음 ","")&amp;IF(C486="","금액 없음 ",IF(ISNUMBER(C486),IF(C486&lt;1000,"금액 확인 ",""),"금액 확인 "))&amp;IF(AND(B486&lt;&gt;"",COUNTIFS($A$2:$A$1001,A486,$B$2:$B$1001,B486,$C$2:$C$1001,C486)&gt;1),"중복 의심",""))))</f>
        <v/>
      </c>
      <c r="G486" s="25">
        <f>IF(OR(COUNTA(A486:E486)=0,OR(ISNUMBER(SEARCH("소계",B486)),ISNUMBER(SEARCH("합계",B486)))),"",1+COUNTIF($B$1:B485,"*소계*"))</f>
        <v/>
      </c>
      <c r="H486">
        <f>IF(AND(A486&lt;&gt;"",A486=가족별!$B$1,G486&lt;&gt;""),COUNTIFS($A$2:A486,가족별!$B$1,$G$2:G486,"&gt;0"),"")</f>
        <v/>
      </c>
      <c r="I486">
        <f>IF(ISNUMBER(SEARCH("소계",B486)),COUNTIF($B$2:B486,"*소계*"),"")</f>
        <v/>
      </c>
      <c r="J486">
        <f>IF(F486="",0,1)</f>
        <v/>
      </c>
    </row>
    <row r="487">
      <c r="A487" s="41" t="n"/>
      <c r="B487" s="41" t="n"/>
      <c r="C487" s="24" t="n"/>
      <c r="D487" s="41" t="n"/>
      <c r="E487" s="41" t="n"/>
      <c r="F487" s="19">
        <f>IF(COUNTA(A487:E487)=0,"",IF(OR(ISNUMBER(SEARCH("소계",B487)),ISNUMBER(SEARCH("합계",B487))),"",TRIM(IF(B487="","이름 없음 ","")&amp;IF(A487="","받은 가족 없음 ","")&amp;IF(C487="","금액 없음 ",IF(ISNUMBER(C487),IF(C487&lt;1000,"금액 확인 ",""),"금액 확인 "))&amp;IF(AND(B487&lt;&gt;"",COUNTIFS($A$2:$A$1001,A487,$B$2:$B$1001,B487,$C$2:$C$1001,C487)&gt;1),"중복 의심",""))))</f>
        <v/>
      </c>
      <c r="G487" s="25">
        <f>IF(OR(COUNTA(A487:E487)=0,OR(ISNUMBER(SEARCH("소계",B487)),ISNUMBER(SEARCH("합계",B487)))),"",1+COUNTIF($B$1:B486,"*소계*"))</f>
        <v/>
      </c>
      <c r="H487">
        <f>IF(AND(A487&lt;&gt;"",A487=가족별!$B$1,G487&lt;&gt;""),COUNTIFS($A$2:A487,가족별!$B$1,$G$2:G487,"&gt;0"),"")</f>
        <v/>
      </c>
      <c r="I487">
        <f>IF(ISNUMBER(SEARCH("소계",B487)),COUNTIF($B$2:B487,"*소계*"),"")</f>
        <v/>
      </c>
      <c r="J487">
        <f>IF(F487="",0,1)</f>
        <v/>
      </c>
    </row>
    <row r="488">
      <c r="A488" s="41" t="n"/>
      <c r="B488" s="41" t="n"/>
      <c r="C488" s="24" t="n"/>
      <c r="D488" s="41" t="n"/>
      <c r="E488" s="41" t="n"/>
      <c r="F488" s="19">
        <f>IF(COUNTA(A488:E488)=0,"",IF(OR(ISNUMBER(SEARCH("소계",B488)),ISNUMBER(SEARCH("합계",B488))),"",TRIM(IF(B488="","이름 없음 ","")&amp;IF(A488="","받은 가족 없음 ","")&amp;IF(C488="","금액 없음 ",IF(ISNUMBER(C488),IF(C488&lt;1000,"금액 확인 ",""),"금액 확인 "))&amp;IF(AND(B488&lt;&gt;"",COUNTIFS($A$2:$A$1001,A488,$B$2:$B$1001,B488,$C$2:$C$1001,C488)&gt;1),"중복 의심",""))))</f>
        <v/>
      </c>
      <c r="G488" s="25">
        <f>IF(OR(COUNTA(A488:E488)=0,OR(ISNUMBER(SEARCH("소계",B488)),ISNUMBER(SEARCH("합계",B488)))),"",1+COUNTIF($B$1:B487,"*소계*"))</f>
        <v/>
      </c>
      <c r="H488">
        <f>IF(AND(A488&lt;&gt;"",A488=가족별!$B$1,G488&lt;&gt;""),COUNTIFS($A$2:A488,가족별!$B$1,$G$2:G488,"&gt;0"),"")</f>
        <v/>
      </c>
      <c r="I488">
        <f>IF(ISNUMBER(SEARCH("소계",B488)),COUNTIF($B$2:B488,"*소계*"),"")</f>
        <v/>
      </c>
      <c r="J488">
        <f>IF(F488="",0,1)</f>
        <v/>
      </c>
    </row>
    <row r="489">
      <c r="A489" s="41" t="n"/>
      <c r="B489" s="41" t="n"/>
      <c r="C489" s="24" t="n"/>
      <c r="D489" s="41" t="n"/>
      <c r="E489" s="41" t="n"/>
      <c r="F489" s="19">
        <f>IF(COUNTA(A489:E489)=0,"",IF(OR(ISNUMBER(SEARCH("소계",B489)),ISNUMBER(SEARCH("합계",B489))),"",TRIM(IF(B489="","이름 없음 ","")&amp;IF(A489="","받은 가족 없음 ","")&amp;IF(C489="","금액 없음 ",IF(ISNUMBER(C489),IF(C489&lt;1000,"금액 확인 ",""),"금액 확인 "))&amp;IF(AND(B489&lt;&gt;"",COUNTIFS($A$2:$A$1001,A489,$B$2:$B$1001,B489,$C$2:$C$1001,C489)&gt;1),"중복 의심",""))))</f>
        <v/>
      </c>
      <c r="G489" s="25">
        <f>IF(OR(COUNTA(A489:E489)=0,OR(ISNUMBER(SEARCH("소계",B489)),ISNUMBER(SEARCH("합계",B489)))),"",1+COUNTIF($B$1:B488,"*소계*"))</f>
        <v/>
      </c>
      <c r="H489">
        <f>IF(AND(A489&lt;&gt;"",A489=가족별!$B$1,G489&lt;&gt;""),COUNTIFS($A$2:A489,가족별!$B$1,$G$2:G489,"&gt;0"),"")</f>
        <v/>
      </c>
      <c r="I489">
        <f>IF(ISNUMBER(SEARCH("소계",B489)),COUNTIF($B$2:B489,"*소계*"),"")</f>
        <v/>
      </c>
      <c r="J489">
        <f>IF(F489="",0,1)</f>
        <v/>
      </c>
    </row>
    <row r="490">
      <c r="A490" s="41" t="n"/>
      <c r="B490" s="41" t="n"/>
      <c r="C490" s="24" t="n"/>
      <c r="D490" s="41" t="n"/>
      <c r="E490" s="41" t="n"/>
      <c r="F490" s="19">
        <f>IF(COUNTA(A490:E490)=0,"",IF(OR(ISNUMBER(SEARCH("소계",B490)),ISNUMBER(SEARCH("합계",B490))),"",TRIM(IF(B490="","이름 없음 ","")&amp;IF(A490="","받은 가족 없음 ","")&amp;IF(C490="","금액 없음 ",IF(ISNUMBER(C490),IF(C490&lt;1000,"금액 확인 ",""),"금액 확인 "))&amp;IF(AND(B490&lt;&gt;"",COUNTIFS($A$2:$A$1001,A490,$B$2:$B$1001,B490,$C$2:$C$1001,C490)&gt;1),"중복 의심",""))))</f>
        <v/>
      </c>
      <c r="G490" s="25">
        <f>IF(OR(COUNTA(A490:E490)=0,OR(ISNUMBER(SEARCH("소계",B490)),ISNUMBER(SEARCH("합계",B490)))),"",1+COUNTIF($B$1:B489,"*소계*"))</f>
        <v/>
      </c>
      <c r="H490">
        <f>IF(AND(A490&lt;&gt;"",A490=가족별!$B$1,G490&lt;&gt;""),COUNTIFS($A$2:A490,가족별!$B$1,$G$2:G490,"&gt;0"),"")</f>
        <v/>
      </c>
      <c r="I490">
        <f>IF(ISNUMBER(SEARCH("소계",B490)),COUNTIF($B$2:B490,"*소계*"),"")</f>
        <v/>
      </c>
      <c r="J490">
        <f>IF(F490="",0,1)</f>
        <v/>
      </c>
    </row>
    <row r="491">
      <c r="A491" s="41" t="n"/>
      <c r="B491" s="41" t="n"/>
      <c r="C491" s="24" t="n"/>
      <c r="D491" s="41" t="n"/>
      <c r="E491" s="41" t="n"/>
      <c r="F491" s="19">
        <f>IF(COUNTA(A491:E491)=0,"",IF(OR(ISNUMBER(SEARCH("소계",B491)),ISNUMBER(SEARCH("합계",B491))),"",TRIM(IF(B491="","이름 없음 ","")&amp;IF(A491="","받은 가족 없음 ","")&amp;IF(C491="","금액 없음 ",IF(ISNUMBER(C491),IF(C491&lt;1000,"금액 확인 ",""),"금액 확인 "))&amp;IF(AND(B491&lt;&gt;"",COUNTIFS($A$2:$A$1001,A491,$B$2:$B$1001,B491,$C$2:$C$1001,C491)&gt;1),"중복 의심",""))))</f>
        <v/>
      </c>
      <c r="G491" s="25">
        <f>IF(OR(COUNTA(A491:E491)=0,OR(ISNUMBER(SEARCH("소계",B491)),ISNUMBER(SEARCH("합계",B491)))),"",1+COUNTIF($B$1:B490,"*소계*"))</f>
        <v/>
      </c>
      <c r="H491">
        <f>IF(AND(A491&lt;&gt;"",A491=가족별!$B$1,G491&lt;&gt;""),COUNTIFS($A$2:A491,가족별!$B$1,$G$2:G491,"&gt;0"),"")</f>
        <v/>
      </c>
      <c r="I491">
        <f>IF(ISNUMBER(SEARCH("소계",B491)),COUNTIF($B$2:B491,"*소계*"),"")</f>
        <v/>
      </c>
      <c r="J491">
        <f>IF(F491="",0,1)</f>
        <v/>
      </c>
    </row>
    <row r="492">
      <c r="A492" s="41" t="n"/>
      <c r="B492" s="41" t="n"/>
      <c r="C492" s="24" t="n"/>
      <c r="D492" s="41" t="n"/>
      <c r="E492" s="41" t="n"/>
      <c r="F492" s="19">
        <f>IF(COUNTA(A492:E492)=0,"",IF(OR(ISNUMBER(SEARCH("소계",B492)),ISNUMBER(SEARCH("합계",B492))),"",TRIM(IF(B492="","이름 없음 ","")&amp;IF(A492="","받은 가족 없음 ","")&amp;IF(C492="","금액 없음 ",IF(ISNUMBER(C492),IF(C492&lt;1000,"금액 확인 ",""),"금액 확인 "))&amp;IF(AND(B492&lt;&gt;"",COUNTIFS($A$2:$A$1001,A492,$B$2:$B$1001,B492,$C$2:$C$1001,C492)&gt;1),"중복 의심",""))))</f>
        <v/>
      </c>
      <c r="G492" s="25">
        <f>IF(OR(COUNTA(A492:E492)=0,OR(ISNUMBER(SEARCH("소계",B492)),ISNUMBER(SEARCH("합계",B492)))),"",1+COUNTIF($B$1:B491,"*소계*"))</f>
        <v/>
      </c>
      <c r="H492">
        <f>IF(AND(A492&lt;&gt;"",A492=가족별!$B$1,G492&lt;&gt;""),COUNTIFS($A$2:A492,가족별!$B$1,$G$2:G492,"&gt;0"),"")</f>
        <v/>
      </c>
      <c r="I492">
        <f>IF(ISNUMBER(SEARCH("소계",B492)),COUNTIF($B$2:B492,"*소계*"),"")</f>
        <v/>
      </c>
      <c r="J492">
        <f>IF(F492="",0,1)</f>
        <v/>
      </c>
    </row>
    <row r="493">
      <c r="A493" s="41" t="n"/>
      <c r="B493" s="41" t="n"/>
      <c r="C493" s="24" t="n"/>
      <c r="D493" s="41" t="n"/>
      <c r="E493" s="41" t="n"/>
      <c r="F493" s="19">
        <f>IF(COUNTA(A493:E493)=0,"",IF(OR(ISNUMBER(SEARCH("소계",B493)),ISNUMBER(SEARCH("합계",B493))),"",TRIM(IF(B493="","이름 없음 ","")&amp;IF(A493="","받은 가족 없음 ","")&amp;IF(C493="","금액 없음 ",IF(ISNUMBER(C493),IF(C493&lt;1000,"금액 확인 ",""),"금액 확인 "))&amp;IF(AND(B493&lt;&gt;"",COUNTIFS($A$2:$A$1001,A493,$B$2:$B$1001,B493,$C$2:$C$1001,C493)&gt;1),"중복 의심",""))))</f>
        <v/>
      </c>
      <c r="G493" s="25">
        <f>IF(OR(COUNTA(A493:E493)=0,OR(ISNUMBER(SEARCH("소계",B493)),ISNUMBER(SEARCH("합계",B493)))),"",1+COUNTIF($B$1:B492,"*소계*"))</f>
        <v/>
      </c>
      <c r="H493">
        <f>IF(AND(A493&lt;&gt;"",A493=가족별!$B$1,G493&lt;&gt;""),COUNTIFS($A$2:A493,가족별!$B$1,$G$2:G493,"&gt;0"),"")</f>
        <v/>
      </c>
      <c r="I493">
        <f>IF(ISNUMBER(SEARCH("소계",B493)),COUNTIF($B$2:B493,"*소계*"),"")</f>
        <v/>
      </c>
      <c r="J493">
        <f>IF(F493="",0,1)</f>
        <v/>
      </c>
    </row>
    <row r="494">
      <c r="A494" s="41" t="n"/>
      <c r="B494" s="41" t="n"/>
      <c r="C494" s="24" t="n"/>
      <c r="D494" s="41" t="n"/>
      <c r="E494" s="41" t="n"/>
      <c r="F494" s="19">
        <f>IF(COUNTA(A494:E494)=0,"",IF(OR(ISNUMBER(SEARCH("소계",B494)),ISNUMBER(SEARCH("합계",B494))),"",TRIM(IF(B494="","이름 없음 ","")&amp;IF(A494="","받은 가족 없음 ","")&amp;IF(C494="","금액 없음 ",IF(ISNUMBER(C494),IF(C494&lt;1000,"금액 확인 ",""),"금액 확인 "))&amp;IF(AND(B494&lt;&gt;"",COUNTIFS($A$2:$A$1001,A494,$B$2:$B$1001,B494,$C$2:$C$1001,C494)&gt;1),"중복 의심",""))))</f>
        <v/>
      </c>
      <c r="G494" s="25">
        <f>IF(OR(COUNTA(A494:E494)=0,OR(ISNUMBER(SEARCH("소계",B494)),ISNUMBER(SEARCH("합계",B494)))),"",1+COUNTIF($B$1:B493,"*소계*"))</f>
        <v/>
      </c>
      <c r="H494">
        <f>IF(AND(A494&lt;&gt;"",A494=가족별!$B$1,G494&lt;&gt;""),COUNTIFS($A$2:A494,가족별!$B$1,$G$2:G494,"&gt;0"),"")</f>
        <v/>
      </c>
      <c r="I494">
        <f>IF(ISNUMBER(SEARCH("소계",B494)),COUNTIF($B$2:B494,"*소계*"),"")</f>
        <v/>
      </c>
      <c r="J494">
        <f>IF(F494="",0,1)</f>
        <v/>
      </c>
    </row>
    <row r="495">
      <c r="A495" s="41" t="n"/>
      <c r="B495" s="41" t="n"/>
      <c r="C495" s="24" t="n"/>
      <c r="D495" s="41" t="n"/>
      <c r="E495" s="41" t="n"/>
      <c r="F495" s="19">
        <f>IF(COUNTA(A495:E495)=0,"",IF(OR(ISNUMBER(SEARCH("소계",B495)),ISNUMBER(SEARCH("합계",B495))),"",TRIM(IF(B495="","이름 없음 ","")&amp;IF(A495="","받은 가족 없음 ","")&amp;IF(C495="","금액 없음 ",IF(ISNUMBER(C495),IF(C495&lt;1000,"금액 확인 ",""),"금액 확인 "))&amp;IF(AND(B495&lt;&gt;"",COUNTIFS($A$2:$A$1001,A495,$B$2:$B$1001,B495,$C$2:$C$1001,C495)&gt;1),"중복 의심",""))))</f>
        <v/>
      </c>
      <c r="G495" s="25">
        <f>IF(OR(COUNTA(A495:E495)=0,OR(ISNUMBER(SEARCH("소계",B495)),ISNUMBER(SEARCH("합계",B495)))),"",1+COUNTIF($B$1:B494,"*소계*"))</f>
        <v/>
      </c>
      <c r="H495">
        <f>IF(AND(A495&lt;&gt;"",A495=가족별!$B$1,G495&lt;&gt;""),COUNTIFS($A$2:A495,가족별!$B$1,$G$2:G495,"&gt;0"),"")</f>
        <v/>
      </c>
      <c r="I495">
        <f>IF(ISNUMBER(SEARCH("소계",B495)),COUNTIF($B$2:B495,"*소계*"),"")</f>
        <v/>
      </c>
      <c r="J495">
        <f>IF(F495="",0,1)</f>
        <v/>
      </c>
    </row>
    <row r="496">
      <c r="A496" s="41" t="n"/>
      <c r="B496" s="41" t="n"/>
      <c r="C496" s="24" t="n"/>
      <c r="D496" s="41" t="n"/>
      <c r="E496" s="41" t="n"/>
      <c r="F496" s="19">
        <f>IF(COUNTA(A496:E496)=0,"",IF(OR(ISNUMBER(SEARCH("소계",B496)),ISNUMBER(SEARCH("합계",B496))),"",TRIM(IF(B496="","이름 없음 ","")&amp;IF(A496="","받은 가족 없음 ","")&amp;IF(C496="","금액 없음 ",IF(ISNUMBER(C496),IF(C496&lt;1000,"금액 확인 ",""),"금액 확인 "))&amp;IF(AND(B496&lt;&gt;"",COUNTIFS($A$2:$A$1001,A496,$B$2:$B$1001,B496,$C$2:$C$1001,C496)&gt;1),"중복 의심",""))))</f>
        <v/>
      </c>
      <c r="G496" s="25">
        <f>IF(OR(COUNTA(A496:E496)=0,OR(ISNUMBER(SEARCH("소계",B496)),ISNUMBER(SEARCH("합계",B496)))),"",1+COUNTIF($B$1:B495,"*소계*"))</f>
        <v/>
      </c>
      <c r="H496">
        <f>IF(AND(A496&lt;&gt;"",A496=가족별!$B$1,G496&lt;&gt;""),COUNTIFS($A$2:A496,가족별!$B$1,$G$2:G496,"&gt;0"),"")</f>
        <v/>
      </c>
      <c r="I496">
        <f>IF(ISNUMBER(SEARCH("소계",B496)),COUNTIF($B$2:B496,"*소계*"),"")</f>
        <v/>
      </c>
      <c r="J496">
        <f>IF(F496="",0,1)</f>
        <v/>
      </c>
    </row>
    <row r="497">
      <c r="A497" s="41" t="n"/>
      <c r="B497" s="41" t="n"/>
      <c r="C497" s="24" t="n"/>
      <c r="D497" s="41" t="n"/>
      <c r="E497" s="41" t="n"/>
      <c r="F497" s="19">
        <f>IF(COUNTA(A497:E497)=0,"",IF(OR(ISNUMBER(SEARCH("소계",B497)),ISNUMBER(SEARCH("합계",B497))),"",TRIM(IF(B497="","이름 없음 ","")&amp;IF(A497="","받은 가족 없음 ","")&amp;IF(C497="","금액 없음 ",IF(ISNUMBER(C497),IF(C497&lt;1000,"금액 확인 ",""),"금액 확인 "))&amp;IF(AND(B497&lt;&gt;"",COUNTIFS($A$2:$A$1001,A497,$B$2:$B$1001,B497,$C$2:$C$1001,C497)&gt;1),"중복 의심",""))))</f>
        <v/>
      </c>
      <c r="G497" s="25">
        <f>IF(OR(COUNTA(A497:E497)=0,OR(ISNUMBER(SEARCH("소계",B497)),ISNUMBER(SEARCH("합계",B497)))),"",1+COUNTIF($B$1:B496,"*소계*"))</f>
        <v/>
      </c>
      <c r="H497">
        <f>IF(AND(A497&lt;&gt;"",A497=가족별!$B$1,G497&lt;&gt;""),COUNTIFS($A$2:A497,가족별!$B$1,$G$2:G497,"&gt;0"),"")</f>
        <v/>
      </c>
      <c r="I497">
        <f>IF(ISNUMBER(SEARCH("소계",B497)),COUNTIF($B$2:B497,"*소계*"),"")</f>
        <v/>
      </c>
      <c r="J497">
        <f>IF(F497="",0,1)</f>
        <v/>
      </c>
    </row>
    <row r="498">
      <c r="A498" s="41" t="n"/>
      <c r="B498" s="41" t="n"/>
      <c r="C498" s="24" t="n"/>
      <c r="D498" s="41" t="n"/>
      <c r="E498" s="41" t="n"/>
      <c r="F498" s="19">
        <f>IF(COUNTA(A498:E498)=0,"",IF(OR(ISNUMBER(SEARCH("소계",B498)),ISNUMBER(SEARCH("합계",B498))),"",TRIM(IF(B498="","이름 없음 ","")&amp;IF(A498="","받은 가족 없음 ","")&amp;IF(C498="","금액 없음 ",IF(ISNUMBER(C498),IF(C498&lt;1000,"금액 확인 ",""),"금액 확인 "))&amp;IF(AND(B498&lt;&gt;"",COUNTIFS($A$2:$A$1001,A498,$B$2:$B$1001,B498,$C$2:$C$1001,C498)&gt;1),"중복 의심",""))))</f>
        <v/>
      </c>
      <c r="G498" s="25">
        <f>IF(OR(COUNTA(A498:E498)=0,OR(ISNUMBER(SEARCH("소계",B498)),ISNUMBER(SEARCH("합계",B498)))),"",1+COUNTIF($B$1:B497,"*소계*"))</f>
        <v/>
      </c>
      <c r="H498">
        <f>IF(AND(A498&lt;&gt;"",A498=가족별!$B$1,G498&lt;&gt;""),COUNTIFS($A$2:A498,가족별!$B$1,$G$2:G498,"&gt;0"),"")</f>
        <v/>
      </c>
      <c r="I498">
        <f>IF(ISNUMBER(SEARCH("소계",B498)),COUNTIF($B$2:B498,"*소계*"),"")</f>
        <v/>
      </c>
      <c r="J498">
        <f>IF(F498="",0,1)</f>
        <v/>
      </c>
    </row>
    <row r="499">
      <c r="A499" s="41" t="n"/>
      <c r="B499" s="41" t="n"/>
      <c r="C499" s="24" t="n"/>
      <c r="D499" s="41" t="n"/>
      <c r="E499" s="41" t="n"/>
      <c r="F499" s="19">
        <f>IF(COUNTA(A499:E499)=0,"",IF(OR(ISNUMBER(SEARCH("소계",B499)),ISNUMBER(SEARCH("합계",B499))),"",TRIM(IF(B499="","이름 없음 ","")&amp;IF(A499="","받은 가족 없음 ","")&amp;IF(C499="","금액 없음 ",IF(ISNUMBER(C499),IF(C499&lt;1000,"금액 확인 ",""),"금액 확인 "))&amp;IF(AND(B499&lt;&gt;"",COUNTIFS($A$2:$A$1001,A499,$B$2:$B$1001,B499,$C$2:$C$1001,C499)&gt;1),"중복 의심",""))))</f>
        <v/>
      </c>
      <c r="G499" s="25">
        <f>IF(OR(COUNTA(A499:E499)=0,OR(ISNUMBER(SEARCH("소계",B499)),ISNUMBER(SEARCH("합계",B499)))),"",1+COUNTIF($B$1:B498,"*소계*"))</f>
        <v/>
      </c>
      <c r="H499">
        <f>IF(AND(A499&lt;&gt;"",A499=가족별!$B$1,G499&lt;&gt;""),COUNTIFS($A$2:A499,가족별!$B$1,$G$2:G499,"&gt;0"),"")</f>
        <v/>
      </c>
      <c r="I499">
        <f>IF(ISNUMBER(SEARCH("소계",B499)),COUNTIF($B$2:B499,"*소계*"),"")</f>
        <v/>
      </c>
      <c r="J499">
        <f>IF(F499="",0,1)</f>
        <v/>
      </c>
    </row>
    <row r="500">
      <c r="A500" s="41" t="n"/>
      <c r="B500" s="41" t="n"/>
      <c r="C500" s="24" t="n"/>
      <c r="D500" s="41" t="n"/>
      <c r="E500" s="41" t="n"/>
      <c r="F500" s="19">
        <f>IF(COUNTA(A500:E500)=0,"",IF(OR(ISNUMBER(SEARCH("소계",B500)),ISNUMBER(SEARCH("합계",B500))),"",TRIM(IF(B500="","이름 없음 ","")&amp;IF(A500="","받은 가족 없음 ","")&amp;IF(C500="","금액 없음 ",IF(ISNUMBER(C500),IF(C500&lt;1000,"금액 확인 ",""),"금액 확인 "))&amp;IF(AND(B500&lt;&gt;"",COUNTIFS($A$2:$A$1001,A500,$B$2:$B$1001,B500,$C$2:$C$1001,C500)&gt;1),"중복 의심",""))))</f>
        <v/>
      </c>
      <c r="G500" s="25">
        <f>IF(OR(COUNTA(A500:E500)=0,OR(ISNUMBER(SEARCH("소계",B500)),ISNUMBER(SEARCH("합계",B500)))),"",1+COUNTIF($B$1:B499,"*소계*"))</f>
        <v/>
      </c>
      <c r="H500">
        <f>IF(AND(A500&lt;&gt;"",A500=가족별!$B$1,G500&lt;&gt;""),COUNTIFS($A$2:A500,가족별!$B$1,$G$2:G500,"&gt;0"),"")</f>
        <v/>
      </c>
      <c r="I500">
        <f>IF(ISNUMBER(SEARCH("소계",B500)),COUNTIF($B$2:B500,"*소계*"),"")</f>
        <v/>
      </c>
      <c r="J500">
        <f>IF(F500="",0,1)</f>
        <v/>
      </c>
    </row>
    <row r="501">
      <c r="A501" s="41" t="n"/>
      <c r="B501" s="41" t="n"/>
      <c r="C501" s="24" t="n"/>
      <c r="D501" s="41" t="n"/>
      <c r="E501" s="41" t="n"/>
      <c r="F501" s="19">
        <f>IF(COUNTA(A501:E501)=0,"",IF(OR(ISNUMBER(SEARCH("소계",B501)),ISNUMBER(SEARCH("합계",B501))),"",TRIM(IF(B501="","이름 없음 ","")&amp;IF(A501="","받은 가족 없음 ","")&amp;IF(C501="","금액 없음 ",IF(ISNUMBER(C501),IF(C501&lt;1000,"금액 확인 ",""),"금액 확인 "))&amp;IF(AND(B501&lt;&gt;"",COUNTIFS($A$2:$A$1001,A501,$B$2:$B$1001,B501,$C$2:$C$1001,C501)&gt;1),"중복 의심",""))))</f>
        <v/>
      </c>
      <c r="G501" s="25">
        <f>IF(OR(COUNTA(A501:E501)=0,OR(ISNUMBER(SEARCH("소계",B501)),ISNUMBER(SEARCH("합계",B501)))),"",1+COUNTIF($B$1:B500,"*소계*"))</f>
        <v/>
      </c>
      <c r="H501">
        <f>IF(AND(A501&lt;&gt;"",A501=가족별!$B$1,G501&lt;&gt;""),COUNTIFS($A$2:A501,가족별!$B$1,$G$2:G501,"&gt;0"),"")</f>
        <v/>
      </c>
      <c r="I501">
        <f>IF(ISNUMBER(SEARCH("소계",B501)),COUNTIF($B$2:B501,"*소계*"),"")</f>
        <v/>
      </c>
      <c r="J501">
        <f>IF(F501="",0,1)</f>
        <v/>
      </c>
    </row>
    <row r="502">
      <c r="A502" s="41" t="n"/>
      <c r="B502" s="41" t="n"/>
      <c r="C502" s="24" t="n"/>
      <c r="D502" s="41" t="n"/>
      <c r="E502" s="41" t="n"/>
      <c r="F502" s="19">
        <f>IF(COUNTA(A502:E502)=0,"",IF(OR(ISNUMBER(SEARCH("소계",B502)),ISNUMBER(SEARCH("합계",B502))),"",TRIM(IF(B502="","이름 없음 ","")&amp;IF(A502="","받은 가족 없음 ","")&amp;IF(C502="","금액 없음 ",IF(ISNUMBER(C502),IF(C502&lt;1000,"금액 확인 ",""),"금액 확인 "))&amp;IF(AND(B502&lt;&gt;"",COUNTIFS($A$2:$A$1001,A502,$B$2:$B$1001,B502,$C$2:$C$1001,C502)&gt;1),"중복 의심",""))))</f>
        <v/>
      </c>
      <c r="G502" s="25">
        <f>IF(OR(COUNTA(A502:E502)=0,OR(ISNUMBER(SEARCH("소계",B502)),ISNUMBER(SEARCH("합계",B502)))),"",1+COUNTIF($B$1:B501,"*소계*"))</f>
        <v/>
      </c>
      <c r="H502">
        <f>IF(AND(A502&lt;&gt;"",A502=가족별!$B$1,G502&lt;&gt;""),COUNTIFS($A$2:A502,가족별!$B$1,$G$2:G502,"&gt;0"),"")</f>
        <v/>
      </c>
      <c r="I502">
        <f>IF(ISNUMBER(SEARCH("소계",B502)),COUNTIF($B$2:B502,"*소계*"),"")</f>
        <v/>
      </c>
      <c r="J502">
        <f>IF(F502="",0,1)</f>
        <v/>
      </c>
    </row>
    <row r="503">
      <c r="A503" s="41" t="n"/>
      <c r="B503" s="41" t="n"/>
      <c r="C503" s="24" t="n"/>
      <c r="D503" s="41" t="n"/>
      <c r="E503" s="41" t="n"/>
      <c r="F503" s="19">
        <f>IF(COUNTA(A503:E503)=0,"",IF(OR(ISNUMBER(SEARCH("소계",B503)),ISNUMBER(SEARCH("합계",B503))),"",TRIM(IF(B503="","이름 없음 ","")&amp;IF(A503="","받은 가족 없음 ","")&amp;IF(C503="","금액 없음 ",IF(ISNUMBER(C503),IF(C503&lt;1000,"금액 확인 ",""),"금액 확인 "))&amp;IF(AND(B503&lt;&gt;"",COUNTIFS($A$2:$A$1001,A503,$B$2:$B$1001,B503,$C$2:$C$1001,C503)&gt;1),"중복 의심",""))))</f>
        <v/>
      </c>
      <c r="G503" s="25">
        <f>IF(OR(COUNTA(A503:E503)=0,OR(ISNUMBER(SEARCH("소계",B503)),ISNUMBER(SEARCH("합계",B503)))),"",1+COUNTIF($B$1:B502,"*소계*"))</f>
        <v/>
      </c>
      <c r="H503">
        <f>IF(AND(A503&lt;&gt;"",A503=가족별!$B$1,G503&lt;&gt;""),COUNTIFS($A$2:A503,가족별!$B$1,$G$2:G503,"&gt;0"),"")</f>
        <v/>
      </c>
      <c r="I503">
        <f>IF(ISNUMBER(SEARCH("소계",B503)),COUNTIF($B$2:B503,"*소계*"),"")</f>
        <v/>
      </c>
      <c r="J503">
        <f>IF(F503="",0,1)</f>
        <v/>
      </c>
    </row>
    <row r="504">
      <c r="A504" s="41" t="n"/>
      <c r="B504" s="41" t="n"/>
      <c r="C504" s="24" t="n"/>
      <c r="D504" s="41" t="n"/>
      <c r="E504" s="41" t="n"/>
      <c r="F504" s="19">
        <f>IF(COUNTA(A504:E504)=0,"",IF(OR(ISNUMBER(SEARCH("소계",B504)),ISNUMBER(SEARCH("합계",B504))),"",TRIM(IF(B504="","이름 없음 ","")&amp;IF(A504="","받은 가족 없음 ","")&amp;IF(C504="","금액 없음 ",IF(ISNUMBER(C504),IF(C504&lt;1000,"금액 확인 ",""),"금액 확인 "))&amp;IF(AND(B504&lt;&gt;"",COUNTIFS($A$2:$A$1001,A504,$B$2:$B$1001,B504,$C$2:$C$1001,C504)&gt;1),"중복 의심",""))))</f>
        <v/>
      </c>
      <c r="G504" s="25">
        <f>IF(OR(COUNTA(A504:E504)=0,OR(ISNUMBER(SEARCH("소계",B504)),ISNUMBER(SEARCH("합계",B504)))),"",1+COUNTIF($B$1:B503,"*소계*"))</f>
        <v/>
      </c>
      <c r="H504">
        <f>IF(AND(A504&lt;&gt;"",A504=가족별!$B$1,G504&lt;&gt;""),COUNTIFS($A$2:A504,가족별!$B$1,$G$2:G504,"&gt;0"),"")</f>
        <v/>
      </c>
      <c r="I504">
        <f>IF(ISNUMBER(SEARCH("소계",B504)),COUNTIF($B$2:B504,"*소계*"),"")</f>
        <v/>
      </c>
      <c r="J504">
        <f>IF(F504="",0,1)</f>
        <v/>
      </c>
    </row>
    <row r="505">
      <c r="A505" s="41" t="n"/>
      <c r="B505" s="41" t="n"/>
      <c r="C505" s="24" t="n"/>
      <c r="D505" s="41" t="n"/>
      <c r="E505" s="41" t="n"/>
      <c r="F505" s="19">
        <f>IF(COUNTA(A505:E505)=0,"",IF(OR(ISNUMBER(SEARCH("소계",B505)),ISNUMBER(SEARCH("합계",B505))),"",TRIM(IF(B505="","이름 없음 ","")&amp;IF(A505="","받은 가족 없음 ","")&amp;IF(C505="","금액 없음 ",IF(ISNUMBER(C505),IF(C505&lt;1000,"금액 확인 ",""),"금액 확인 "))&amp;IF(AND(B505&lt;&gt;"",COUNTIFS($A$2:$A$1001,A505,$B$2:$B$1001,B505,$C$2:$C$1001,C505)&gt;1),"중복 의심",""))))</f>
        <v/>
      </c>
      <c r="G505" s="25">
        <f>IF(OR(COUNTA(A505:E505)=0,OR(ISNUMBER(SEARCH("소계",B505)),ISNUMBER(SEARCH("합계",B505)))),"",1+COUNTIF($B$1:B504,"*소계*"))</f>
        <v/>
      </c>
      <c r="H505">
        <f>IF(AND(A505&lt;&gt;"",A505=가족별!$B$1,G505&lt;&gt;""),COUNTIFS($A$2:A505,가족별!$B$1,$G$2:G505,"&gt;0"),"")</f>
        <v/>
      </c>
      <c r="I505">
        <f>IF(ISNUMBER(SEARCH("소계",B505)),COUNTIF($B$2:B505,"*소계*"),"")</f>
        <v/>
      </c>
      <c r="J505">
        <f>IF(F505="",0,1)</f>
        <v/>
      </c>
    </row>
    <row r="506">
      <c r="A506" s="41" t="n"/>
      <c r="B506" s="41" t="n"/>
      <c r="C506" s="24" t="n"/>
      <c r="D506" s="41" t="n"/>
      <c r="E506" s="41" t="n"/>
      <c r="F506" s="19">
        <f>IF(COUNTA(A506:E506)=0,"",IF(OR(ISNUMBER(SEARCH("소계",B506)),ISNUMBER(SEARCH("합계",B506))),"",TRIM(IF(B506="","이름 없음 ","")&amp;IF(A506="","받은 가족 없음 ","")&amp;IF(C506="","금액 없음 ",IF(ISNUMBER(C506),IF(C506&lt;1000,"금액 확인 ",""),"금액 확인 "))&amp;IF(AND(B506&lt;&gt;"",COUNTIFS($A$2:$A$1001,A506,$B$2:$B$1001,B506,$C$2:$C$1001,C506)&gt;1),"중복 의심",""))))</f>
        <v/>
      </c>
      <c r="G506" s="25">
        <f>IF(OR(COUNTA(A506:E506)=0,OR(ISNUMBER(SEARCH("소계",B506)),ISNUMBER(SEARCH("합계",B506)))),"",1+COUNTIF($B$1:B505,"*소계*"))</f>
        <v/>
      </c>
      <c r="H506">
        <f>IF(AND(A506&lt;&gt;"",A506=가족별!$B$1,G506&lt;&gt;""),COUNTIFS($A$2:A506,가족별!$B$1,$G$2:G506,"&gt;0"),"")</f>
        <v/>
      </c>
      <c r="I506">
        <f>IF(ISNUMBER(SEARCH("소계",B506)),COUNTIF($B$2:B506,"*소계*"),"")</f>
        <v/>
      </c>
      <c r="J506">
        <f>IF(F506="",0,1)</f>
        <v/>
      </c>
    </row>
    <row r="507">
      <c r="A507" s="41" t="n"/>
      <c r="B507" s="41" t="n"/>
      <c r="C507" s="24" t="n"/>
      <c r="D507" s="41" t="n"/>
      <c r="E507" s="41" t="n"/>
      <c r="F507" s="19">
        <f>IF(COUNTA(A507:E507)=0,"",IF(OR(ISNUMBER(SEARCH("소계",B507)),ISNUMBER(SEARCH("합계",B507))),"",TRIM(IF(B507="","이름 없음 ","")&amp;IF(A507="","받은 가족 없음 ","")&amp;IF(C507="","금액 없음 ",IF(ISNUMBER(C507),IF(C507&lt;1000,"금액 확인 ",""),"금액 확인 "))&amp;IF(AND(B507&lt;&gt;"",COUNTIFS($A$2:$A$1001,A507,$B$2:$B$1001,B507,$C$2:$C$1001,C507)&gt;1),"중복 의심",""))))</f>
        <v/>
      </c>
      <c r="G507" s="25">
        <f>IF(OR(COUNTA(A507:E507)=0,OR(ISNUMBER(SEARCH("소계",B507)),ISNUMBER(SEARCH("합계",B507)))),"",1+COUNTIF($B$1:B506,"*소계*"))</f>
        <v/>
      </c>
      <c r="H507">
        <f>IF(AND(A507&lt;&gt;"",A507=가족별!$B$1,G507&lt;&gt;""),COUNTIFS($A$2:A507,가족별!$B$1,$G$2:G507,"&gt;0"),"")</f>
        <v/>
      </c>
      <c r="I507">
        <f>IF(ISNUMBER(SEARCH("소계",B507)),COUNTIF($B$2:B507,"*소계*"),"")</f>
        <v/>
      </c>
      <c r="J507">
        <f>IF(F507="",0,1)</f>
        <v/>
      </c>
    </row>
    <row r="508">
      <c r="A508" s="41" t="n"/>
      <c r="B508" s="41" t="n"/>
      <c r="C508" s="24" t="n"/>
      <c r="D508" s="41" t="n"/>
      <c r="E508" s="41" t="n"/>
      <c r="F508" s="19">
        <f>IF(COUNTA(A508:E508)=0,"",IF(OR(ISNUMBER(SEARCH("소계",B508)),ISNUMBER(SEARCH("합계",B508))),"",TRIM(IF(B508="","이름 없음 ","")&amp;IF(A508="","받은 가족 없음 ","")&amp;IF(C508="","금액 없음 ",IF(ISNUMBER(C508),IF(C508&lt;1000,"금액 확인 ",""),"금액 확인 "))&amp;IF(AND(B508&lt;&gt;"",COUNTIFS($A$2:$A$1001,A508,$B$2:$B$1001,B508,$C$2:$C$1001,C508)&gt;1),"중복 의심",""))))</f>
        <v/>
      </c>
      <c r="G508" s="25">
        <f>IF(OR(COUNTA(A508:E508)=0,OR(ISNUMBER(SEARCH("소계",B508)),ISNUMBER(SEARCH("합계",B508)))),"",1+COUNTIF($B$1:B507,"*소계*"))</f>
        <v/>
      </c>
      <c r="H508">
        <f>IF(AND(A508&lt;&gt;"",A508=가족별!$B$1,G508&lt;&gt;""),COUNTIFS($A$2:A508,가족별!$B$1,$G$2:G508,"&gt;0"),"")</f>
        <v/>
      </c>
      <c r="I508">
        <f>IF(ISNUMBER(SEARCH("소계",B508)),COUNTIF($B$2:B508,"*소계*"),"")</f>
        <v/>
      </c>
      <c r="J508">
        <f>IF(F508="",0,1)</f>
        <v/>
      </c>
    </row>
    <row r="509">
      <c r="A509" s="41" t="n"/>
      <c r="B509" s="41" t="n"/>
      <c r="C509" s="24" t="n"/>
      <c r="D509" s="41" t="n"/>
      <c r="E509" s="41" t="n"/>
      <c r="F509" s="19">
        <f>IF(COUNTA(A509:E509)=0,"",IF(OR(ISNUMBER(SEARCH("소계",B509)),ISNUMBER(SEARCH("합계",B509))),"",TRIM(IF(B509="","이름 없음 ","")&amp;IF(A509="","받은 가족 없음 ","")&amp;IF(C509="","금액 없음 ",IF(ISNUMBER(C509),IF(C509&lt;1000,"금액 확인 ",""),"금액 확인 "))&amp;IF(AND(B509&lt;&gt;"",COUNTIFS($A$2:$A$1001,A509,$B$2:$B$1001,B509,$C$2:$C$1001,C509)&gt;1),"중복 의심",""))))</f>
        <v/>
      </c>
      <c r="G509" s="25">
        <f>IF(OR(COUNTA(A509:E509)=0,OR(ISNUMBER(SEARCH("소계",B509)),ISNUMBER(SEARCH("합계",B509)))),"",1+COUNTIF($B$1:B508,"*소계*"))</f>
        <v/>
      </c>
      <c r="H509">
        <f>IF(AND(A509&lt;&gt;"",A509=가족별!$B$1,G509&lt;&gt;""),COUNTIFS($A$2:A509,가족별!$B$1,$G$2:G509,"&gt;0"),"")</f>
        <v/>
      </c>
      <c r="I509">
        <f>IF(ISNUMBER(SEARCH("소계",B509)),COUNTIF($B$2:B509,"*소계*"),"")</f>
        <v/>
      </c>
      <c r="J509">
        <f>IF(F509="",0,1)</f>
        <v/>
      </c>
    </row>
    <row r="510">
      <c r="A510" s="41" t="n"/>
      <c r="B510" s="41" t="n"/>
      <c r="C510" s="24" t="n"/>
      <c r="D510" s="41" t="n"/>
      <c r="E510" s="41" t="n"/>
      <c r="F510" s="19">
        <f>IF(COUNTA(A510:E510)=0,"",IF(OR(ISNUMBER(SEARCH("소계",B510)),ISNUMBER(SEARCH("합계",B510))),"",TRIM(IF(B510="","이름 없음 ","")&amp;IF(A510="","받은 가족 없음 ","")&amp;IF(C510="","금액 없음 ",IF(ISNUMBER(C510),IF(C510&lt;1000,"금액 확인 ",""),"금액 확인 "))&amp;IF(AND(B510&lt;&gt;"",COUNTIFS($A$2:$A$1001,A510,$B$2:$B$1001,B510,$C$2:$C$1001,C510)&gt;1),"중복 의심",""))))</f>
        <v/>
      </c>
      <c r="G510" s="25">
        <f>IF(OR(COUNTA(A510:E510)=0,OR(ISNUMBER(SEARCH("소계",B510)),ISNUMBER(SEARCH("합계",B510)))),"",1+COUNTIF($B$1:B509,"*소계*"))</f>
        <v/>
      </c>
      <c r="H510">
        <f>IF(AND(A510&lt;&gt;"",A510=가족별!$B$1,G510&lt;&gt;""),COUNTIFS($A$2:A510,가족별!$B$1,$G$2:G510,"&gt;0"),"")</f>
        <v/>
      </c>
      <c r="I510">
        <f>IF(ISNUMBER(SEARCH("소계",B510)),COUNTIF($B$2:B510,"*소계*"),"")</f>
        <v/>
      </c>
      <c r="J510">
        <f>IF(F510="",0,1)</f>
        <v/>
      </c>
    </row>
    <row r="511">
      <c r="A511" s="41" t="n"/>
      <c r="B511" s="41" t="n"/>
      <c r="C511" s="24" t="n"/>
      <c r="D511" s="41" t="n"/>
      <c r="E511" s="41" t="n"/>
      <c r="F511" s="19">
        <f>IF(COUNTA(A511:E511)=0,"",IF(OR(ISNUMBER(SEARCH("소계",B511)),ISNUMBER(SEARCH("합계",B511))),"",TRIM(IF(B511="","이름 없음 ","")&amp;IF(A511="","받은 가족 없음 ","")&amp;IF(C511="","금액 없음 ",IF(ISNUMBER(C511),IF(C511&lt;1000,"금액 확인 ",""),"금액 확인 "))&amp;IF(AND(B511&lt;&gt;"",COUNTIFS($A$2:$A$1001,A511,$B$2:$B$1001,B511,$C$2:$C$1001,C511)&gt;1),"중복 의심",""))))</f>
        <v/>
      </c>
      <c r="G511" s="25">
        <f>IF(OR(COUNTA(A511:E511)=0,OR(ISNUMBER(SEARCH("소계",B511)),ISNUMBER(SEARCH("합계",B511)))),"",1+COUNTIF($B$1:B510,"*소계*"))</f>
        <v/>
      </c>
      <c r="H511">
        <f>IF(AND(A511&lt;&gt;"",A511=가족별!$B$1,G511&lt;&gt;""),COUNTIFS($A$2:A511,가족별!$B$1,$G$2:G511,"&gt;0"),"")</f>
        <v/>
      </c>
      <c r="I511">
        <f>IF(ISNUMBER(SEARCH("소계",B511)),COUNTIF($B$2:B511,"*소계*"),"")</f>
        <v/>
      </c>
      <c r="J511">
        <f>IF(F511="",0,1)</f>
        <v/>
      </c>
    </row>
    <row r="512">
      <c r="A512" s="41" t="n"/>
      <c r="B512" s="41" t="n"/>
      <c r="C512" s="24" t="n"/>
      <c r="D512" s="41" t="n"/>
      <c r="E512" s="41" t="n"/>
      <c r="F512" s="19">
        <f>IF(COUNTA(A512:E512)=0,"",IF(OR(ISNUMBER(SEARCH("소계",B512)),ISNUMBER(SEARCH("합계",B512))),"",TRIM(IF(B512="","이름 없음 ","")&amp;IF(A512="","받은 가족 없음 ","")&amp;IF(C512="","금액 없음 ",IF(ISNUMBER(C512),IF(C512&lt;1000,"금액 확인 ",""),"금액 확인 "))&amp;IF(AND(B512&lt;&gt;"",COUNTIFS($A$2:$A$1001,A512,$B$2:$B$1001,B512,$C$2:$C$1001,C512)&gt;1),"중복 의심",""))))</f>
        <v/>
      </c>
      <c r="G512" s="25">
        <f>IF(OR(COUNTA(A512:E512)=0,OR(ISNUMBER(SEARCH("소계",B512)),ISNUMBER(SEARCH("합계",B512)))),"",1+COUNTIF($B$1:B511,"*소계*"))</f>
        <v/>
      </c>
      <c r="H512">
        <f>IF(AND(A512&lt;&gt;"",A512=가족별!$B$1,G512&lt;&gt;""),COUNTIFS($A$2:A512,가족별!$B$1,$G$2:G512,"&gt;0"),"")</f>
        <v/>
      </c>
      <c r="I512">
        <f>IF(ISNUMBER(SEARCH("소계",B512)),COUNTIF($B$2:B512,"*소계*"),"")</f>
        <v/>
      </c>
      <c r="J512">
        <f>IF(F512="",0,1)</f>
        <v/>
      </c>
    </row>
    <row r="513">
      <c r="A513" s="41" t="n"/>
      <c r="B513" s="41" t="n"/>
      <c r="C513" s="24" t="n"/>
      <c r="D513" s="41" t="n"/>
      <c r="E513" s="41" t="n"/>
      <c r="F513" s="19">
        <f>IF(COUNTA(A513:E513)=0,"",IF(OR(ISNUMBER(SEARCH("소계",B513)),ISNUMBER(SEARCH("합계",B513))),"",TRIM(IF(B513="","이름 없음 ","")&amp;IF(A513="","받은 가족 없음 ","")&amp;IF(C513="","금액 없음 ",IF(ISNUMBER(C513),IF(C513&lt;1000,"금액 확인 ",""),"금액 확인 "))&amp;IF(AND(B513&lt;&gt;"",COUNTIFS($A$2:$A$1001,A513,$B$2:$B$1001,B513,$C$2:$C$1001,C513)&gt;1),"중복 의심",""))))</f>
        <v/>
      </c>
      <c r="G513" s="25">
        <f>IF(OR(COUNTA(A513:E513)=0,OR(ISNUMBER(SEARCH("소계",B513)),ISNUMBER(SEARCH("합계",B513)))),"",1+COUNTIF($B$1:B512,"*소계*"))</f>
        <v/>
      </c>
      <c r="H513">
        <f>IF(AND(A513&lt;&gt;"",A513=가족별!$B$1,G513&lt;&gt;""),COUNTIFS($A$2:A513,가족별!$B$1,$G$2:G513,"&gt;0"),"")</f>
        <v/>
      </c>
      <c r="I513">
        <f>IF(ISNUMBER(SEARCH("소계",B513)),COUNTIF($B$2:B513,"*소계*"),"")</f>
        <v/>
      </c>
      <c r="J513">
        <f>IF(F513="",0,1)</f>
        <v/>
      </c>
    </row>
    <row r="514">
      <c r="A514" s="41" t="n"/>
      <c r="B514" s="41" t="n"/>
      <c r="C514" s="24" t="n"/>
      <c r="D514" s="41" t="n"/>
      <c r="E514" s="41" t="n"/>
      <c r="F514" s="19">
        <f>IF(COUNTA(A514:E514)=0,"",IF(OR(ISNUMBER(SEARCH("소계",B514)),ISNUMBER(SEARCH("합계",B514))),"",TRIM(IF(B514="","이름 없음 ","")&amp;IF(A514="","받은 가족 없음 ","")&amp;IF(C514="","금액 없음 ",IF(ISNUMBER(C514),IF(C514&lt;1000,"금액 확인 ",""),"금액 확인 "))&amp;IF(AND(B514&lt;&gt;"",COUNTIFS($A$2:$A$1001,A514,$B$2:$B$1001,B514,$C$2:$C$1001,C514)&gt;1),"중복 의심",""))))</f>
        <v/>
      </c>
      <c r="G514" s="25">
        <f>IF(OR(COUNTA(A514:E514)=0,OR(ISNUMBER(SEARCH("소계",B514)),ISNUMBER(SEARCH("합계",B514)))),"",1+COUNTIF($B$1:B513,"*소계*"))</f>
        <v/>
      </c>
      <c r="H514">
        <f>IF(AND(A514&lt;&gt;"",A514=가족별!$B$1,G514&lt;&gt;""),COUNTIFS($A$2:A514,가족별!$B$1,$G$2:G514,"&gt;0"),"")</f>
        <v/>
      </c>
      <c r="I514">
        <f>IF(ISNUMBER(SEARCH("소계",B514)),COUNTIF($B$2:B514,"*소계*"),"")</f>
        <v/>
      </c>
      <c r="J514">
        <f>IF(F514="",0,1)</f>
        <v/>
      </c>
    </row>
    <row r="515">
      <c r="A515" s="41" t="n"/>
      <c r="B515" s="41" t="n"/>
      <c r="C515" s="24" t="n"/>
      <c r="D515" s="41" t="n"/>
      <c r="E515" s="41" t="n"/>
      <c r="F515" s="19">
        <f>IF(COUNTA(A515:E515)=0,"",IF(OR(ISNUMBER(SEARCH("소계",B515)),ISNUMBER(SEARCH("합계",B515))),"",TRIM(IF(B515="","이름 없음 ","")&amp;IF(A515="","받은 가족 없음 ","")&amp;IF(C515="","금액 없음 ",IF(ISNUMBER(C515),IF(C515&lt;1000,"금액 확인 ",""),"금액 확인 "))&amp;IF(AND(B515&lt;&gt;"",COUNTIFS($A$2:$A$1001,A515,$B$2:$B$1001,B515,$C$2:$C$1001,C515)&gt;1),"중복 의심",""))))</f>
        <v/>
      </c>
      <c r="G515" s="25">
        <f>IF(OR(COUNTA(A515:E515)=0,OR(ISNUMBER(SEARCH("소계",B515)),ISNUMBER(SEARCH("합계",B515)))),"",1+COUNTIF($B$1:B514,"*소계*"))</f>
        <v/>
      </c>
      <c r="H515">
        <f>IF(AND(A515&lt;&gt;"",A515=가족별!$B$1,G515&lt;&gt;""),COUNTIFS($A$2:A515,가족별!$B$1,$G$2:G515,"&gt;0"),"")</f>
        <v/>
      </c>
      <c r="I515">
        <f>IF(ISNUMBER(SEARCH("소계",B515)),COUNTIF($B$2:B515,"*소계*"),"")</f>
        <v/>
      </c>
      <c r="J515">
        <f>IF(F515="",0,1)</f>
        <v/>
      </c>
    </row>
    <row r="516">
      <c r="A516" s="41" t="n"/>
      <c r="B516" s="41" t="n"/>
      <c r="C516" s="24" t="n"/>
      <c r="D516" s="41" t="n"/>
      <c r="E516" s="41" t="n"/>
      <c r="F516" s="19">
        <f>IF(COUNTA(A516:E516)=0,"",IF(OR(ISNUMBER(SEARCH("소계",B516)),ISNUMBER(SEARCH("합계",B516))),"",TRIM(IF(B516="","이름 없음 ","")&amp;IF(A516="","받은 가족 없음 ","")&amp;IF(C516="","금액 없음 ",IF(ISNUMBER(C516),IF(C516&lt;1000,"금액 확인 ",""),"금액 확인 "))&amp;IF(AND(B516&lt;&gt;"",COUNTIFS($A$2:$A$1001,A516,$B$2:$B$1001,B516,$C$2:$C$1001,C516)&gt;1),"중복 의심",""))))</f>
        <v/>
      </c>
      <c r="G516" s="25">
        <f>IF(OR(COUNTA(A516:E516)=0,OR(ISNUMBER(SEARCH("소계",B516)),ISNUMBER(SEARCH("합계",B516)))),"",1+COUNTIF($B$1:B515,"*소계*"))</f>
        <v/>
      </c>
      <c r="H516">
        <f>IF(AND(A516&lt;&gt;"",A516=가족별!$B$1,G516&lt;&gt;""),COUNTIFS($A$2:A516,가족별!$B$1,$G$2:G516,"&gt;0"),"")</f>
        <v/>
      </c>
      <c r="I516">
        <f>IF(ISNUMBER(SEARCH("소계",B516)),COUNTIF($B$2:B516,"*소계*"),"")</f>
        <v/>
      </c>
      <c r="J516">
        <f>IF(F516="",0,1)</f>
        <v/>
      </c>
    </row>
    <row r="517">
      <c r="A517" s="41" t="n"/>
      <c r="B517" s="41" t="n"/>
      <c r="C517" s="24" t="n"/>
      <c r="D517" s="41" t="n"/>
      <c r="E517" s="41" t="n"/>
      <c r="F517" s="19">
        <f>IF(COUNTA(A517:E517)=0,"",IF(OR(ISNUMBER(SEARCH("소계",B517)),ISNUMBER(SEARCH("합계",B517))),"",TRIM(IF(B517="","이름 없음 ","")&amp;IF(A517="","받은 가족 없음 ","")&amp;IF(C517="","금액 없음 ",IF(ISNUMBER(C517),IF(C517&lt;1000,"금액 확인 ",""),"금액 확인 "))&amp;IF(AND(B517&lt;&gt;"",COUNTIFS($A$2:$A$1001,A517,$B$2:$B$1001,B517,$C$2:$C$1001,C517)&gt;1),"중복 의심",""))))</f>
        <v/>
      </c>
      <c r="G517" s="25">
        <f>IF(OR(COUNTA(A517:E517)=0,OR(ISNUMBER(SEARCH("소계",B517)),ISNUMBER(SEARCH("합계",B517)))),"",1+COUNTIF($B$1:B516,"*소계*"))</f>
        <v/>
      </c>
      <c r="H517">
        <f>IF(AND(A517&lt;&gt;"",A517=가족별!$B$1,G517&lt;&gt;""),COUNTIFS($A$2:A517,가족별!$B$1,$G$2:G517,"&gt;0"),"")</f>
        <v/>
      </c>
      <c r="I517">
        <f>IF(ISNUMBER(SEARCH("소계",B517)),COUNTIF($B$2:B517,"*소계*"),"")</f>
        <v/>
      </c>
      <c r="J517">
        <f>IF(F517="",0,1)</f>
        <v/>
      </c>
    </row>
    <row r="518">
      <c r="A518" s="41" t="n"/>
      <c r="B518" s="41" t="n"/>
      <c r="C518" s="24" t="n"/>
      <c r="D518" s="41" t="n"/>
      <c r="E518" s="41" t="n"/>
      <c r="F518" s="19">
        <f>IF(COUNTA(A518:E518)=0,"",IF(OR(ISNUMBER(SEARCH("소계",B518)),ISNUMBER(SEARCH("합계",B518))),"",TRIM(IF(B518="","이름 없음 ","")&amp;IF(A518="","받은 가족 없음 ","")&amp;IF(C518="","금액 없음 ",IF(ISNUMBER(C518),IF(C518&lt;1000,"금액 확인 ",""),"금액 확인 "))&amp;IF(AND(B518&lt;&gt;"",COUNTIFS($A$2:$A$1001,A518,$B$2:$B$1001,B518,$C$2:$C$1001,C518)&gt;1),"중복 의심",""))))</f>
        <v/>
      </c>
      <c r="G518" s="25">
        <f>IF(OR(COUNTA(A518:E518)=0,OR(ISNUMBER(SEARCH("소계",B518)),ISNUMBER(SEARCH("합계",B518)))),"",1+COUNTIF($B$1:B517,"*소계*"))</f>
        <v/>
      </c>
      <c r="H518">
        <f>IF(AND(A518&lt;&gt;"",A518=가족별!$B$1,G518&lt;&gt;""),COUNTIFS($A$2:A518,가족별!$B$1,$G$2:G518,"&gt;0"),"")</f>
        <v/>
      </c>
      <c r="I518">
        <f>IF(ISNUMBER(SEARCH("소계",B518)),COUNTIF($B$2:B518,"*소계*"),"")</f>
        <v/>
      </c>
      <c r="J518">
        <f>IF(F518="",0,1)</f>
        <v/>
      </c>
    </row>
    <row r="519">
      <c r="A519" s="41" t="n"/>
      <c r="B519" s="41" t="n"/>
      <c r="C519" s="24" t="n"/>
      <c r="D519" s="41" t="n"/>
      <c r="E519" s="41" t="n"/>
      <c r="F519" s="19">
        <f>IF(COUNTA(A519:E519)=0,"",IF(OR(ISNUMBER(SEARCH("소계",B519)),ISNUMBER(SEARCH("합계",B519))),"",TRIM(IF(B519="","이름 없음 ","")&amp;IF(A519="","받은 가족 없음 ","")&amp;IF(C519="","금액 없음 ",IF(ISNUMBER(C519),IF(C519&lt;1000,"금액 확인 ",""),"금액 확인 "))&amp;IF(AND(B519&lt;&gt;"",COUNTIFS($A$2:$A$1001,A519,$B$2:$B$1001,B519,$C$2:$C$1001,C519)&gt;1),"중복 의심",""))))</f>
        <v/>
      </c>
      <c r="G519" s="25">
        <f>IF(OR(COUNTA(A519:E519)=0,OR(ISNUMBER(SEARCH("소계",B519)),ISNUMBER(SEARCH("합계",B519)))),"",1+COUNTIF($B$1:B518,"*소계*"))</f>
        <v/>
      </c>
      <c r="H519">
        <f>IF(AND(A519&lt;&gt;"",A519=가족별!$B$1,G519&lt;&gt;""),COUNTIFS($A$2:A519,가족별!$B$1,$G$2:G519,"&gt;0"),"")</f>
        <v/>
      </c>
      <c r="I519">
        <f>IF(ISNUMBER(SEARCH("소계",B519)),COUNTIF($B$2:B519,"*소계*"),"")</f>
        <v/>
      </c>
      <c r="J519">
        <f>IF(F519="",0,1)</f>
        <v/>
      </c>
    </row>
    <row r="520">
      <c r="A520" s="41" t="n"/>
      <c r="B520" s="41" t="n"/>
      <c r="C520" s="24" t="n"/>
      <c r="D520" s="41" t="n"/>
      <c r="E520" s="41" t="n"/>
      <c r="F520" s="19">
        <f>IF(COUNTA(A520:E520)=0,"",IF(OR(ISNUMBER(SEARCH("소계",B520)),ISNUMBER(SEARCH("합계",B520))),"",TRIM(IF(B520="","이름 없음 ","")&amp;IF(A520="","받은 가족 없음 ","")&amp;IF(C520="","금액 없음 ",IF(ISNUMBER(C520),IF(C520&lt;1000,"금액 확인 ",""),"금액 확인 "))&amp;IF(AND(B520&lt;&gt;"",COUNTIFS($A$2:$A$1001,A520,$B$2:$B$1001,B520,$C$2:$C$1001,C520)&gt;1),"중복 의심",""))))</f>
        <v/>
      </c>
      <c r="G520" s="25">
        <f>IF(OR(COUNTA(A520:E520)=0,OR(ISNUMBER(SEARCH("소계",B520)),ISNUMBER(SEARCH("합계",B520)))),"",1+COUNTIF($B$1:B519,"*소계*"))</f>
        <v/>
      </c>
      <c r="H520">
        <f>IF(AND(A520&lt;&gt;"",A520=가족별!$B$1,G520&lt;&gt;""),COUNTIFS($A$2:A520,가족별!$B$1,$G$2:G520,"&gt;0"),"")</f>
        <v/>
      </c>
      <c r="I520">
        <f>IF(ISNUMBER(SEARCH("소계",B520)),COUNTIF($B$2:B520,"*소계*"),"")</f>
        <v/>
      </c>
      <c r="J520">
        <f>IF(F520="",0,1)</f>
        <v/>
      </c>
    </row>
    <row r="521">
      <c r="A521" s="41" t="n"/>
      <c r="B521" s="41" t="n"/>
      <c r="C521" s="24" t="n"/>
      <c r="D521" s="41" t="n"/>
      <c r="E521" s="41" t="n"/>
      <c r="F521" s="19">
        <f>IF(COUNTA(A521:E521)=0,"",IF(OR(ISNUMBER(SEARCH("소계",B521)),ISNUMBER(SEARCH("합계",B521))),"",TRIM(IF(B521="","이름 없음 ","")&amp;IF(A521="","받은 가족 없음 ","")&amp;IF(C521="","금액 없음 ",IF(ISNUMBER(C521),IF(C521&lt;1000,"금액 확인 ",""),"금액 확인 "))&amp;IF(AND(B521&lt;&gt;"",COUNTIFS($A$2:$A$1001,A521,$B$2:$B$1001,B521,$C$2:$C$1001,C521)&gt;1),"중복 의심",""))))</f>
        <v/>
      </c>
      <c r="G521" s="25">
        <f>IF(OR(COUNTA(A521:E521)=0,OR(ISNUMBER(SEARCH("소계",B521)),ISNUMBER(SEARCH("합계",B521)))),"",1+COUNTIF($B$1:B520,"*소계*"))</f>
        <v/>
      </c>
      <c r="H521">
        <f>IF(AND(A521&lt;&gt;"",A521=가족별!$B$1,G521&lt;&gt;""),COUNTIFS($A$2:A521,가족별!$B$1,$G$2:G521,"&gt;0"),"")</f>
        <v/>
      </c>
      <c r="I521">
        <f>IF(ISNUMBER(SEARCH("소계",B521)),COUNTIF($B$2:B521,"*소계*"),"")</f>
        <v/>
      </c>
      <c r="J521">
        <f>IF(F521="",0,1)</f>
        <v/>
      </c>
    </row>
    <row r="522">
      <c r="A522" s="41" t="n"/>
      <c r="B522" s="41" t="n"/>
      <c r="C522" s="24" t="n"/>
      <c r="D522" s="41" t="n"/>
      <c r="E522" s="41" t="n"/>
      <c r="F522" s="19">
        <f>IF(COUNTA(A522:E522)=0,"",IF(OR(ISNUMBER(SEARCH("소계",B522)),ISNUMBER(SEARCH("합계",B522))),"",TRIM(IF(B522="","이름 없음 ","")&amp;IF(A522="","받은 가족 없음 ","")&amp;IF(C522="","금액 없음 ",IF(ISNUMBER(C522),IF(C522&lt;1000,"금액 확인 ",""),"금액 확인 "))&amp;IF(AND(B522&lt;&gt;"",COUNTIFS($A$2:$A$1001,A522,$B$2:$B$1001,B522,$C$2:$C$1001,C522)&gt;1),"중복 의심",""))))</f>
        <v/>
      </c>
      <c r="G522" s="25">
        <f>IF(OR(COUNTA(A522:E522)=0,OR(ISNUMBER(SEARCH("소계",B522)),ISNUMBER(SEARCH("합계",B522)))),"",1+COUNTIF($B$1:B521,"*소계*"))</f>
        <v/>
      </c>
      <c r="H522">
        <f>IF(AND(A522&lt;&gt;"",A522=가족별!$B$1,G522&lt;&gt;""),COUNTIFS($A$2:A522,가족별!$B$1,$G$2:G522,"&gt;0"),"")</f>
        <v/>
      </c>
      <c r="I522">
        <f>IF(ISNUMBER(SEARCH("소계",B522)),COUNTIF($B$2:B522,"*소계*"),"")</f>
        <v/>
      </c>
      <c r="J522">
        <f>IF(F522="",0,1)</f>
        <v/>
      </c>
    </row>
    <row r="523">
      <c r="A523" s="41" t="n"/>
      <c r="B523" s="41" t="n"/>
      <c r="C523" s="24" t="n"/>
      <c r="D523" s="41" t="n"/>
      <c r="E523" s="41" t="n"/>
      <c r="F523" s="19">
        <f>IF(COUNTA(A523:E523)=0,"",IF(OR(ISNUMBER(SEARCH("소계",B523)),ISNUMBER(SEARCH("합계",B523))),"",TRIM(IF(B523="","이름 없음 ","")&amp;IF(A523="","받은 가족 없음 ","")&amp;IF(C523="","금액 없음 ",IF(ISNUMBER(C523),IF(C523&lt;1000,"금액 확인 ",""),"금액 확인 "))&amp;IF(AND(B523&lt;&gt;"",COUNTIFS($A$2:$A$1001,A523,$B$2:$B$1001,B523,$C$2:$C$1001,C523)&gt;1),"중복 의심",""))))</f>
        <v/>
      </c>
      <c r="G523" s="25">
        <f>IF(OR(COUNTA(A523:E523)=0,OR(ISNUMBER(SEARCH("소계",B523)),ISNUMBER(SEARCH("합계",B523)))),"",1+COUNTIF($B$1:B522,"*소계*"))</f>
        <v/>
      </c>
      <c r="H523">
        <f>IF(AND(A523&lt;&gt;"",A523=가족별!$B$1,G523&lt;&gt;""),COUNTIFS($A$2:A523,가족별!$B$1,$G$2:G523,"&gt;0"),"")</f>
        <v/>
      </c>
      <c r="I523">
        <f>IF(ISNUMBER(SEARCH("소계",B523)),COUNTIF($B$2:B523,"*소계*"),"")</f>
        <v/>
      </c>
      <c r="J523">
        <f>IF(F523="",0,1)</f>
        <v/>
      </c>
    </row>
    <row r="524">
      <c r="A524" s="41" t="n"/>
      <c r="B524" s="41" t="n"/>
      <c r="C524" s="24" t="n"/>
      <c r="D524" s="41" t="n"/>
      <c r="E524" s="41" t="n"/>
      <c r="F524" s="19">
        <f>IF(COUNTA(A524:E524)=0,"",IF(OR(ISNUMBER(SEARCH("소계",B524)),ISNUMBER(SEARCH("합계",B524))),"",TRIM(IF(B524="","이름 없음 ","")&amp;IF(A524="","받은 가족 없음 ","")&amp;IF(C524="","금액 없음 ",IF(ISNUMBER(C524),IF(C524&lt;1000,"금액 확인 ",""),"금액 확인 "))&amp;IF(AND(B524&lt;&gt;"",COUNTIFS($A$2:$A$1001,A524,$B$2:$B$1001,B524,$C$2:$C$1001,C524)&gt;1),"중복 의심",""))))</f>
        <v/>
      </c>
      <c r="G524" s="25">
        <f>IF(OR(COUNTA(A524:E524)=0,OR(ISNUMBER(SEARCH("소계",B524)),ISNUMBER(SEARCH("합계",B524)))),"",1+COUNTIF($B$1:B523,"*소계*"))</f>
        <v/>
      </c>
      <c r="H524">
        <f>IF(AND(A524&lt;&gt;"",A524=가족별!$B$1,G524&lt;&gt;""),COUNTIFS($A$2:A524,가족별!$B$1,$G$2:G524,"&gt;0"),"")</f>
        <v/>
      </c>
      <c r="I524">
        <f>IF(ISNUMBER(SEARCH("소계",B524)),COUNTIF($B$2:B524,"*소계*"),"")</f>
        <v/>
      </c>
      <c r="J524">
        <f>IF(F524="",0,1)</f>
        <v/>
      </c>
    </row>
    <row r="525">
      <c r="A525" s="41" t="n"/>
      <c r="B525" s="41" t="n"/>
      <c r="C525" s="24" t="n"/>
      <c r="D525" s="41" t="n"/>
      <c r="E525" s="41" t="n"/>
      <c r="F525" s="19">
        <f>IF(COUNTA(A525:E525)=0,"",IF(OR(ISNUMBER(SEARCH("소계",B525)),ISNUMBER(SEARCH("합계",B525))),"",TRIM(IF(B525="","이름 없음 ","")&amp;IF(A525="","받은 가족 없음 ","")&amp;IF(C525="","금액 없음 ",IF(ISNUMBER(C525),IF(C525&lt;1000,"금액 확인 ",""),"금액 확인 "))&amp;IF(AND(B525&lt;&gt;"",COUNTIFS($A$2:$A$1001,A525,$B$2:$B$1001,B525,$C$2:$C$1001,C525)&gt;1),"중복 의심",""))))</f>
        <v/>
      </c>
      <c r="G525" s="25">
        <f>IF(OR(COUNTA(A525:E525)=0,OR(ISNUMBER(SEARCH("소계",B525)),ISNUMBER(SEARCH("합계",B525)))),"",1+COUNTIF($B$1:B524,"*소계*"))</f>
        <v/>
      </c>
      <c r="H525">
        <f>IF(AND(A525&lt;&gt;"",A525=가족별!$B$1,G525&lt;&gt;""),COUNTIFS($A$2:A525,가족별!$B$1,$G$2:G525,"&gt;0"),"")</f>
        <v/>
      </c>
      <c r="I525">
        <f>IF(ISNUMBER(SEARCH("소계",B525)),COUNTIF($B$2:B525,"*소계*"),"")</f>
        <v/>
      </c>
      <c r="J525">
        <f>IF(F525="",0,1)</f>
        <v/>
      </c>
    </row>
    <row r="526">
      <c r="A526" s="41" t="n"/>
      <c r="B526" s="41" t="n"/>
      <c r="C526" s="24" t="n"/>
      <c r="D526" s="41" t="n"/>
      <c r="E526" s="41" t="n"/>
      <c r="F526" s="19">
        <f>IF(COUNTA(A526:E526)=0,"",IF(OR(ISNUMBER(SEARCH("소계",B526)),ISNUMBER(SEARCH("합계",B526))),"",TRIM(IF(B526="","이름 없음 ","")&amp;IF(A526="","받은 가족 없음 ","")&amp;IF(C526="","금액 없음 ",IF(ISNUMBER(C526),IF(C526&lt;1000,"금액 확인 ",""),"금액 확인 "))&amp;IF(AND(B526&lt;&gt;"",COUNTIFS($A$2:$A$1001,A526,$B$2:$B$1001,B526,$C$2:$C$1001,C526)&gt;1),"중복 의심",""))))</f>
        <v/>
      </c>
      <c r="G526" s="25">
        <f>IF(OR(COUNTA(A526:E526)=0,OR(ISNUMBER(SEARCH("소계",B526)),ISNUMBER(SEARCH("합계",B526)))),"",1+COUNTIF($B$1:B525,"*소계*"))</f>
        <v/>
      </c>
      <c r="H526">
        <f>IF(AND(A526&lt;&gt;"",A526=가족별!$B$1,G526&lt;&gt;""),COUNTIFS($A$2:A526,가족별!$B$1,$G$2:G526,"&gt;0"),"")</f>
        <v/>
      </c>
      <c r="I526">
        <f>IF(ISNUMBER(SEARCH("소계",B526)),COUNTIF($B$2:B526,"*소계*"),"")</f>
        <v/>
      </c>
      <c r="J526">
        <f>IF(F526="",0,1)</f>
        <v/>
      </c>
    </row>
    <row r="527">
      <c r="A527" s="41" t="n"/>
      <c r="B527" s="41" t="n"/>
      <c r="C527" s="24" t="n"/>
      <c r="D527" s="41" t="n"/>
      <c r="E527" s="41" t="n"/>
      <c r="F527" s="19">
        <f>IF(COUNTA(A527:E527)=0,"",IF(OR(ISNUMBER(SEARCH("소계",B527)),ISNUMBER(SEARCH("합계",B527))),"",TRIM(IF(B527="","이름 없음 ","")&amp;IF(A527="","받은 가족 없음 ","")&amp;IF(C527="","금액 없음 ",IF(ISNUMBER(C527),IF(C527&lt;1000,"금액 확인 ",""),"금액 확인 "))&amp;IF(AND(B527&lt;&gt;"",COUNTIFS($A$2:$A$1001,A527,$B$2:$B$1001,B527,$C$2:$C$1001,C527)&gt;1),"중복 의심",""))))</f>
        <v/>
      </c>
      <c r="G527" s="25">
        <f>IF(OR(COUNTA(A527:E527)=0,OR(ISNUMBER(SEARCH("소계",B527)),ISNUMBER(SEARCH("합계",B527)))),"",1+COUNTIF($B$1:B526,"*소계*"))</f>
        <v/>
      </c>
      <c r="H527">
        <f>IF(AND(A527&lt;&gt;"",A527=가족별!$B$1,G527&lt;&gt;""),COUNTIFS($A$2:A527,가족별!$B$1,$G$2:G527,"&gt;0"),"")</f>
        <v/>
      </c>
      <c r="I527">
        <f>IF(ISNUMBER(SEARCH("소계",B527)),COUNTIF($B$2:B527,"*소계*"),"")</f>
        <v/>
      </c>
      <c r="J527">
        <f>IF(F527="",0,1)</f>
        <v/>
      </c>
    </row>
    <row r="528">
      <c r="A528" s="41" t="n"/>
      <c r="B528" s="41" t="n"/>
      <c r="C528" s="24" t="n"/>
      <c r="D528" s="41" t="n"/>
      <c r="E528" s="41" t="n"/>
      <c r="F528" s="19">
        <f>IF(COUNTA(A528:E528)=0,"",IF(OR(ISNUMBER(SEARCH("소계",B528)),ISNUMBER(SEARCH("합계",B528))),"",TRIM(IF(B528="","이름 없음 ","")&amp;IF(A528="","받은 가족 없음 ","")&amp;IF(C528="","금액 없음 ",IF(ISNUMBER(C528),IF(C528&lt;1000,"금액 확인 ",""),"금액 확인 "))&amp;IF(AND(B528&lt;&gt;"",COUNTIFS($A$2:$A$1001,A528,$B$2:$B$1001,B528,$C$2:$C$1001,C528)&gt;1),"중복 의심",""))))</f>
        <v/>
      </c>
      <c r="G528" s="25">
        <f>IF(OR(COUNTA(A528:E528)=0,OR(ISNUMBER(SEARCH("소계",B528)),ISNUMBER(SEARCH("합계",B528)))),"",1+COUNTIF($B$1:B527,"*소계*"))</f>
        <v/>
      </c>
      <c r="H528">
        <f>IF(AND(A528&lt;&gt;"",A528=가족별!$B$1,G528&lt;&gt;""),COUNTIFS($A$2:A528,가족별!$B$1,$G$2:G528,"&gt;0"),"")</f>
        <v/>
      </c>
      <c r="I528">
        <f>IF(ISNUMBER(SEARCH("소계",B528)),COUNTIF($B$2:B528,"*소계*"),"")</f>
        <v/>
      </c>
      <c r="J528">
        <f>IF(F528="",0,1)</f>
        <v/>
      </c>
    </row>
    <row r="529">
      <c r="A529" s="41" t="n"/>
      <c r="B529" s="41" t="n"/>
      <c r="C529" s="24" t="n"/>
      <c r="D529" s="41" t="n"/>
      <c r="E529" s="41" t="n"/>
      <c r="F529" s="19">
        <f>IF(COUNTA(A529:E529)=0,"",IF(OR(ISNUMBER(SEARCH("소계",B529)),ISNUMBER(SEARCH("합계",B529))),"",TRIM(IF(B529="","이름 없음 ","")&amp;IF(A529="","받은 가족 없음 ","")&amp;IF(C529="","금액 없음 ",IF(ISNUMBER(C529),IF(C529&lt;1000,"금액 확인 ",""),"금액 확인 "))&amp;IF(AND(B529&lt;&gt;"",COUNTIFS($A$2:$A$1001,A529,$B$2:$B$1001,B529,$C$2:$C$1001,C529)&gt;1),"중복 의심",""))))</f>
        <v/>
      </c>
      <c r="G529" s="25">
        <f>IF(OR(COUNTA(A529:E529)=0,OR(ISNUMBER(SEARCH("소계",B529)),ISNUMBER(SEARCH("합계",B529)))),"",1+COUNTIF($B$1:B528,"*소계*"))</f>
        <v/>
      </c>
      <c r="H529">
        <f>IF(AND(A529&lt;&gt;"",A529=가족별!$B$1,G529&lt;&gt;""),COUNTIFS($A$2:A529,가족별!$B$1,$G$2:G529,"&gt;0"),"")</f>
        <v/>
      </c>
      <c r="I529">
        <f>IF(ISNUMBER(SEARCH("소계",B529)),COUNTIF($B$2:B529,"*소계*"),"")</f>
        <v/>
      </c>
      <c r="J529">
        <f>IF(F529="",0,1)</f>
        <v/>
      </c>
    </row>
    <row r="530">
      <c r="A530" s="41" t="n"/>
      <c r="B530" s="41" t="n"/>
      <c r="C530" s="24" t="n"/>
      <c r="D530" s="41" t="n"/>
      <c r="E530" s="41" t="n"/>
      <c r="F530" s="19">
        <f>IF(COUNTA(A530:E530)=0,"",IF(OR(ISNUMBER(SEARCH("소계",B530)),ISNUMBER(SEARCH("합계",B530))),"",TRIM(IF(B530="","이름 없음 ","")&amp;IF(A530="","받은 가족 없음 ","")&amp;IF(C530="","금액 없음 ",IF(ISNUMBER(C530),IF(C530&lt;1000,"금액 확인 ",""),"금액 확인 "))&amp;IF(AND(B530&lt;&gt;"",COUNTIFS($A$2:$A$1001,A530,$B$2:$B$1001,B530,$C$2:$C$1001,C530)&gt;1),"중복 의심",""))))</f>
        <v/>
      </c>
      <c r="G530" s="25">
        <f>IF(OR(COUNTA(A530:E530)=0,OR(ISNUMBER(SEARCH("소계",B530)),ISNUMBER(SEARCH("합계",B530)))),"",1+COUNTIF($B$1:B529,"*소계*"))</f>
        <v/>
      </c>
      <c r="H530">
        <f>IF(AND(A530&lt;&gt;"",A530=가족별!$B$1,G530&lt;&gt;""),COUNTIFS($A$2:A530,가족별!$B$1,$G$2:G530,"&gt;0"),"")</f>
        <v/>
      </c>
      <c r="I530">
        <f>IF(ISNUMBER(SEARCH("소계",B530)),COUNTIF($B$2:B530,"*소계*"),"")</f>
        <v/>
      </c>
      <c r="J530">
        <f>IF(F530="",0,1)</f>
        <v/>
      </c>
    </row>
    <row r="531">
      <c r="A531" s="41" t="n"/>
      <c r="B531" s="41" t="n"/>
      <c r="C531" s="24" t="n"/>
      <c r="D531" s="41" t="n"/>
      <c r="E531" s="41" t="n"/>
      <c r="F531" s="19">
        <f>IF(COUNTA(A531:E531)=0,"",IF(OR(ISNUMBER(SEARCH("소계",B531)),ISNUMBER(SEARCH("합계",B531))),"",TRIM(IF(B531="","이름 없음 ","")&amp;IF(A531="","받은 가족 없음 ","")&amp;IF(C531="","금액 없음 ",IF(ISNUMBER(C531),IF(C531&lt;1000,"금액 확인 ",""),"금액 확인 "))&amp;IF(AND(B531&lt;&gt;"",COUNTIFS($A$2:$A$1001,A531,$B$2:$B$1001,B531,$C$2:$C$1001,C531)&gt;1),"중복 의심",""))))</f>
        <v/>
      </c>
      <c r="G531" s="25">
        <f>IF(OR(COUNTA(A531:E531)=0,OR(ISNUMBER(SEARCH("소계",B531)),ISNUMBER(SEARCH("합계",B531)))),"",1+COUNTIF($B$1:B530,"*소계*"))</f>
        <v/>
      </c>
      <c r="H531">
        <f>IF(AND(A531&lt;&gt;"",A531=가족별!$B$1,G531&lt;&gt;""),COUNTIFS($A$2:A531,가족별!$B$1,$G$2:G531,"&gt;0"),"")</f>
        <v/>
      </c>
      <c r="I531">
        <f>IF(ISNUMBER(SEARCH("소계",B531)),COUNTIF($B$2:B531,"*소계*"),"")</f>
        <v/>
      </c>
      <c r="J531">
        <f>IF(F531="",0,1)</f>
        <v/>
      </c>
    </row>
    <row r="532">
      <c r="A532" s="41" t="n"/>
      <c r="B532" s="41" t="n"/>
      <c r="C532" s="24" t="n"/>
      <c r="D532" s="41" t="n"/>
      <c r="E532" s="41" t="n"/>
      <c r="F532" s="19">
        <f>IF(COUNTA(A532:E532)=0,"",IF(OR(ISNUMBER(SEARCH("소계",B532)),ISNUMBER(SEARCH("합계",B532))),"",TRIM(IF(B532="","이름 없음 ","")&amp;IF(A532="","받은 가족 없음 ","")&amp;IF(C532="","금액 없음 ",IF(ISNUMBER(C532),IF(C532&lt;1000,"금액 확인 ",""),"금액 확인 "))&amp;IF(AND(B532&lt;&gt;"",COUNTIFS($A$2:$A$1001,A532,$B$2:$B$1001,B532,$C$2:$C$1001,C532)&gt;1),"중복 의심",""))))</f>
        <v/>
      </c>
      <c r="G532" s="25">
        <f>IF(OR(COUNTA(A532:E532)=0,OR(ISNUMBER(SEARCH("소계",B532)),ISNUMBER(SEARCH("합계",B532)))),"",1+COUNTIF($B$1:B531,"*소계*"))</f>
        <v/>
      </c>
      <c r="H532">
        <f>IF(AND(A532&lt;&gt;"",A532=가족별!$B$1,G532&lt;&gt;""),COUNTIFS($A$2:A532,가족별!$B$1,$G$2:G532,"&gt;0"),"")</f>
        <v/>
      </c>
      <c r="I532">
        <f>IF(ISNUMBER(SEARCH("소계",B532)),COUNTIF($B$2:B532,"*소계*"),"")</f>
        <v/>
      </c>
      <c r="J532">
        <f>IF(F532="",0,1)</f>
        <v/>
      </c>
    </row>
    <row r="533">
      <c r="A533" s="41" t="n"/>
      <c r="B533" s="41" t="n"/>
      <c r="C533" s="24" t="n"/>
      <c r="D533" s="41" t="n"/>
      <c r="E533" s="41" t="n"/>
      <c r="F533" s="19">
        <f>IF(COUNTA(A533:E533)=0,"",IF(OR(ISNUMBER(SEARCH("소계",B533)),ISNUMBER(SEARCH("합계",B533))),"",TRIM(IF(B533="","이름 없음 ","")&amp;IF(A533="","받은 가족 없음 ","")&amp;IF(C533="","금액 없음 ",IF(ISNUMBER(C533),IF(C533&lt;1000,"금액 확인 ",""),"금액 확인 "))&amp;IF(AND(B533&lt;&gt;"",COUNTIFS($A$2:$A$1001,A533,$B$2:$B$1001,B533,$C$2:$C$1001,C533)&gt;1),"중복 의심",""))))</f>
        <v/>
      </c>
      <c r="G533" s="25">
        <f>IF(OR(COUNTA(A533:E533)=0,OR(ISNUMBER(SEARCH("소계",B533)),ISNUMBER(SEARCH("합계",B533)))),"",1+COUNTIF($B$1:B532,"*소계*"))</f>
        <v/>
      </c>
      <c r="H533">
        <f>IF(AND(A533&lt;&gt;"",A533=가족별!$B$1,G533&lt;&gt;""),COUNTIFS($A$2:A533,가족별!$B$1,$G$2:G533,"&gt;0"),"")</f>
        <v/>
      </c>
      <c r="I533">
        <f>IF(ISNUMBER(SEARCH("소계",B533)),COUNTIF($B$2:B533,"*소계*"),"")</f>
        <v/>
      </c>
      <c r="J533">
        <f>IF(F533="",0,1)</f>
        <v/>
      </c>
    </row>
    <row r="534">
      <c r="A534" s="41" t="n"/>
      <c r="B534" s="41" t="n"/>
      <c r="C534" s="24" t="n"/>
      <c r="D534" s="41" t="n"/>
      <c r="E534" s="41" t="n"/>
      <c r="F534" s="19">
        <f>IF(COUNTA(A534:E534)=0,"",IF(OR(ISNUMBER(SEARCH("소계",B534)),ISNUMBER(SEARCH("합계",B534))),"",TRIM(IF(B534="","이름 없음 ","")&amp;IF(A534="","받은 가족 없음 ","")&amp;IF(C534="","금액 없음 ",IF(ISNUMBER(C534),IF(C534&lt;1000,"금액 확인 ",""),"금액 확인 "))&amp;IF(AND(B534&lt;&gt;"",COUNTIFS($A$2:$A$1001,A534,$B$2:$B$1001,B534,$C$2:$C$1001,C534)&gt;1),"중복 의심",""))))</f>
        <v/>
      </c>
      <c r="G534" s="25">
        <f>IF(OR(COUNTA(A534:E534)=0,OR(ISNUMBER(SEARCH("소계",B534)),ISNUMBER(SEARCH("합계",B534)))),"",1+COUNTIF($B$1:B533,"*소계*"))</f>
        <v/>
      </c>
      <c r="H534">
        <f>IF(AND(A534&lt;&gt;"",A534=가족별!$B$1,G534&lt;&gt;""),COUNTIFS($A$2:A534,가족별!$B$1,$G$2:G534,"&gt;0"),"")</f>
        <v/>
      </c>
      <c r="I534">
        <f>IF(ISNUMBER(SEARCH("소계",B534)),COUNTIF($B$2:B534,"*소계*"),"")</f>
        <v/>
      </c>
      <c r="J534">
        <f>IF(F534="",0,1)</f>
        <v/>
      </c>
    </row>
    <row r="535">
      <c r="A535" s="41" t="n"/>
      <c r="B535" s="41" t="n"/>
      <c r="C535" s="24" t="n"/>
      <c r="D535" s="41" t="n"/>
      <c r="E535" s="41" t="n"/>
      <c r="F535" s="19">
        <f>IF(COUNTA(A535:E535)=0,"",IF(OR(ISNUMBER(SEARCH("소계",B535)),ISNUMBER(SEARCH("합계",B535))),"",TRIM(IF(B535="","이름 없음 ","")&amp;IF(A535="","받은 가족 없음 ","")&amp;IF(C535="","금액 없음 ",IF(ISNUMBER(C535),IF(C535&lt;1000,"금액 확인 ",""),"금액 확인 "))&amp;IF(AND(B535&lt;&gt;"",COUNTIFS($A$2:$A$1001,A535,$B$2:$B$1001,B535,$C$2:$C$1001,C535)&gt;1),"중복 의심",""))))</f>
        <v/>
      </c>
      <c r="G535" s="25">
        <f>IF(OR(COUNTA(A535:E535)=0,OR(ISNUMBER(SEARCH("소계",B535)),ISNUMBER(SEARCH("합계",B535)))),"",1+COUNTIF($B$1:B534,"*소계*"))</f>
        <v/>
      </c>
      <c r="H535">
        <f>IF(AND(A535&lt;&gt;"",A535=가족별!$B$1,G535&lt;&gt;""),COUNTIFS($A$2:A535,가족별!$B$1,$G$2:G535,"&gt;0"),"")</f>
        <v/>
      </c>
      <c r="I535">
        <f>IF(ISNUMBER(SEARCH("소계",B535)),COUNTIF($B$2:B535,"*소계*"),"")</f>
        <v/>
      </c>
      <c r="J535">
        <f>IF(F535="",0,1)</f>
        <v/>
      </c>
    </row>
    <row r="536">
      <c r="A536" s="41" t="n"/>
      <c r="B536" s="41" t="n"/>
      <c r="C536" s="24" t="n"/>
      <c r="D536" s="41" t="n"/>
      <c r="E536" s="41" t="n"/>
      <c r="F536" s="19">
        <f>IF(COUNTA(A536:E536)=0,"",IF(OR(ISNUMBER(SEARCH("소계",B536)),ISNUMBER(SEARCH("합계",B536))),"",TRIM(IF(B536="","이름 없음 ","")&amp;IF(A536="","받은 가족 없음 ","")&amp;IF(C536="","금액 없음 ",IF(ISNUMBER(C536),IF(C536&lt;1000,"금액 확인 ",""),"금액 확인 "))&amp;IF(AND(B536&lt;&gt;"",COUNTIFS($A$2:$A$1001,A536,$B$2:$B$1001,B536,$C$2:$C$1001,C536)&gt;1),"중복 의심",""))))</f>
        <v/>
      </c>
      <c r="G536" s="25">
        <f>IF(OR(COUNTA(A536:E536)=0,OR(ISNUMBER(SEARCH("소계",B536)),ISNUMBER(SEARCH("합계",B536)))),"",1+COUNTIF($B$1:B535,"*소계*"))</f>
        <v/>
      </c>
      <c r="H536">
        <f>IF(AND(A536&lt;&gt;"",A536=가족별!$B$1,G536&lt;&gt;""),COUNTIFS($A$2:A536,가족별!$B$1,$G$2:G536,"&gt;0"),"")</f>
        <v/>
      </c>
      <c r="I536">
        <f>IF(ISNUMBER(SEARCH("소계",B536)),COUNTIF($B$2:B536,"*소계*"),"")</f>
        <v/>
      </c>
      <c r="J536">
        <f>IF(F536="",0,1)</f>
        <v/>
      </c>
    </row>
    <row r="537">
      <c r="A537" s="41" t="n"/>
      <c r="B537" s="41" t="n"/>
      <c r="C537" s="24" t="n"/>
      <c r="D537" s="41" t="n"/>
      <c r="E537" s="41" t="n"/>
      <c r="F537" s="19">
        <f>IF(COUNTA(A537:E537)=0,"",IF(OR(ISNUMBER(SEARCH("소계",B537)),ISNUMBER(SEARCH("합계",B537))),"",TRIM(IF(B537="","이름 없음 ","")&amp;IF(A537="","받은 가족 없음 ","")&amp;IF(C537="","금액 없음 ",IF(ISNUMBER(C537),IF(C537&lt;1000,"금액 확인 ",""),"금액 확인 "))&amp;IF(AND(B537&lt;&gt;"",COUNTIFS($A$2:$A$1001,A537,$B$2:$B$1001,B537,$C$2:$C$1001,C537)&gt;1),"중복 의심",""))))</f>
        <v/>
      </c>
      <c r="G537" s="25">
        <f>IF(OR(COUNTA(A537:E537)=0,OR(ISNUMBER(SEARCH("소계",B537)),ISNUMBER(SEARCH("합계",B537)))),"",1+COUNTIF($B$1:B536,"*소계*"))</f>
        <v/>
      </c>
      <c r="H537">
        <f>IF(AND(A537&lt;&gt;"",A537=가족별!$B$1,G537&lt;&gt;""),COUNTIFS($A$2:A537,가족별!$B$1,$G$2:G537,"&gt;0"),"")</f>
        <v/>
      </c>
      <c r="I537">
        <f>IF(ISNUMBER(SEARCH("소계",B537)),COUNTIF($B$2:B537,"*소계*"),"")</f>
        <v/>
      </c>
      <c r="J537">
        <f>IF(F537="",0,1)</f>
        <v/>
      </c>
    </row>
    <row r="538">
      <c r="A538" s="41" t="n"/>
      <c r="B538" s="41" t="n"/>
      <c r="C538" s="24" t="n"/>
      <c r="D538" s="41" t="n"/>
      <c r="E538" s="41" t="n"/>
      <c r="F538" s="19">
        <f>IF(COUNTA(A538:E538)=0,"",IF(OR(ISNUMBER(SEARCH("소계",B538)),ISNUMBER(SEARCH("합계",B538))),"",TRIM(IF(B538="","이름 없음 ","")&amp;IF(A538="","받은 가족 없음 ","")&amp;IF(C538="","금액 없음 ",IF(ISNUMBER(C538),IF(C538&lt;1000,"금액 확인 ",""),"금액 확인 "))&amp;IF(AND(B538&lt;&gt;"",COUNTIFS($A$2:$A$1001,A538,$B$2:$B$1001,B538,$C$2:$C$1001,C538)&gt;1),"중복 의심",""))))</f>
        <v/>
      </c>
      <c r="G538" s="25">
        <f>IF(OR(COUNTA(A538:E538)=0,OR(ISNUMBER(SEARCH("소계",B538)),ISNUMBER(SEARCH("합계",B538)))),"",1+COUNTIF($B$1:B537,"*소계*"))</f>
        <v/>
      </c>
      <c r="H538">
        <f>IF(AND(A538&lt;&gt;"",A538=가족별!$B$1,G538&lt;&gt;""),COUNTIFS($A$2:A538,가족별!$B$1,$G$2:G538,"&gt;0"),"")</f>
        <v/>
      </c>
      <c r="I538">
        <f>IF(ISNUMBER(SEARCH("소계",B538)),COUNTIF($B$2:B538,"*소계*"),"")</f>
        <v/>
      </c>
      <c r="J538">
        <f>IF(F538="",0,1)</f>
        <v/>
      </c>
    </row>
    <row r="539">
      <c r="A539" s="41" t="n"/>
      <c r="B539" s="41" t="n"/>
      <c r="C539" s="24" t="n"/>
      <c r="D539" s="41" t="n"/>
      <c r="E539" s="41" t="n"/>
      <c r="F539" s="19">
        <f>IF(COUNTA(A539:E539)=0,"",IF(OR(ISNUMBER(SEARCH("소계",B539)),ISNUMBER(SEARCH("합계",B539))),"",TRIM(IF(B539="","이름 없음 ","")&amp;IF(A539="","받은 가족 없음 ","")&amp;IF(C539="","금액 없음 ",IF(ISNUMBER(C539),IF(C539&lt;1000,"금액 확인 ",""),"금액 확인 "))&amp;IF(AND(B539&lt;&gt;"",COUNTIFS($A$2:$A$1001,A539,$B$2:$B$1001,B539,$C$2:$C$1001,C539)&gt;1),"중복 의심",""))))</f>
        <v/>
      </c>
      <c r="G539" s="25">
        <f>IF(OR(COUNTA(A539:E539)=0,OR(ISNUMBER(SEARCH("소계",B539)),ISNUMBER(SEARCH("합계",B539)))),"",1+COUNTIF($B$1:B538,"*소계*"))</f>
        <v/>
      </c>
      <c r="H539">
        <f>IF(AND(A539&lt;&gt;"",A539=가족별!$B$1,G539&lt;&gt;""),COUNTIFS($A$2:A539,가족별!$B$1,$G$2:G539,"&gt;0"),"")</f>
        <v/>
      </c>
      <c r="I539">
        <f>IF(ISNUMBER(SEARCH("소계",B539)),COUNTIF($B$2:B539,"*소계*"),"")</f>
        <v/>
      </c>
      <c r="J539">
        <f>IF(F539="",0,1)</f>
        <v/>
      </c>
    </row>
    <row r="540">
      <c r="A540" s="41" t="n"/>
      <c r="B540" s="41" t="n"/>
      <c r="C540" s="24" t="n"/>
      <c r="D540" s="41" t="n"/>
      <c r="E540" s="41" t="n"/>
      <c r="F540" s="19">
        <f>IF(COUNTA(A540:E540)=0,"",IF(OR(ISNUMBER(SEARCH("소계",B540)),ISNUMBER(SEARCH("합계",B540))),"",TRIM(IF(B540="","이름 없음 ","")&amp;IF(A540="","받은 가족 없음 ","")&amp;IF(C540="","금액 없음 ",IF(ISNUMBER(C540),IF(C540&lt;1000,"금액 확인 ",""),"금액 확인 "))&amp;IF(AND(B540&lt;&gt;"",COUNTIFS($A$2:$A$1001,A540,$B$2:$B$1001,B540,$C$2:$C$1001,C540)&gt;1),"중복 의심",""))))</f>
        <v/>
      </c>
      <c r="G540" s="25">
        <f>IF(OR(COUNTA(A540:E540)=0,OR(ISNUMBER(SEARCH("소계",B540)),ISNUMBER(SEARCH("합계",B540)))),"",1+COUNTIF($B$1:B539,"*소계*"))</f>
        <v/>
      </c>
      <c r="H540">
        <f>IF(AND(A540&lt;&gt;"",A540=가족별!$B$1,G540&lt;&gt;""),COUNTIFS($A$2:A540,가족별!$B$1,$G$2:G540,"&gt;0"),"")</f>
        <v/>
      </c>
      <c r="I540">
        <f>IF(ISNUMBER(SEARCH("소계",B540)),COUNTIF($B$2:B540,"*소계*"),"")</f>
        <v/>
      </c>
      <c r="J540">
        <f>IF(F540="",0,1)</f>
        <v/>
      </c>
    </row>
    <row r="541">
      <c r="A541" s="41" t="n"/>
      <c r="B541" s="41" t="n"/>
      <c r="C541" s="24" t="n"/>
      <c r="D541" s="41" t="n"/>
      <c r="E541" s="41" t="n"/>
      <c r="F541" s="19">
        <f>IF(COUNTA(A541:E541)=0,"",IF(OR(ISNUMBER(SEARCH("소계",B541)),ISNUMBER(SEARCH("합계",B541))),"",TRIM(IF(B541="","이름 없음 ","")&amp;IF(A541="","받은 가족 없음 ","")&amp;IF(C541="","금액 없음 ",IF(ISNUMBER(C541),IF(C541&lt;1000,"금액 확인 ",""),"금액 확인 "))&amp;IF(AND(B541&lt;&gt;"",COUNTIFS($A$2:$A$1001,A541,$B$2:$B$1001,B541,$C$2:$C$1001,C541)&gt;1),"중복 의심",""))))</f>
        <v/>
      </c>
      <c r="G541" s="25">
        <f>IF(OR(COUNTA(A541:E541)=0,OR(ISNUMBER(SEARCH("소계",B541)),ISNUMBER(SEARCH("합계",B541)))),"",1+COUNTIF($B$1:B540,"*소계*"))</f>
        <v/>
      </c>
      <c r="H541">
        <f>IF(AND(A541&lt;&gt;"",A541=가족별!$B$1,G541&lt;&gt;""),COUNTIFS($A$2:A541,가족별!$B$1,$G$2:G541,"&gt;0"),"")</f>
        <v/>
      </c>
      <c r="I541">
        <f>IF(ISNUMBER(SEARCH("소계",B541)),COUNTIF($B$2:B541,"*소계*"),"")</f>
        <v/>
      </c>
      <c r="J541">
        <f>IF(F541="",0,1)</f>
        <v/>
      </c>
    </row>
    <row r="542">
      <c r="A542" s="41" t="n"/>
      <c r="B542" s="41" t="n"/>
      <c r="C542" s="24" t="n"/>
      <c r="D542" s="41" t="n"/>
      <c r="E542" s="41" t="n"/>
      <c r="F542" s="19">
        <f>IF(COUNTA(A542:E542)=0,"",IF(OR(ISNUMBER(SEARCH("소계",B542)),ISNUMBER(SEARCH("합계",B542))),"",TRIM(IF(B542="","이름 없음 ","")&amp;IF(A542="","받은 가족 없음 ","")&amp;IF(C542="","금액 없음 ",IF(ISNUMBER(C542),IF(C542&lt;1000,"금액 확인 ",""),"금액 확인 "))&amp;IF(AND(B542&lt;&gt;"",COUNTIFS($A$2:$A$1001,A542,$B$2:$B$1001,B542,$C$2:$C$1001,C542)&gt;1),"중복 의심",""))))</f>
        <v/>
      </c>
      <c r="G542" s="25">
        <f>IF(OR(COUNTA(A542:E542)=0,OR(ISNUMBER(SEARCH("소계",B542)),ISNUMBER(SEARCH("합계",B542)))),"",1+COUNTIF($B$1:B541,"*소계*"))</f>
        <v/>
      </c>
      <c r="H542">
        <f>IF(AND(A542&lt;&gt;"",A542=가족별!$B$1,G542&lt;&gt;""),COUNTIFS($A$2:A542,가족별!$B$1,$G$2:G542,"&gt;0"),"")</f>
        <v/>
      </c>
      <c r="I542">
        <f>IF(ISNUMBER(SEARCH("소계",B542)),COUNTIF($B$2:B542,"*소계*"),"")</f>
        <v/>
      </c>
      <c r="J542">
        <f>IF(F542="",0,1)</f>
        <v/>
      </c>
    </row>
    <row r="543">
      <c r="A543" s="41" t="n"/>
      <c r="B543" s="41" t="n"/>
      <c r="C543" s="24" t="n"/>
      <c r="D543" s="41" t="n"/>
      <c r="E543" s="41" t="n"/>
      <c r="F543" s="19">
        <f>IF(COUNTA(A543:E543)=0,"",IF(OR(ISNUMBER(SEARCH("소계",B543)),ISNUMBER(SEARCH("합계",B543))),"",TRIM(IF(B543="","이름 없음 ","")&amp;IF(A543="","받은 가족 없음 ","")&amp;IF(C543="","금액 없음 ",IF(ISNUMBER(C543),IF(C543&lt;1000,"금액 확인 ",""),"금액 확인 "))&amp;IF(AND(B543&lt;&gt;"",COUNTIFS($A$2:$A$1001,A543,$B$2:$B$1001,B543,$C$2:$C$1001,C543)&gt;1),"중복 의심",""))))</f>
        <v/>
      </c>
      <c r="G543" s="25">
        <f>IF(OR(COUNTA(A543:E543)=0,OR(ISNUMBER(SEARCH("소계",B543)),ISNUMBER(SEARCH("합계",B543)))),"",1+COUNTIF($B$1:B542,"*소계*"))</f>
        <v/>
      </c>
      <c r="H543">
        <f>IF(AND(A543&lt;&gt;"",A543=가족별!$B$1,G543&lt;&gt;""),COUNTIFS($A$2:A543,가족별!$B$1,$G$2:G543,"&gt;0"),"")</f>
        <v/>
      </c>
      <c r="I543">
        <f>IF(ISNUMBER(SEARCH("소계",B543)),COUNTIF($B$2:B543,"*소계*"),"")</f>
        <v/>
      </c>
      <c r="J543">
        <f>IF(F543="",0,1)</f>
        <v/>
      </c>
    </row>
    <row r="544">
      <c r="A544" s="41" t="n"/>
      <c r="B544" s="41" t="n"/>
      <c r="C544" s="24" t="n"/>
      <c r="D544" s="41" t="n"/>
      <c r="E544" s="41" t="n"/>
      <c r="F544" s="19">
        <f>IF(COUNTA(A544:E544)=0,"",IF(OR(ISNUMBER(SEARCH("소계",B544)),ISNUMBER(SEARCH("합계",B544))),"",TRIM(IF(B544="","이름 없음 ","")&amp;IF(A544="","받은 가족 없음 ","")&amp;IF(C544="","금액 없음 ",IF(ISNUMBER(C544),IF(C544&lt;1000,"금액 확인 ",""),"금액 확인 "))&amp;IF(AND(B544&lt;&gt;"",COUNTIFS($A$2:$A$1001,A544,$B$2:$B$1001,B544,$C$2:$C$1001,C544)&gt;1),"중복 의심",""))))</f>
        <v/>
      </c>
      <c r="G544" s="25">
        <f>IF(OR(COUNTA(A544:E544)=0,OR(ISNUMBER(SEARCH("소계",B544)),ISNUMBER(SEARCH("합계",B544)))),"",1+COUNTIF($B$1:B543,"*소계*"))</f>
        <v/>
      </c>
      <c r="H544">
        <f>IF(AND(A544&lt;&gt;"",A544=가족별!$B$1,G544&lt;&gt;""),COUNTIFS($A$2:A544,가족별!$B$1,$G$2:G544,"&gt;0"),"")</f>
        <v/>
      </c>
      <c r="I544">
        <f>IF(ISNUMBER(SEARCH("소계",B544)),COUNTIF($B$2:B544,"*소계*"),"")</f>
        <v/>
      </c>
      <c r="J544">
        <f>IF(F544="",0,1)</f>
        <v/>
      </c>
    </row>
    <row r="545">
      <c r="A545" s="41" t="n"/>
      <c r="B545" s="41" t="n"/>
      <c r="C545" s="24" t="n"/>
      <c r="D545" s="41" t="n"/>
      <c r="E545" s="41" t="n"/>
      <c r="F545" s="19">
        <f>IF(COUNTA(A545:E545)=0,"",IF(OR(ISNUMBER(SEARCH("소계",B545)),ISNUMBER(SEARCH("합계",B545))),"",TRIM(IF(B545="","이름 없음 ","")&amp;IF(A545="","받은 가족 없음 ","")&amp;IF(C545="","금액 없음 ",IF(ISNUMBER(C545),IF(C545&lt;1000,"금액 확인 ",""),"금액 확인 "))&amp;IF(AND(B545&lt;&gt;"",COUNTIFS($A$2:$A$1001,A545,$B$2:$B$1001,B545,$C$2:$C$1001,C545)&gt;1),"중복 의심",""))))</f>
        <v/>
      </c>
      <c r="G545" s="25">
        <f>IF(OR(COUNTA(A545:E545)=0,OR(ISNUMBER(SEARCH("소계",B545)),ISNUMBER(SEARCH("합계",B545)))),"",1+COUNTIF($B$1:B544,"*소계*"))</f>
        <v/>
      </c>
      <c r="H545">
        <f>IF(AND(A545&lt;&gt;"",A545=가족별!$B$1,G545&lt;&gt;""),COUNTIFS($A$2:A545,가족별!$B$1,$G$2:G545,"&gt;0"),"")</f>
        <v/>
      </c>
      <c r="I545">
        <f>IF(ISNUMBER(SEARCH("소계",B545)),COUNTIF($B$2:B545,"*소계*"),"")</f>
        <v/>
      </c>
      <c r="J545">
        <f>IF(F545="",0,1)</f>
        <v/>
      </c>
    </row>
    <row r="546">
      <c r="A546" s="41" t="n"/>
      <c r="B546" s="41" t="n"/>
      <c r="C546" s="24" t="n"/>
      <c r="D546" s="41" t="n"/>
      <c r="E546" s="41" t="n"/>
      <c r="F546" s="19">
        <f>IF(COUNTA(A546:E546)=0,"",IF(OR(ISNUMBER(SEARCH("소계",B546)),ISNUMBER(SEARCH("합계",B546))),"",TRIM(IF(B546="","이름 없음 ","")&amp;IF(A546="","받은 가족 없음 ","")&amp;IF(C546="","금액 없음 ",IF(ISNUMBER(C546),IF(C546&lt;1000,"금액 확인 ",""),"금액 확인 "))&amp;IF(AND(B546&lt;&gt;"",COUNTIFS($A$2:$A$1001,A546,$B$2:$B$1001,B546,$C$2:$C$1001,C546)&gt;1),"중복 의심",""))))</f>
        <v/>
      </c>
      <c r="G546" s="25">
        <f>IF(OR(COUNTA(A546:E546)=0,OR(ISNUMBER(SEARCH("소계",B546)),ISNUMBER(SEARCH("합계",B546)))),"",1+COUNTIF($B$1:B545,"*소계*"))</f>
        <v/>
      </c>
      <c r="H546">
        <f>IF(AND(A546&lt;&gt;"",A546=가족별!$B$1,G546&lt;&gt;""),COUNTIFS($A$2:A546,가족별!$B$1,$G$2:G546,"&gt;0"),"")</f>
        <v/>
      </c>
      <c r="I546">
        <f>IF(ISNUMBER(SEARCH("소계",B546)),COUNTIF($B$2:B546,"*소계*"),"")</f>
        <v/>
      </c>
      <c r="J546">
        <f>IF(F546="",0,1)</f>
        <v/>
      </c>
    </row>
    <row r="547">
      <c r="A547" s="41" t="n"/>
      <c r="B547" s="41" t="n"/>
      <c r="C547" s="24" t="n"/>
      <c r="D547" s="41" t="n"/>
      <c r="E547" s="41" t="n"/>
      <c r="F547" s="19">
        <f>IF(COUNTA(A547:E547)=0,"",IF(OR(ISNUMBER(SEARCH("소계",B547)),ISNUMBER(SEARCH("합계",B547))),"",TRIM(IF(B547="","이름 없음 ","")&amp;IF(A547="","받은 가족 없음 ","")&amp;IF(C547="","금액 없음 ",IF(ISNUMBER(C547),IF(C547&lt;1000,"금액 확인 ",""),"금액 확인 "))&amp;IF(AND(B547&lt;&gt;"",COUNTIFS($A$2:$A$1001,A547,$B$2:$B$1001,B547,$C$2:$C$1001,C547)&gt;1),"중복 의심",""))))</f>
        <v/>
      </c>
      <c r="G547" s="25">
        <f>IF(OR(COUNTA(A547:E547)=0,OR(ISNUMBER(SEARCH("소계",B547)),ISNUMBER(SEARCH("합계",B547)))),"",1+COUNTIF($B$1:B546,"*소계*"))</f>
        <v/>
      </c>
      <c r="H547">
        <f>IF(AND(A547&lt;&gt;"",A547=가족별!$B$1,G547&lt;&gt;""),COUNTIFS($A$2:A547,가족별!$B$1,$G$2:G547,"&gt;0"),"")</f>
        <v/>
      </c>
      <c r="I547">
        <f>IF(ISNUMBER(SEARCH("소계",B547)),COUNTIF($B$2:B547,"*소계*"),"")</f>
        <v/>
      </c>
      <c r="J547">
        <f>IF(F547="",0,1)</f>
        <v/>
      </c>
    </row>
    <row r="548">
      <c r="A548" s="41" t="n"/>
      <c r="B548" s="41" t="n"/>
      <c r="C548" s="24" t="n"/>
      <c r="D548" s="41" t="n"/>
      <c r="E548" s="41" t="n"/>
      <c r="F548" s="19">
        <f>IF(COUNTA(A548:E548)=0,"",IF(OR(ISNUMBER(SEARCH("소계",B548)),ISNUMBER(SEARCH("합계",B548))),"",TRIM(IF(B548="","이름 없음 ","")&amp;IF(A548="","받은 가족 없음 ","")&amp;IF(C548="","금액 없음 ",IF(ISNUMBER(C548),IF(C548&lt;1000,"금액 확인 ",""),"금액 확인 "))&amp;IF(AND(B548&lt;&gt;"",COUNTIFS($A$2:$A$1001,A548,$B$2:$B$1001,B548,$C$2:$C$1001,C548)&gt;1),"중복 의심",""))))</f>
        <v/>
      </c>
      <c r="G548" s="25">
        <f>IF(OR(COUNTA(A548:E548)=0,OR(ISNUMBER(SEARCH("소계",B548)),ISNUMBER(SEARCH("합계",B548)))),"",1+COUNTIF($B$1:B547,"*소계*"))</f>
        <v/>
      </c>
      <c r="H548">
        <f>IF(AND(A548&lt;&gt;"",A548=가족별!$B$1,G548&lt;&gt;""),COUNTIFS($A$2:A548,가족별!$B$1,$G$2:G548,"&gt;0"),"")</f>
        <v/>
      </c>
      <c r="I548">
        <f>IF(ISNUMBER(SEARCH("소계",B548)),COUNTIF($B$2:B548,"*소계*"),"")</f>
        <v/>
      </c>
      <c r="J548">
        <f>IF(F548="",0,1)</f>
        <v/>
      </c>
    </row>
    <row r="549">
      <c r="A549" s="41" t="n"/>
      <c r="B549" s="41" t="n"/>
      <c r="C549" s="24" t="n"/>
      <c r="D549" s="41" t="n"/>
      <c r="E549" s="41" t="n"/>
      <c r="F549" s="19">
        <f>IF(COUNTA(A549:E549)=0,"",IF(OR(ISNUMBER(SEARCH("소계",B549)),ISNUMBER(SEARCH("합계",B549))),"",TRIM(IF(B549="","이름 없음 ","")&amp;IF(A549="","받은 가족 없음 ","")&amp;IF(C549="","금액 없음 ",IF(ISNUMBER(C549),IF(C549&lt;1000,"금액 확인 ",""),"금액 확인 "))&amp;IF(AND(B549&lt;&gt;"",COUNTIFS($A$2:$A$1001,A549,$B$2:$B$1001,B549,$C$2:$C$1001,C549)&gt;1),"중복 의심",""))))</f>
        <v/>
      </c>
      <c r="G549" s="25">
        <f>IF(OR(COUNTA(A549:E549)=0,OR(ISNUMBER(SEARCH("소계",B549)),ISNUMBER(SEARCH("합계",B549)))),"",1+COUNTIF($B$1:B548,"*소계*"))</f>
        <v/>
      </c>
      <c r="H549">
        <f>IF(AND(A549&lt;&gt;"",A549=가족별!$B$1,G549&lt;&gt;""),COUNTIFS($A$2:A549,가족별!$B$1,$G$2:G549,"&gt;0"),"")</f>
        <v/>
      </c>
      <c r="I549">
        <f>IF(ISNUMBER(SEARCH("소계",B549)),COUNTIF($B$2:B549,"*소계*"),"")</f>
        <v/>
      </c>
      <c r="J549">
        <f>IF(F549="",0,1)</f>
        <v/>
      </c>
    </row>
    <row r="550">
      <c r="A550" s="41" t="n"/>
      <c r="B550" s="41" t="n"/>
      <c r="C550" s="24" t="n"/>
      <c r="D550" s="41" t="n"/>
      <c r="E550" s="41" t="n"/>
      <c r="F550" s="19">
        <f>IF(COUNTA(A550:E550)=0,"",IF(OR(ISNUMBER(SEARCH("소계",B550)),ISNUMBER(SEARCH("합계",B550))),"",TRIM(IF(B550="","이름 없음 ","")&amp;IF(A550="","받은 가족 없음 ","")&amp;IF(C550="","금액 없음 ",IF(ISNUMBER(C550),IF(C550&lt;1000,"금액 확인 ",""),"금액 확인 "))&amp;IF(AND(B550&lt;&gt;"",COUNTIFS($A$2:$A$1001,A550,$B$2:$B$1001,B550,$C$2:$C$1001,C550)&gt;1),"중복 의심",""))))</f>
        <v/>
      </c>
      <c r="G550" s="25">
        <f>IF(OR(COUNTA(A550:E550)=0,OR(ISNUMBER(SEARCH("소계",B550)),ISNUMBER(SEARCH("합계",B550)))),"",1+COUNTIF($B$1:B549,"*소계*"))</f>
        <v/>
      </c>
      <c r="H550">
        <f>IF(AND(A550&lt;&gt;"",A550=가족별!$B$1,G550&lt;&gt;""),COUNTIFS($A$2:A550,가족별!$B$1,$G$2:G550,"&gt;0"),"")</f>
        <v/>
      </c>
      <c r="I550">
        <f>IF(ISNUMBER(SEARCH("소계",B550)),COUNTIF($B$2:B550,"*소계*"),"")</f>
        <v/>
      </c>
      <c r="J550">
        <f>IF(F550="",0,1)</f>
        <v/>
      </c>
    </row>
    <row r="551">
      <c r="A551" s="41" t="n"/>
      <c r="B551" s="41" t="n"/>
      <c r="C551" s="24" t="n"/>
      <c r="D551" s="41" t="n"/>
      <c r="E551" s="41" t="n"/>
      <c r="F551" s="19">
        <f>IF(COUNTA(A551:E551)=0,"",IF(OR(ISNUMBER(SEARCH("소계",B551)),ISNUMBER(SEARCH("합계",B551))),"",TRIM(IF(B551="","이름 없음 ","")&amp;IF(A551="","받은 가족 없음 ","")&amp;IF(C551="","금액 없음 ",IF(ISNUMBER(C551),IF(C551&lt;1000,"금액 확인 ",""),"금액 확인 "))&amp;IF(AND(B551&lt;&gt;"",COUNTIFS($A$2:$A$1001,A551,$B$2:$B$1001,B551,$C$2:$C$1001,C551)&gt;1),"중복 의심",""))))</f>
        <v/>
      </c>
      <c r="G551" s="25">
        <f>IF(OR(COUNTA(A551:E551)=0,OR(ISNUMBER(SEARCH("소계",B551)),ISNUMBER(SEARCH("합계",B551)))),"",1+COUNTIF($B$1:B550,"*소계*"))</f>
        <v/>
      </c>
      <c r="H551">
        <f>IF(AND(A551&lt;&gt;"",A551=가족별!$B$1,G551&lt;&gt;""),COUNTIFS($A$2:A551,가족별!$B$1,$G$2:G551,"&gt;0"),"")</f>
        <v/>
      </c>
      <c r="I551">
        <f>IF(ISNUMBER(SEARCH("소계",B551)),COUNTIF($B$2:B551,"*소계*"),"")</f>
        <v/>
      </c>
      <c r="J551">
        <f>IF(F551="",0,1)</f>
        <v/>
      </c>
    </row>
    <row r="552">
      <c r="A552" s="41" t="n"/>
      <c r="B552" s="41" t="n"/>
      <c r="C552" s="24" t="n"/>
      <c r="D552" s="41" t="n"/>
      <c r="E552" s="41" t="n"/>
      <c r="F552" s="19">
        <f>IF(COUNTA(A552:E552)=0,"",IF(OR(ISNUMBER(SEARCH("소계",B552)),ISNUMBER(SEARCH("합계",B552))),"",TRIM(IF(B552="","이름 없음 ","")&amp;IF(A552="","받은 가족 없음 ","")&amp;IF(C552="","금액 없음 ",IF(ISNUMBER(C552),IF(C552&lt;1000,"금액 확인 ",""),"금액 확인 "))&amp;IF(AND(B552&lt;&gt;"",COUNTIFS($A$2:$A$1001,A552,$B$2:$B$1001,B552,$C$2:$C$1001,C552)&gt;1),"중복 의심",""))))</f>
        <v/>
      </c>
      <c r="G552" s="25">
        <f>IF(OR(COUNTA(A552:E552)=0,OR(ISNUMBER(SEARCH("소계",B552)),ISNUMBER(SEARCH("합계",B552)))),"",1+COUNTIF($B$1:B551,"*소계*"))</f>
        <v/>
      </c>
      <c r="H552">
        <f>IF(AND(A552&lt;&gt;"",A552=가족별!$B$1,G552&lt;&gt;""),COUNTIFS($A$2:A552,가족별!$B$1,$G$2:G552,"&gt;0"),"")</f>
        <v/>
      </c>
      <c r="I552">
        <f>IF(ISNUMBER(SEARCH("소계",B552)),COUNTIF($B$2:B552,"*소계*"),"")</f>
        <v/>
      </c>
      <c r="J552">
        <f>IF(F552="",0,1)</f>
        <v/>
      </c>
    </row>
    <row r="553">
      <c r="A553" s="41" t="n"/>
      <c r="B553" s="41" t="n"/>
      <c r="C553" s="24" t="n"/>
      <c r="D553" s="41" t="n"/>
      <c r="E553" s="41" t="n"/>
      <c r="F553" s="19">
        <f>IF(COUNTA(A553:E553)=0,"",IF(OR(ISNUMBER(SEARCH("소계",B553)),ISNUMBER(SEARCH("합계",B553))),"",TRIM(IF(B553="","이름 없음 ","")&amp;IF(A553="","받은 가족 없음 ","")&amp;IF(C553="","금액 없음 ",IF(ISNUMBER(C553),IF(C553&lt;1000,"금액 확인 ",""),"금액 확인 "))&amp;IF(AND(B553&lt;&gt;"",COUNTIFS($A$2:$A$1001,A553,$B$2:$B$1001,B553,$C$2:$C$1001,C553)&gt;1),"중복 의심",""))))</f>
        <v/>
      </c>
      <c r="G553" s="25">
        <f>IF(OR(COUNTA(A553:E553)=0,OR(ISNUMBER(SEARCH("소계",B553)),ISNUMBER(SEARCH("합계",B553)))),"",1+COUNTIF($B$1:B552,"*소계*"))</f>
        <v/>
      </c>
      <c r="H553">
        <f>IF(AND(A553&lt;&gt;"",A553=가족별!$B$1,G553&lt;&gt;""),COUNTIFS($A$2:A553,가족별!$B$1,$G$2:G553,"&gt;0"),"")</f>
        <v/>
      </c>
      <c r="I553">
        <f>IF(ISNUMBER(SEARCH("소계",B553)),COUNTIF($B$2:B553,"*소계*"),"")</f>
        <v/>
      </c>
      <c r="J553">
        <f>IF(F553="",0,1)</f>
        <v/>
      </c>
    </row>
    <row r="554">
      <c r="A554" s="41" t="n"/>
      <c r="B554" s="41" t="n"/>
      <c r="C554" s="24" t="n"/>
      <c r="D554" s="41" t="n"/>
      <c r="E554" s="41" t="n"/>
      <c r="F554" s="19">
        <f>IF(COUNTA(A554:E554)=0,"",IF(OR(ISNUMBER(SEARCH("소계",B554)),ISNUMBER(SEARCH("합계",B554))),"",TRIM(IF(B554="","이름 없음 ","")&amp;IF(A554="","받은 가족 없음 ","")&amp;IF(C554="","금액 없음 ",IF(ISNUMBER(C554),IF(C554&lt;1000,"금액 확인 ",""),"금액 확인 "))&amp;IF(AND(B554&lt;&gt;"",COUNTIFS($A$2:$A$1001,A554,$B$2:$B$1001,B554,$C$2:$C$1001,C554)&gt;1),"중복 의심",""))))</f>
        <v/>
      </c>
      <c r="G554" s="25">
        <f>IF(OR(COUNTA(A554:E554)=0,OR(ISNUMBER(SEARCH("소계",B554)),ISNUMBER(SEARCH("합계",B554)))),"",1+COUNTIF($B$1:B553,"*소계*"))</f>
        <v/>
      </c>
      <c r="H554">
        <f>IF(AND(A554&lt;&gt;"",A554=가족별!$B$1,G554&lt;&gt;""),COUNTIFS($A$2:A554,가족별!$B$1,$G$2:G554,"&gt;0"),"")</f>
        <v/>
      </c>
      <c r="I554">
        <f>IF(ISNUMBER(SEARCH("소계",B554)),COUNTIF($B$2:B554,"*소계*"),"")</f>
        <v/>
      </c>
      <c r="J554">
        <f>IF(F554="",0,1)</f>
        <v/>
      </c>
    </row>
    <row r="555">
      <c r="A555" s="41" t="n"/>
      <c r="B555" s="41" t="n"/>
      <c r="C555" s="24" t="n"/>
      <c r="D555" s="41" t="n"/>
      <c r="E555" s="41" t="n"/>
      <c r="F555" s="19">
        <f>IF(COUNTA(A555:E555)=0,"",IF(OR(ISNUMBER(SEARCH("소계",B555)),ISNUMBER(SEARCH("합계",B555))),"",TRIM(IF(B555="","이름 없음 ","")&amp;IF(A555="","받은 가족 없음 ","")&amp;IF(C555="","금액 없음 ",IF(ISNUMBER(C555),IF(C555&lt;1000,"금액 확인 ",""),"금액 확인 "))&amp;IF(AND(B555&lt;&gt;"",COUNTIFS($A$2:$A$1001,A555,$B$2:$B$1001,B555,$C$2:$C$1001,C555)&gt;1),"중복 의심",""))))</f>
        <v/>
      </c>
      <c r="G555" s="25">
        <f>IF(OR(COUNTA(A555:E555)=0,OR(ISNUMBER(SEARCH("소계",B555)),ISNUMBER(SEARCH("합계",B555)))),"",1+COUNTIF($B$1:B554,"*소계*"))</f>
        <v/>
      </c>
      <c r="H555">
        <f>IF(AND(A555&lt;&gt;"",A555=가족별!$B$1,G555&lt;&gt;""),COUNTIFS($A$2:A555,가족별!$B$1,$G$2:G555,"&gt;0"),"")</f>
        <v/>
      </c>
      <c r="I555">
        <f>IF(ISNUMBER(SEARCH("소계",B555)),COUNTIF($B$2:B555,"*소계*"),"")</f>
        <v/>
      </c>
      <c r="J555">
        <f>IF(F555="",0,1)</f>
        <v/>
      </c>
    </row>
    <row r="556">
      <c r="A556" s="41" t="n"/>
      <c r="B556" s="41" t="n"/>
      <c r="C556" s="24" t="n"/>
      <c r="D556" s="41" t="n"/>
      <c r="E556" s="41" t="n"/>
      <c r="F556" s="19">
        <f>IF(COUNTA(A556:E556)=0,"",IF(OR(ISNUMBER(SEARCH("소계",B556)),ISNUMBER(SEARCH("합계",B556))),"",TRIM(IF(B556="","이름 없음 ","")&amp;IF(A556="","받은 가족 없음 ","")&amp;IF(C556="","금액 없음 ",IF(ISNUMBER(C556),IF(C556&lt;1000,"금액 확인 ",""),"금액 확인 "))&amp;IF(AND(B556&lt;&gt;"",COUNTIFS($A$2:$A$1001,A556,$B$2:$B$1001,B556,$C$2:$C$1001,C556)&gt;1),"중복 의심",""))))</f>
        <v/>
      </c>
      <c r="G556" s="25">
        <f>IF(OR(COUNTA(A556:E556)=0,OR(ISNUMBER(SEARCH("소계",B556)),ISNUMBER(SEARCH("합계",B556)))),"",1+COUNTIF($B$1:B555,"*소계*"))</f>
        <v/>
      </c>
      <c r="H556">
        <f>IF(AND(A556&lt;&gt;"",A556=가족별!$B$1,G556&lt;&gt;""),COUNTIFS($A$2:A556,가족별!$B$1,$G$2:G556,"&gt;0"),"")</f>
        <v/>
      </c>
      <c r="I556">
        <f>IF(ISNUMBER(SEARCH("소계",B556)),COUNTIF($B$2:B556,"*소계*"),"")</f>
        <v/>
      </c>
      <c r="J556">
        <f>IF(F556="",0,1)</f>
        <v/>
      </c>
    </row>
    <row r="557">
      <c r="A557" s="41" t="n"/>
      <c r="B557" s="41" t="n"/>
      <c r="C557" s="24" t="n"/>
      <c r="D557" s="41" t="n"/>
      <c r="E557" s="41" t="n"/>
      <c r="F557" s="19">
        <f>IF(COUNTA(A557:E557)=0,"",IF(OR(ISNUMBER(SEARCH("소계",B557)),ISNUMBER(SEARCH("합계",B557))),"",TRIM(IF(B557="","이름 없음 ","")&amp;IF(A557="","받은 가족 없음 ","")&amp;IF(C557="","금액 없음 ",IF(ISNUMBER(C557),IF(C557&lt;1000,"금액 확인 ",""),"금액 확인 "))&amp;IF(AND(B557&lt;&gt;"",COUNTIFS($A$2:$A$1001,A557,$B$2:$B$1001,B557,$C$2:$C$1001,C557)&gt;1),"중복 의심",""))))</f>
        <v/>
      </c>
      <c r="G557" s="25">
        <f>IF(OR(COUNTA(A557:E557)=0,OR(ISNUMBER(SEARCH("소계",B557)),ISNUMBER(SEARCH("합계",B557)))),"",1+COUNTIF($B$1:B556,"*소계*"))</f>
        <v/>
      </c>
      <c r="H557">
        <f>IF(AND(A557&lt;&gt;"",A557=가족별!$B$1,G557&lt;&gt;""),COUNTIFS($A$2:A557,가족별!$B$1,$G$2:G557,"&gt;0"),"")</f>
        <v/>
      </c>
      <c r="I557">
        <f>IF(ISNUMBER(SEARCH("소계",B557)),COUNTIF($B$2:B557,"*소계*"),"")</f>
        <v/>
      </c>
      <c r="J557">
        <f>IF(F557="",0,1)</f>
        <v/>
      </c>
    </row>
    <row r="558">
      <c r="A558" s="41" t="n"/>
      <c r="B558" s="41" t="n"/>
      <c r="C558" s="24" t="n"/>
      <c r="D558" s="41" t="n"/>
      <c r="E558" s="41" t="n"/>
      <c r="F558" s="19">
        <f>IF(COUNTA(A558:E558)=0,"",IF(OR(ISNUMBER(SEARCH("소계",B558)),ISNUMBER(SEARCH("합계",B558))),"",TRIM(IF(B558="","이름 없음 ","")&amp;IF(A558="","받은 가족 없음 ","")&amp;IF(C558="","금액 없음 ",IF(ISNUMBER(C558),IF(C558&lt;1000,"금액 확인 ",""),"금액 확인 "))&amp;IF(AND(B558&lt;&gt;"",COUNTIFS($A$2:$A$1001,A558,$B$2:$B$1001,B558,$C$2:$C$1001,C558)&gt;1),"중복 의심",""))))</f>
        <v/>
      </c>
      <c r="G558" s="25">
        <f>IF(OR(COUNTA(A558:E558)=0,OR(ISNUMBER(SEARCH("소계",B558)),ISNUMBER(SEARCH("합계",B558)))),"",1+COUNTIF($B$1:B557,"*소계*"))</f>
        <v/>
      </c>
      <c r="H558">
        <f>IF(AND(A558&lt;&gt;"",A558=가족별!$B$1,G558&lt;&gt;""),COUNTIFS($A$2:A558,가족별!$B$1,$G$2:G558,"&gt;0"),"")</f>
        <v/>
      </c>
      <c r="I558">
        <f>IF(ISNUMBER(SEARCH("소계",B558)),COUNTIF($B$2:B558,"*소계*"),"")</f>
        <v/>
      </c>
      <c r="J558">
        <f>IF(F558="",0,1)</f>
        <v/>
      </c>
    </row>
    <row r="559">
      <c r="A559" s="41" t="n"/>
      <c r="B559" s="41" t="n"/>
      <c r="C559" s="24" t="n"/>
      <c r="D559" s="41" t="n"/>
      <c r="E559" s="41" t="n"/>
      <c r="F559" s="19">
        <f>IF(COUNTA(A559:E559)=0,"",IF(OR(ISNUMBER(SEARCH("소계",B559)),ISNUMBER(SEARCH("합계",B559))),"",TRIM(IF(B559="","이름 없음 ","")&amp;IF(A559="","받은 가족 없음 ","")&amp;IF(C559="","금액 없음 ",IF(ISNUMBER(C559),IF(C559&lt;1000,"금액 확인 ",""),"금액 확인 "))&amp;IF(AND(B559&lt;&gt;"",COUNTIFS($A$2:$A$1001,A559,$B$2:$B$1001,B559,$C$2:$C$1001,C559)&gt;1),"중복 의심",""))))</f>
        <v/>
      </c>
      <c r="G559" s="25">
        <f>IF(OR(COUNTA(A559:E559)=0,OR(ISNUMBER(SEARCH("소계",B559)),ISNUMBER(SEARCH("합계",B559)))),"",1+COUNTIF($B$1:B558,"*소계*"))</f>
        <v/>
      </c>
      <c r="H559">
        <f>IF(AND(A559&lt;&gt;"",A559=가족별!$B$1,G559&lt;&gt;""),COUNTIFS($A$2:A559,가족별!$B$1,$G$2:G559,"&gt;0"),"")</f>
        <v/>
      </c>
      <c r="I559">
        <f>IF(ISNUMBER(SEARCH("소계",B559)),COUNTIF($B$2:B559,"*소계*"),"")</f>
        <v/>
      </c>
      <c r="J559">
        <f>IF(F559="",0,1)</f>
        <v/>
      </c>
    </row>
    <row r="560">
      <c r="A560" s="41" t="n"/>
      <c r="B560" s="41" t="n"/>
      <c r="C560" s="24" t="n"/>
      <c r="D560" s="41" t="n"/>
      <c r="E560" s="41" t="n"/>
      <c r="F560" s="19">
        <f>IF(COUNTA(A560:E560)=0,"",IF(OR(ISNUMBER(SEARCH("소계",B560)),ISNUMBER(SEARCH("합계",B560))),"",TRIM(IF(B560="","이름 없음 ","")&amp;IF(A560="","받은 가족 없음 ","")&amp;IF(C560="","금액 없음 ",IF(ISNUMBER(C560),IF(C560&lt;1000,"금액 확인 ",""),"금액 확인 "))&amp;IF(AND(B560&lt;&gt;"",COUNTIFS($A$2:$A$1001,A560,$B$2:$B$1001,B560,$C$2:$C$1001,C560)&gt;1),"중복 의심",""))))</f>
        <v/>
      </c>
      <c r="G560" s="25">
        <f>IF(OR(COUNTA(A560:E560)=0,OR(ISNUMBER(SEARCH("소계",B560)),ISNUMBER(SEARCH("합계",B560)))),"",1+COUNTIF($B$1:B559,"*소계*"))</f>
        <v/>
      </c>
      <c r="H560">
        <f>IF(AND(A560&lt;&gt;"",A560=가족별!$B$1,G560&lt;&gt;""),COUNTIFS($A$2:A560,가족별!$B$1,$G$2:G560,"&gt;0"),"")</f>
        <v/>
      </c>
      <c r="I560">
        <f>IF(ISNUMBER(SEARCH("소계",B560)),COUNTIF($B$2:B560,"*소계*"),"")</f>
        <v/>
      </c>
      <c r="J560">
        <f>IF(F560="",0,1)</f>
        <v/>
      </c>
    </row>
    <row r="561">
      <c r="A561" s="41" t="n"/>
      <c r="B561" s="41" t="n"/>
      <c r="C561" s="24" t="n"/>
      <c r="D561" s="41" t="n"/>
      <c r="E561" s="41" t="n"/>
      <c r="F561" s="19">
        <f>IF(COUNTA(A561:E561)=0,"",IF(OR(ISNUMBER(SEARCH("소계",B561)),ISNUMBER(SEARCH("합계",B561))),"",TRIM(IF(B561="","이름 없음 ","")&amp;IF(A561="","받은 가족 없음 ","")&amp;IF(C561="","금액 없음 ",IF(ISNUMBER(C561),IF(C561&lt;1000,"금액 확인 ",""),"금액 확인 "))&amp;IF(AND(B561&lt;&gt;"",COUNTIFS($A$2:$A$1001,A561,$B$2:$B$1001,B561,$C$2:$C$1001,C561)&gt;1),"중복 의심",""))))</f>
        <v/>
      </c>
      <c r="G561" s="25">
        <f>IF(OR(COUNTA(A561:E561)=0,OR(ISNUMBER(SEARCH("소계",B561)),ISNUMBER(SEARCH("합계",B561)))),"",1+COUNTIF($B$1:B560,"*소계*"))</f>
        <v/>
      </c>
      <c r="H561">
        <f>IF(AND(A561&lt;&gt;"",A561=가족별!$B$1,G561&lt;&gt;""),COUNTIFS($A$2:A561,가족별!$B$1,$G$2:G561,"&gt;0"),"")</f>
        <v/>
      </c>
      <c r="I561">
        <f>IF(ISNUMBER(SEARCH("소계",B561)),COUNTIF($B$2:B561,"*소계*"),"")</f>
        <v/>
      </c>
      <c r="J561">
        <f>IF(F561="",0,1)</f>
        <v/>
      </c>
    </row>
    <row r="562">
      <c r="A562" s="41" t="n"/>
      <c r="B562" s="41" t="n"/>
      <c r="C562" s="24" t="n"/>
      <c r="D562" s="41" t="n"/>
      <c r="E562" s="41" t="n"/>
      <c r="F562" s="19">
        <f>IF(COUNTA(A562:E562)=0,"",IF(OR(ISNUMBER(SEARCH("소계",B562)),ISNUMBER(SEARCH("합계",B562))),"",TRIM(IF(B562="","이름 없음 ","")&amp;IF(A562="","받은 가족 없음 ","")&amp;IF(C562="","금액 없음 ",IF(ISNUMBER(C562),IF(C562&lt;1000,"금액 확인 ",""),"금액 확인 "))&amp;IF(AND(B562&lt;&gt;"",COUNTIFS($A$2:$A$1001,A562,$B$2:$B$1001,B562,$C$2:$C$1001,C562)&gt;1),"중복 의심",""))))</f>
        <v/>
      </c>
      <c r="G562" s="25">
        <f>IF(OR(COUNTA(A562:E562)=0,OR(ISNUMBER(SEARCH("소계",B562)),ISNUMBER(SEARCH("합계",B562)))),"",1+COUNTIF($B$1:B561,"*소계*"))</f>
        <v/>
      </c>
      <c r="H562">
        <f>IF(AND(A562&lt;&gt;"",A562=가족별!$B$1,G562&lt;&gt;""),COUNTIFS($A$2:A562,가족별!$B$1,$G$2:G562,"&gt;0"),"")</f>
        <v/>
      </c>
      <c r="I562">
        <f>IF(ISNUMBER(SEARCH("소계",B562)),COUNTIF($B$2:B562,"*소계*"),"")</f>
        <v/>
      </c>
      <c r="J562">
        <f>IF(F562="",0,1)</f>
        <v/>
      </c>
    </row>
    <row r="563">
      <c r="A563" s="41" t="n"/>
      <c r="B563" s="41" t="n"/>
      <c r="C563" s="24" t="n"/>
      <c r="D563" s="41" t="n"/>
      <c r="E563" s="41" t="n"/>
      <c r="F563" s="19">
        <f>IF(COUNTA(A563:E563)=0,"",IF(OR(ISNUMBER(SEARCH("소계",B563)),ISNUMBER(SEARCH("합계",B563))),"",TRIM(IF(B563="","이름 없음 ","")&amp;IF(A563="","받은 가족 없음 ","")&amp;IF(C563="","금액 없음 ",IF(ISNUMBER(C563),IF(C563&lt;1000,"금액 확인 ",""),"금액 확인 "))&amp;IF(AND(B563&lt;&gt;"",COUNTIFS($A$2:$A$1001,A563,$B$2:$B$1001,B563,$C$2:$C$1001,C563)&gt;1),"중복 의심",""))))</f>
        <v/>
      </c>
      <c r="G563" s="25">
        <f>IF(OR(COUNTA(A563:E563)=0,OR(ISNUMBER(SEARCH("소계",B563)),ISNUMBER(SEARCH("합계",B563)))),"",1+COUNTIF($B$1:B562,"*소계*"))</f>
        <v/>
      </c>
      <c r="H563">
        <f>IF(AND(A563&lt;&gt;"",A563=가족별!$B$1,G563&lt;&gt;""),COUNTIFS($A$2:A563,가족별!$B$1,$G$2:G563,"&gt;0"),"")</f>
        <v/>
      </c>
      <c r="I563">
        <f>IF(ISNUMBER(SEARCH("소계",B563)),COUNTIF($B$2:B563,"*소계*"),"")</f>
        <v/>
      </c>
      <c r="J563">
        <f>IF(F563="",0,1)</f>
        <v/>
      </c>
    </row>
    <row r="564">
      <c r="A564" s="41" t="n"/>
      <c r="B564" s="41" t="n"/>
      <c r="C564" s="24" t="n"/>
      <c r="D564" s="41" t="n"/>
      <c r="E564" s="41" t="n"/>
      <c r="F564" s="19">
        <f>IF(COUNTA(A564:E564)=0,"",IF(OR(ISNUMBER(SEARCH("소계",B564)),ISNUMBER(SEARCH("합계",B564))),"",TRIM(IF(B564="","이름 없음 ","")&amp;IF(A564="","받은 가족 없음 ","")&amp;IF(C564="","금액 없음 ",IF(ISNUMBER(C564),IF(C564&lt;1000,"금액 확인 ",""),"금액 확인 "))&amp;IF(AND(B564&lt;&gt;"",COUNTIFS($A$2:$A$1001,A564,$B$2:$B$1001,B564,$C$2:$C$1001,C564)&gt;1),"중복 의심",""))))</f>
        <v/>
      </c>
      <c r="G564" s="25">
        <f>IF(OR(COUNTA(A564:E564)=0,OR(ISNUMBER(SEARCH("소계",B564)),ISNUMBER(SEARCH("합계",B564)))),"",1+COUNTIF($B$1:B563,"*소계*"))</f>
        <v/>
      </c>
      <c r="H564">
        <f>IF(AND(A564&lt;&gt;"",A564=가족별!$B$1,G564&lt;&gt;""),COUNTIFS($A$2:A564,가족별!$B$1,$G$2:G564,"&gt;0"),"")</f>
        <v/>
      </c>
      <c r="I564">
        <f>IF(ISNUMBER(SEARCH("소계",B564)),COUNTIF($B$2:B564,"*소계*"),"")</f>
        <v/>
      </c>
      <c r="J564">
        <f>IF(F564="",0,1)</f>
        <v/>
      </c>
    </row>
    <row r="565">
      <c r="A565" s="41" t="n"/>
      <c r="B565" s="41" t="n"/>
      <c r="C565" s="24" t="n"/>
      <c r="D565" s="41" t="n"/>
      <c r="E565" s="41" t="n"/>
      <c r="F565" s="19">
        <f>IF(COUNTA(A565:E565)=0,"",IF(OR(ISNUMBER(SEARCH("소계",B565)),ISNUMBER(SEARCH("합계",B565))),"",TRIM(IF(B565="","이름 없음 ","")&amp;IF(A565="","받은 가족 없음 ","")&amp;IF(C565="","금액 없음 ",IF(ISNUMBER(C565),IF(C565&lt;1000,"금액 확인 ",""),"금액 확인 "))&amp;IF(AND(B565&lt;&gt;"",COUNTIFS($A$2:$A$1001,A565,$B$2:$B$1001,B565,$C$2:$C$1001,C565)&gt;1),"중복 의심",""))))</f>
        <v/>
      </c>
      <c r="G565" s="25">
        <f>IF(OR(COUNTA(A565:E565)=0,OR(ISNUMBER(SEARCH("소계",B565)),ISNUMBER(SEARCH("합계",B565)))),"",1+COUNTIF($B$1:B564,"*소계*"))</f>
        <v/>
      </c>
      <c r="H565">
        <f>IF(AND(A565&lt;&gt;"",A565=가족별!$B$1,G565&lt;&gt;""),COUNTIFS($A$2:A565,가족별!$B$1,$G$2:G565,"&gt;0"),"")</f>
        <v/>
      </c>
      <c r="I565">
        <f>IF(ISNUMBER(SEARCH("소계",B565)),COUNTIF($B$2:B565,"*소계*"),"")</f>
        <v/>
      </c>
      <c r="J565">
        <f>IF(F565="",0,1)</f>
        <v/>
      </c>
    </row>
    <row r="566">
      <c r="A566" s="41" t="n"/>
      <c r="B566" s="41" t="n"/>
      <c r="C566" s="24" t="n"/>
      <c r="D566" s="41" t="n"/>
      <c r="E566" s="41" t="n"/>
      <c r="F566" s="19">
        <f>IF(COUNTA(A566:E566)=0,"",IF(OR(ISNUMBER(SEARCH("소계",B566)),ISNUMBER(SEARCH("합계",B566))),"",TRIM(IF(B566="","이름 없음 ","")&amp;IF(A566="","받은 가족 없음 ","")&amp;IF(C566="","금액 없음 ",IF(ISNUMBER(C566),IF(C566&lt;1000,"금액 확인 ",""),"금액 확인 "))&amp;IF(AND(B566&lt;&gt;"",COUNTIFS($A$2:$A$1001,A566,$B$2:$B$1001,B566,$C$2:$C$1001,C566)&gt;1),"중복 의심",""))))</f>
        <v/>
      </c>
      <c r="G566" s="25">
        <f>IF(OR(COUNTA(A566:E566)=0,OR(ISNUMBER(SEARCH("소계",B566)),ISNUMBER(SEARCH("합계",B566)))),"",1+COUNTIF($B$1:B565,"*소계*"))</f>
        <v/>
      </c>
      <c r="H566">
        <f>IF(AND(A566&lt;&gt;"",A566=가족별!$B$1,G566&lt;&gt;""),COUNTIFS($A$2:A566,가족별!$B$1,$G$2:G566,"&gt;0"),"")</f>
        <v/>
      </c>
      <c r="I566">
        <f>IF(ISNUMBER(SEARCH("소계",B566)),COUNTIF($B$2:B566,"*소계*"),"")</f>
        <v/>
      </c>
      <c r="J566">
        <f>IF(F566="",0,1)</f>
        <v/>
      </c>
    </row>
    <row r="567">
      <c r="A567" s="41" t="n"/>
      <c r="B567" s="41" t="n"/>
      <c r="C567" s="24" t="n"/>
      <c r="D567" s="41" t="n"/>
      <c r="E567" s="41" t="n"/>
      <c r="F567" s="19">
        <f>IF(COUNTA(A567:E567)=0,"",IF(OR(ISNUMBER(SEARCH("소계",B567)),ISNUMBER(SEARCH("합계",B567))),"",TRIM(IF(B567="","이름 없음 ","")&amp;IF(A567="","받은 가족 없음 ","")&amp;IF(C567="","금액 없음 ",IF(ISNUMBER(C567),IF(C567&lt;1000,"금액 확인 ",""),"금액 확인 "))&amp;IF(AND(B567&lt;&gt;"",COUNTIFS($A$2:$A$1001,A567,$B$2:$B$1001,B567,$C$2:$C$1001,C567)&gt;1),"중복 의심",""))))</f>
        <v/>
      </c>
      <c r="G567" s="25">
        <f>IF(OR(COUNTA(A567:E567)=0,OR(ISNUMBER(SEARCH("소계",B567)),ISNUMBER(SEARCH("합계",B567)))),"",1+COUNTIF($B$1:B566,"*소계*"))</f>
        <v/>
      </c>
      <c r="H567">
        <f>IF(AND(A567&lt;&gt;"",A567=가족별!$B$1,G567&lt;&gt;""),COUNTIFS($A$2:A567,가족별!$B$1,$G$2:G567,"&gt;0"),"")</f>
        <v/>
      </c>
      <c r="I567">
        <f>IF(ISNUMBER(SEARCH("소계",B567)),COUNTIF($B$2:B567,"*소계*"),"")</f>
        <v/>
      </c>
      <c r="J567">
        <f>IF(F567="",0,1)</f>
        <v/>
      </c>
    </row>
    <row r="568">
      <c r="A568" s="41" t="n"/>
      <c r="B568" s="41" t="n"/>
      <c r="C568" s="24" t="n"/>
      <c r="D568" s="41" t="n"/>
      <c r="E568" s="41" t="n"/>
      <c r="F568" s="19">
        <f>IF(COUNTA(A568:E568)=0,"",IF(OR(ISNUMBER(SEARCH("소계",B568)),ISNUMBER(SEARCH("합계",B568))),"",TRIM(IF(B568="","이름 없음 ","")&amp;IF(A568="","받은 가족 없음 ","")&amp;IF(C568="","금액 없음 ",IF(ISNUMBER(C568),IF(C568&lt;1000,"금액 확인 ",""),"금액 확인 "))&amp;IF(AND(B568&lt;&gt;"",COUNTIFS($A$2:$A$1001,A568,$B$2:$B$1001,B568,$C$2:$C$1001,C568)&gt;1),"중복 의심",""))))</f>
        <v/>
      </c>
      <c r="G568" s="25">
        <f>IF(OR(COUNTA(A568:E568)=0,OR(ISNUMBER(SEARCH("소계",B568)),ISNUMBER(SEARCH("합계",B568)))),"",1+COUNTIF($B$1:B567,"*소계*"))</f>
        <v/>
      </c>
      <c r="H568">
        <f>IF(AND(A568&lt;&gt;"",A568=가족별!$B$1,G568&lt;&gt;""),COUNTIFS($A$2:A568,가족별!$B$1,$G$2:G568,"&gt;0"),"")</f>
        <v/>
      </c>
      <c r="I568">
        <f>IF(ISNUMBER(SEARCH("소계",B568)),COUNTIF($B$2:B568,"*소계*"),"")</f>
        <v/>
      </c>
      <c r="J568">
        <f>IF(F568="",0,1)</f>
        <v/>
      </c>
    </row>
    <row r="569">
      <c r="A569" s="41" t="n"/>
      <c r="B569" s="41" t="n"/>
      <c r="C569" s="24" t="n"/>
      <c r="D569" s="41" t="n"/>
      <c r="E569" s="41" t="n"/>
      <c r="F569" s="19">
        <f>IF(COUNTA(A569:E569)=0,"",IF(OR(ISNUMBER(SEARCH("소계",B569)),ISNUMBER(SEARCH("합계",B569))),"",TRIM(IF(B569="","이름 없음 ","")&amp;IF(A569="","받은 가족 없음 ","")&amp;IF(C569="","금액 없음 ",IF(ISNUMBER(C569),IF(C569&lt;1000,"금액 확인 ",""),"금액 확인 "))&amp;IF(AND(B569&lt;&gt;"",COUNTIFS($A$2:$A$1001,A569,$B$2:$B$1001,B569,$C$2:$C$1001,C569)&gt;1),"중복 의심",""))))</f>
        <v/>
      </c>
      <c r="G569" s="25">
        <f>IF(OR(COUNTA(A569:E569)=0,OR(ISNUMBER(SEARCH("소계",B569)),ISNUMBER(SEARCH("합계",B569)))),"",1+COUNTIF($B$1:B568,"*소계*"))</f>
        <v/>
      </c>
      <c r="H569">
        <f>IF(AND(A569&lt;&gt;"",A569=가족별!$B$1,G569&lt;&gt;""),COUNTIFS($A$2:A569,가족별!$B$1,$G$2:G569,"&gt;0"),"")</f>
        <v/>
      </c>
      <c r="I569">
        <f>IF(ISNUMBER(SEARCH("소계",B569)),COUNTIF($B$2:B569,"*소계*"),"")</f>
        <v/>
      </c>
      <c r="J569">
        <f>IF(F569="",0,1)</f>
        <v/>
      </c>
    </row>
    <row r="570">
      <c r="A570" s="41" t="n"/>
      <c r="B570" s="41" t="n"/>
      <c r="C570" s="24" t="n"/>
      <c r="D570" s="41" t="n"/>
      <c r="E570" s="41" t="n"/>
      <c r="F570" s="19">
        <f>IF(COUNTA(A570:E570)=0,"",IF(OR(ISNUMBER(SEARCH("소계",B570)),ISNUMBER(SEARCH("합계",B570))),"",TRIM(IF(B570="","이름 없음 ","")&amp;IF(A570="","받은 가족 없음 ","")&amp;IF(C570="","금액 없음 ",IF(ISNUMBER(C570),IF(C570&lt;1000,"금액 확인 ",""),"금액 확인 "))&amp;IF(AND(B570&lt;&gt;"",COUNTIFS($A$2:$A$1001,A570,$B$2:$B$1001,B570,$C$2:$C$1001,C570)&gt;1),"중복 의심",""))))</f>
        <v/>
      </c>
      <c r="G570" s="25">
        <f>IF(OR(COUNTA(A570:E570)=0,OR(ISNUMBER(SEARCH("소계",B570)),ISNUMBER(SEARCH("합계",B570)))),"",1+COUNTIF($B$1:B569,"*소계*"))</f>
        <v/>
      </c>
      <c r="H570">
        <f>IF(AND(A570&lt;&gt;"",A570=가족별!$B$1,G570&lt;&gt;""),COUNTIFS($A$2:A570,가족별!$B$1,$G$2:G570,"&gt;0"),"")</f>
        <v/>
      </c>
      <c r="I570">
        <f>IF(ISNUMBER(SEARCH("소계",B570)),COUNTIF($B$2:B570,"*소계*"),"")</f>
        <v/>
      </c>
      <c r="J570">
        <f>IF(F570="",0,1)</f>
        <v/>
      </c>
    </row>
    <row r="571">
      <c r="A571" s="41" t="n"/>
      <c r="B571" s="41" t="n"/>
      <c r="C571" s="24" t="n"/>
      <c r="D571" s="41" t="n"/>
      <c r="E571" s="41" t="n"/>
      <c r="F571" s="19">
        <f>IF(COUNTA(A571:E571)=0,"",IF(OR(ISNUMBER(SEARCH("소계",B571)),ISNUMBER(SEARCH("합계",B571))),"",TRIM(IF(B571="","이름 없음 ","")&amp;IF(A571="","받은 가족 없음 ","")&amp;IF(C571="","금액 없음 ",IF(ISNUMBER(C571),IF(C571&lt;1000,"금액 확인 ",""),"금액 확인 "))&amp;IF(AND(B571&lt;&gt;"",COUNTIFS($A$2:$A$1001,A571,$B$2:$B$1001,B571,$C$2:$C$1001,C571)&gt;1),"중복 의심",""))))</f>
        <v/>
      </c>
      <c r="G571" s="25">
        <f>IF(OR(COUNTA(A571:E571)=0,OR(ISNUMBER(SEARCH("소계",B571)),ISNUMBER(SEARCH("합계",B571)))),"",1+COUNTIF($B$1:B570,"*소계*"))</f>
        <v/>
      </c>
      <c r="H571">
        <f>IF(AND(A571&lt;&gt;"",A571=가족별!$B$1,G571&lt;&gt;""),COUNTIFS($A$2:A571,가족별!$B$1,$G$2:G571,"&gt;0"),"")</f>
        <v/>
      </c>
      <c r="I571">
        <f>IF(ISNUMBER(SEARCH("소계",B571)),COUNTIF($B$2:B571,"*소계*"),"")</f>
        <v/>
      </c>
      <c r="J571">
        <f>IF(F571="",0,1)</f>
        <v/>
      </c>
    </row>
    <row r="572">
      <c r="A572" s="41" t="n"/>
      <c r="B572" s="41" t="n"/>
      <c r="C572" s="24" t="n"/>
      <c r="D572" s="41" t="n"/>
      <c r="E572" s="41" t="n"/>
      <c r="F572" s="19">
        <f>IF(COUNTA(A572:E572)=0,"",IF(OR(ISNUMBER(SEARCH("소계",B572)),ISNUMBER(SEARCH("합계",B572))),"",TRIM(IF(B572="","이름 없음 ","")&amp;IF(A572="","받은 가족 없음 ","")&amp;IF(C572="","금액 없음 ",IF(ISNUMBER(C572),IF(C572&lt;1000,"금액 확인 ",""),"금액 확인 "))&amp;IF(AND(B572&lt;&gt;"",COUNTIFS($A$2:$A$1001,A572,$B$2:$B$1001,B572,$C$2:$C$1001,C572)&gt;1),"중복 의심",""))))</f>
        <v/>
      </c>
      <c r="G572" s="25">
        <f>IF(OR(COUNTA(A572:E572)=0,OR(ISNUMBER(SEARCH("소계",B572)),ISNUMBER(SEARCH("합계",B572)))),"",1+COUNTIF($B$1:B571,"*소계*"))</f>
        <v/>
      </c>
      <c r="H572">
        <f>IF(AND(A572&lt;&gt;"",A572=가족별!$B$1,G572&lt;&gt;""),COUNTIFS($A$2:A572,가족별!$B$1,$G$2:G572,"&gt;0"),"")</f>
        <v/>
      </c>
      <c r="I572">
        <f>IF(ISNUMBER(SEARCH("소계",B572)),COUNTIF($B$2:B572,"*소계*"),"")</f>
        <v/>
      </c>
      <c r="J572">
        <f>IF(F572="",0,1)</f>
        <v/>
      </c>
    </row>
    <row r="573">
      <c r="A573" s="41" t="n"/>
      <c r="B573" s="41" t="n"/>
      <c r="C573" s="24" t="n"/>
      <c r="D573" s="41" t="n"/>
      <c r="E573" s="41" t="n"/>
      <c r="F573" s="19">
        <f>IF(COUNTA(A573:E573)=0,"",IF(OR(ISNUMBER(SEARCH("소계",B573)),ISNUMBER(SEARCH("합계",B573))),"",TRIM(IF(B573="","이름 없음 ","")&amp;IF(A573="","받은 가족 없음 ","")&amp;IF(C573="","금액 없음 ",IF(ISNUMBER(C573),IF(C573&lt;1000,"금액 확인 ",""),"금액 확인 "))&amp;IF(AND(B573&lt;&gt;"",COUNTIFS($A$2:$A$1001,A573,$B$2:$B$1001,B573,$C$2:$C$1001,C573)&gt;1),"중복 의심",""))))</f>
        <v/>
      </c>
      <c r="G573" s="25">
        <f>IF(OR(COUNTA(A573:E573)=0,OR(ISNUMBER(SEARCH("소계",B573)),ISNUMBER(SEARCH("합계",B573)))),"",1+COUNTIF($B$1:B572,"*소계*"))</f>
        <v/>
      </c>
      <c r="H573">
        <f>IF(AND(A573&lt;&gt;"",A573=가족별!$B$1,G573&lt;&gt;""),COUNTIFS($A$2:A573,가족별!$B$1,$G$2:G573,"&gt;0"),"")</f>
        <v/>
      </c>
      <c r="I573">
        <f>IF(ISNUMBER(SEARCH("소계",B573)),COUNTIF($B$2:B573,"*소계*"),"")</f>
        <v/>
      </c>
      <c r="J573">
        <f>IF(F573="",0,1)</f>
        <v/>
      </c>
    </row>
    <row r="574">
      <c r="A574" s="41" t="n"/>
      <c r="B574" s="41" t="n"/>
      <c r="C574" s="24" t="n"/>
      <c r="D574" s="41" t="n"/>
      <c r="E574" s="41" t="n"/>
      <c r="F574" s="19">
        <f>IF(COUNTA(A574:E574)=0,"",IF(OR(ISNUMBER(SEARCH("소계",B574)),ISNUMBER(SEARCH("합계",B574))),"",TRIM(IF(B574="","이름 없음 ","")&amp;IF(A574="","받은 가족 없음 ","")&amp;IF(C574="","금액 없음 ",IF(ISNUMBER(C574),IF(C574&lt;1000,"금액 확인 ",""),"금액 확인 "))&amp;IF(AND(B574&lt;&gt;"",COUNTIFS($A$2:$A$1001,A574,$B$2:$B$1001,B574,$C$2:$C$1001,C574)&gt;1),"중복 의심",""))))</f>
        <v/>
      </c>
      <c r="G574" s="25">
        <f>IF(OR(COUNTA(A574:E574)=0,OR(ISNUMBER(SEARCH("소계",B574)),ISNUMBER(SEARCH("합계",B574)))),"",1+COUNTIF($B$1:B573,"*소계*"))</f>
        <v/>
      </c>
      <c r="H574">
        <f>IF(AND(A574&lt;&gt;"",A574=가족별!$B$1,G574&lt;&gt;""),COUNTIFS($A$2:A574,가족별!$B$1,$G$2:G574,"&gt;0"),"")</f>
        <v/>
      </c>
      <c r="I574">
        <f>IF(ISNUMBER(SEARCH("소계",B574)),COUNTIF($B$2:B574,"*소계*"),"")</f>
        <v/>
      </c>
      <c r="J574">
        <f>IF(F574="",0,1)</f>
        <v/>
      </c>
    </row>
    <row r="575">
      <c r="A575" s="41" t="n"/>
      <c r="B575" s="41" t="n"/>
      <c r="C575" s="24" t="n"/>
      <c r="D575" s="41" t="n"/>
      <c r="E575" s="41" t="n"/>
      <c r="F575" s="19">
        <f>IF(COUNTA(A575:E575)=0,"",IF(OR(ISNUMBER(SEARCH("소계",B575)),ISNUMBER(SEARCH("합계",B575))),"",TRIM(IF(B575="","이름 없음 ","")&amp;IF(A575="","받은 가족 없음 ","")&amp;IF(C575="","금액 없음 ",IF(ISNUMBER(C575),IF(C575&lt;1000,"금액 확인 ",""),"금액 확인 "))&amp;IF(AND(B575&lt;&gt;"",COUNTIFS($A$2:$A$1001,A575,$B$2:$B$1001,B575,$C$2:$C$1001,C575)&gt;1),"중복 의심",""))))</f>
        <v/>
      </c>
      <c r="G575" s="25">
        <f>IF(OR(COUNTA(A575:E575)=0,OR(ISNUMBER(SEARCH("소계",B575)),ISNUMBER(SEARCH("합계",B575)))),"",1+COUNTIF($B$1:B574,"*소계*"))</f>
        <v/>
      </c>
      <c r="H575">
        <f>IF(AND(A575&lt;&gt;"",A575=가족별!$B$1,G575&lt;&gt;""),COUNTIFS($A$2:A575,가족별!$B$1,$G$2:G575,"&gt;0"),"")</f>
        <v/>
      </c>
      <c r="I575">
        <f>IF(ISNUMBER(SEARCH("소계",B575)),COUNTIF($B$2:B575,"*소계*"),"")</f>
        <v/>
      </c>
      <c r="J575">
        <f>IF(F575="",0,1)</f>
        <v/>
      </c>
    </row>
    <row r="576">
      <c r="A576" s="41" t="n"/>
      <c r="B576" s="41" t="n"/>
      <c r="C576" s="24" t="n"/>
      <c r="D576" s="41" t="n"/>
      <c r="E576" s="41" t="n"/>
      <c r="F576" s="19">
        <f>IF(COUNTA(A576:E576)=0,"",IF(OR(ISNUMBER(SEARCH("소계",B576)),ISNUMBER(SEARCH("합계",B576))),"",TRIM(IF(B576="","이름 없음 ","")&amp;IF(A576="","받은 가족 없음 ","")&amp;IF(C576="","금액 없음 ",IF(ISNUMBER(C576),IF(C576&lt;1000,"금액 확인 ",""),"금액 확인 "))&amp;IF(AND(B576&lt;&gt;"",COUNTIFS($A$2:$A$1001,A576,$B$2:$B$1001,B576,$C$2:$C$1001,C576)&gt;1),"중복 의심",""))))</f>
        <v/>
      </c>
      <c r="G576" s="25">
        <f>IF(OR(COUNTA(A576:E576)=0,OR(ISNUMBER(SEARCH("소계",B576)),ISNUMBER(SEARCH("합계",B576)))),"",1+COUNTIF($B$1:B575,"*소계*"))</f>
        <v/>
      </c>
      <c r="H576">
        <f>IF(AND(A576&lt;&gt;"",A576=가족별!$B$1,G576&lt;&gt;""),COUNTIFS($A$2:A576,가족별!$B$1,$G$2:G576,"&gt;0"),"")</f>
        <v/>
      </c>
      <c r="I576">
        <f>IF(ISNUMBER(SEARCH("소계",B576)),COUNTIF($B$2:B576,"*소계*"),"")</f>
        <v/>
      </c>
      <c r="J576">
        <f>IF(F576="",0,1)</f>
        <v/>
      </c>
    </row>
    <row r="577">
      <c r="A577" s="41" t="n"/>
      <c r="B577" s="41" t="n"/>
      <c r="C577" s="24" t="n"/>
      <c r="D577" s="41" t="n"/>
      <c r="E577" s="41" t="n"/>
      <c r="F577" s="19">
        <f>IF(COUNTA(A577:E577)=0,"",IF(OR(ISNUMBER(SEARCH("소계",B577)),ISNUMBER(SEARCH("합계",B577))),"",TRIM(IF(B577="","이름 없음 ","")&amp;IF(A577="","받은 가족 없음 ","")&amp;IF(C577="","금액 없음 ",IF(ISNUMBER(C577),IF(C577&lt;1000,"금액 확인 ",""),"금액 확인 "))&amp;IF(AND(B577&lt;&gt;"",COUNTIFS($A$2:$A$1001,A577,$B$2:$B$1001,B577,$C$2:$C$1001,C577)&gt;1),"중복 의심",""))))</f>
        <v/>
      </c>
      <c r="G577" s="25">
        <f>IF(OR(COUNTA(A577:E577)=0,OR(ISNUMBER(SEARCH("소계",B577)),ISNUMBER(SEARCH("합계",B577)))),"",1+COUNTIF($B$1:B576,"*소계*"))</f>
        <v/>
      </c>
      <c r="H577">
        <f>IF(AND(A577&lt;&gt;"",A577=가족별!$B$1,G577&lt;&gt;""),COUNTIFS($A$2:A577,가족별!$B$1,$G$2:G577,"&gt;0"),"")</f>
        <v/>
      </c>
      <c r="I577">
        <f>IF(ISNUMBER(SEARCH("소계",B577)),COUNTIF($B$2:B577,"*소계*"),"")</f>
        <v/>
      </c>
      <c r="J577">
        <f>IF(F577="",0,1)</f>
        <v/>
      </c>
    </row>
    <row r="578">
      <c r="A578" s="41" t="n"/>
      <c r="B578" s="41" t="n"/>
      <c r="C578" s="24" t="n"/>
      <c r="D578" s="41" t="n"/>
      <c r="E578" s="41" t="n"/>
      <c r="F578" s="19">
        <f>IF(COUNTA(A578:E578)=0,"",IF(OR(ISNUMBER(SEARCH("소계",B578)),ISNUMBER(SEARCH("합계",B578))),"",TRIM(IF(B578="","이름 없음 ","")&amp;IF(A578="","받은 가족 없음 ","")&amp;IF(C578="","금액 없음 ",IF(ISNUMBER(C578),IF(C578&lt;1000,"금액 확인 ",""),"금액 확인 "))&amp;IF(AND(B578&lt;&gt;"",COUNTIFS($A$2:$A$1001,A578,$B$2:$B$1001,B578,$C$2:$C$1001,C578)&gt;1),"중복 의심",""))))</f>
        <v/>
      </c>
      <c r="G578" s="25">
        <f>IF(OR(COUNTA(A578:E578)=0,OR(ISNUMBER(SEARCH("소계",B578)),ISNUMBER(SEARCH("합계",B578)))),"",1+COUNTIF($B$1:B577,"*소계*"))</f>
        <v/>
      </c>
      <c r="H578">
        <f>IF(AND(A578&lt;&gt;"",A578=가족별!$B$1,G578&lt;&gt;""),COUNTIFS($A$2:A578,가족별!$B$1,$G$2:G578,"&gt;0"),"")</f>
        <v/>
      </c>
      <c r="I578">
        <f>IF(ISNUMBER(SEARCH("소계",B578)),COUNTIF($B$2:B578,"*소계*"),"")</f>
        <v/>
      </c>
      <c r="J578">
        <f>IF(F578="",0,1)</f>
        <v/>
      </c>
    </row>
    <row r="579">
      <c r="A579" s="41" t="n"/>
      <c r="B579" s="41" t="n"/>
      <c r="C579" s="24" t="n"/>
      <c r="D579" s="41" t="n"/>
      <c r="E579" s="41" t="n"/>
      <c r="F579" s="19">
        <f>IF(COUNTA(A579:E579)=0,"",IF(OR(ISNUMBER(SEARCH("소계",B579)),ISNUMBER(SEARCH("합계",B579))),"",TRIM(IF(B579="","이름 없음 ","")&amp;IF(A579="","받은 가족 없음 ","")&amp;IF(C579="","금액 없음 ",IF(ISNUMBER(C579),IF(C579&lt;1000,"금액 확인 ",""),"금액 확인 "))&amp;IF(AND(B579&lt;&gt;"",COUNTIFS($A$2:$A$1001,A579,$B$2:$B$1001,B579,$C$2:$C$1001,C579)&gt;1),"중복 의심",""))))</f>
        <v/>
      </c>
      <c r="G579" s="25">
        <f>IF(OR(COUNTA(A579:E579)=0,OR(ISNUMBER(SEARCH("소계",B579)),ISNUMBER(SEARCH("합계",B579)))),"",1+COUNTIF($B$1:B578,"*소계*"))</f>
        <v/>
      </c>
      <c r="H579">
        <f>IF(AND(A579&lt;&gt;"",A579=가족별!$B$1,G579&lt;&gt;""),COUNTIFS($A$2:A579,가족별!$B$1,$G$2:G579,"&gt;0"),"")</f>
        <v/>
      </c>
      <c r="I579">
        <f>IF(ISNUMBER(SEARCH("소계",B579)),COUNTIF($B$2:B579,"*소계*"),"")</f>
        <v/>
      </c>
      <c r="J579">
        <f>IF(F579="",0,1)</f>
        <v/>
      </c>
    </row>
    <row r="580">
      <c r="A580" s="41" t="n"/>
      <c r="B580" s="41" t="n"/>
      <c r="C580" s="24" t="n"/>
      <c r="D580" s="41" t="n"/>
      <c r="E580" s="41" t="n"/>
      <c r="F580" s="19">
        <f>IF(COUNTA(A580:E580)=0,"",IF(OR(ISNUMBER(SEARCH("소계",B580)),ISNUMBER(SEARCH("합계",B580))),"",TRIM(IF(B580="","이름 없음 ","")&amp;IF(A580="","받은 가족 없음 ","")&amp;IF(C580="","금액 없음 ",IF(ISNUMBER(C580),IF(C580&lt;1000,"금액 확인 ",""),"금액 확인 "))&amp;IF(AND(B580&lt;&gt;"",COUNTIFS($A$2:$A$1001,A580,$B$2:$B$1001,B580,$C$2:$C$1001,C580)&gt;1),"중복 의심",""))))</f>
        <v/>
      </c>
      <c r="G580" s="25">
        <f>IF(OR(COUNTA(A580:E580)=0,OR(ISNUMBER(SEARCH("소계",B580)),ISNUMBER(SEARCH("합계",B580)))),"",1+COUNTIF($B$1:B579,"*소계*"))</f>
        <v/>
      </c>
      <c r="H580">
        <f>IF(AND(A580&lt;&gt;"",A580=가족별!$B$1,G580&lt;&gt;""),COUNTIFS($A$2:A580,가족별!$B$1,$G$2:G580,"&gt;0"),"")</f>
        <v/>
      </c>
      <c r="I580">
        <f>IF(ISNUMBER(SEARCH("소계",B580)),COUNTIF($B$2:B580,"*소계*"),"")</f>
        <v/>
      </c>
      <c r="J580">
        <f>IF(F580="",0,1)</f>
        <v/>
      </c>
    </row>
    <row r="581">
      <c r="A581" s="41" t="n"/>
      <c r="B581" s="41" t="n"/>
      <c r="C581" s="24" t="n"/>
      <c r="D581" s="41" t="n"/>
      <c r="E581" s="41" t="n"/>
      <c r="F581" s="19">
        <f>IF(COUNTA(A581:E581)=0,"",IF(OR(ISNUMBER(SEARCH("소계",B581)),ISNUMBER(SEARCH("합계",B581))),"",TRIM(IF(B581="","이름 없음 ","")&amp;IF(A581="","받은 가족 없음 ","")&amp;IF(C581="","금액 없음 ",IF(ISNUMBER(C581),IF(C581&lt;1000,"금액 확인 ",""),"금액 확인 "))&amp;IF(AND(B581&lt;&gt;"",COUNTIFS($A$2:$A$1001,A581,$B$2:$B$1001,B581,$C$2:$C$1001,C581)&gt;1),"중복 의심",""))))</f>
        <v/>
      </c>
      <c r="G581" s="25">
        <f>IF(OR(COUNTA(A581:E581)=0,OR(ISNUMBER(SEARCH("소계",B581)),ISNUMBER(SEARCH("합계",B581)))),"",1+COUNTIF($B$1:B580,"*소계*"))</f>
        <v/>
      </c>
      <c r="H581">
        <f>IF(AND(A581&lt;&gt;"",A581=가족별!$B$1,G581&lt;&gt;""),COUNTIFS($A$2:A581,가족별!$B$1,$G$2:G581,"&gt;0"),"")</f>
        <v/>
      </c>
      <c r="I581">
        <f>IF(ISNUMBER(SEARCH("소계",B581)),COUNTIF($B$2:B581,"*소계*"),"")</f>
        <v/>
      </c>
      <c r="J581">
        <f>IF(F581="",0,1)</f>
        <v/>
      </c>
    </row>
    <row r="582">
      <c r="A582" s="41" t="n"/>
      <c r="B582" s="41" t="n"/>
      <c r="C582" s="24" t="n"/>
      <c r="D582" s="41" t="n"/>
      <c r="E582" s="41" t="n"/>
      <c r="F582" s="19">
        <f>IF(COUNTA(A582:E582)=0,"",IF(OR(ISNUMBER(SEARCH("소계",B582)),ISNUMBER(SEARCH("합계",B582))),"",TRIM(IF(B582="","이름 없음 ","")&amp;IF(A582="","받은 가족 없음 ","")&amp;IF(C582="","금액 없음 ",IF(ISNUMBER(C582),IF(C582&lt;1000,"금액 확인 ",""),"금액 확인 "))&amp;IF(AND(B582&lt;&gt;"",COUNTIFS($A$2:$A$1001,A582,$B$2:$B$1001,B582,$C$2:$C$1001,C582)&gt;1),"중복 의심",""))))</f>
        <v/>
      </c>
      <c r="G582" s="25">
        <f>IF(OR(COUNTA(A582:E582)=0,OR(ISNUMBER(SEARCH("소계",B582)),ISNUMBER(SEARCH("합계",B582)))),"",1+COUNTIF($B$1:B581,"*소계*"))</f>
        <v/>
      </c>
      <c r="H582">
        <f>IF(AND(A582&lt;&gt;"",A582=가족별!$B$1,G582&lt;&gt;""),COUNTIFS($A$2:A582,가족별!$B$1,$G$2:G582,"&gt;0"),"")</f>
        <v/>
      </c>
      <c r="I582">
        <f>IF(ISNUMBER(SEARCH("소계",B582)),COUNTIF($B$2:B582,"*소계*"),"")</f>
        <v/>
      </c>
      <c r="J582">
        <f>IF(F582="",0,1)</f>
        <v/>
      </c>
    </row>
    <row r="583">
      <c r="A583" s="41" t="n"/>
      <c r="B583" s="41" t="n"/>
      <c r="C583" s="24" t="n"/>
      <c r="D583" s="41" t="n"/>
      <c r="E583" s="41" t="n"/>
      <c r="F583" s="19">
        <f>IF(COUNTA(A583:E583)=0,"",IF(OR(ISNUMBER(SEARCH("소계",B583)),ISNUMBER(SEARCH("합계",B583))),"",TRIM(IF(B583="","이름 없음 ","")&amp;IF(A583="","받은 가족 없음 ","")&amp;IF(C583="","금액 없음 ",IF(ISNUMBER(C583),IF(C583&lt;1000,"금액 확인 ",""),"금액 확인 "))&amp;IF(AND(B583&lt;&gt;"",COUNTIFS($A$2:$A$1001,A583,$B$2:$B$1001,B583,$C$2:$C$1001,C583)&gt;1),"중복 의심",""))))</f>
        <v/>
      </c>
      <c r="G583" s="25">
        <f>IF(OR(COUNTA(A583:E583)=0,OR(ISNUMBER(SEARCH("소계",B583)),ISNUMBER(SEARCH("합계",B583)))),"",1+COUNTIF($B$1:B582,"*소계*"))</f>
        <v/>
      </c>
      <c r="H583">
        <f>IF(AND(A583&lt;&gt;"",A583=가족별!$B$1,G583&lt;&gt;""),COUNTIFS($A$2:A583,가족별!$B$1,$G$2:G583,"&gt;0"),"")</f>
        <v/>
      </c>
      <c r="I583">
        <f>IF(ISNUMBER(SEARCH("소계",B583)),COUNTIF($B$2:B583,"*소계*"),"")</f>
        <v/>
      </c>
      <c r="J583">
        <f>IF(F583="",0,1)</f>
        <v/>
      </c>
    </row>
    <row r="584">
      <c r="A584" s="41" t="n"/>
      <c r="B584" s="41" t="n"/>
      <c r="C584" s="24" t="n"/>
      <c r="D584" s="41" t="n"/>
      <c r="E584" s="41" t="n"/>
      <c r="F584" s="19">
        <f>IF(COUNTA(A584:E584)=0,"",IF(OR(ISNUMBER(SEARCH("소계",B584)),ISNUMBER(SEARCH("합계",B584))),"",TRIM(IF(B584="","이름 없음 ","")&amp;IF(A584="","받은 가족 없음 ","")&amp;IF(C584="","금액 없음 ",IF(ISNUMBER(C584),IF(C584&lt;1000,"금액 확인 ",""),"금액 확인 "))&amp;IF(AND(B584&lt;&gt;"",COUNTIFS($A$2:$A$1001,A584,$B$2:$B$1001,B584,$C$2:$C$1001,C584)&gt;1),"중복 의심",""))))</f>
        <v/>
      </c>
      <c r="G584" s="25">
        <f>IF(OR(COUNTA(A584:E584)=0,OR(ISNUMBER(SEARCH("소계",B584)),ISNUMBER(SEARCH("합계",B584)))),"",1+COUNTIF($B$1:B583,"*소계*"))</f>
        <v/>
      </c>
      <c r="H584">
        <f>IF(AND(A584&lt;&gt;"",A584=가족별!$B$1,G584&lt;&gt;""),COUNTIFS($A$2:A584,가족별!$B$1,$G$2:G584,"&gt;0"),"")</f>
        <v/>
      </c>
      <c r="I584">
        <f>IF(ISNUMBER(SEARCH("소계",B584)),COUNTIF($B$2:B584,"*소계*"),"")</f>
        <v/>
      </c>
      <c r="J584">
        <f>IF(F584="",0,1)</f>
        <v/>
      </c>
    </row>
    <row r="585">
      <c r="A585" s="41" t="n"/>
      <c r="B585" s="41" t="n"/>
      <c r="C585" s="24" t="n"/>
      <c r="D585" s="41" t="n"/>
      <c r="E585" s="41" t="n"/>
      <c r="F585" s="19">
        <f>IF(COUNTA(A585:E585)=0,"",IF(OR(ISNUMBER(SEARCH("소계",B585)),ISNUMBER(SEARCH("합계",B585))),"",TRIM(IF(B585="","이름 없음 ","")&amp;IF(A585="","받은 가족 없음 ","")&amp;IF(C585="","금액 없음 ",IF(ISNUMBER(C585),IF(C585&lt;1000,"금액 확인 ",""),"금액 확인 "))&amp;IF(AND(B585&lt;&gt;"",COUNTIFS($A$2:$A$1001,A585,$B$2:$B$1001,B585,$C$2:$C$1001,C585)&gt;1),"중복 의심",""))))</f>
        <v/>
      </c>
      <c r="G585" s="25">
        <f>IF(OR(COUNTA(A585:E585)=0,OR(ISNUMBER(SEARCH("소계",B585)),ISNUMBER(SEARCH("합계",B585)))),"",1+COUNTIF($B$1:B584,"*소계*"))</f>
        <v/>
      </c>
      <c r="H585">
        <f>IF(AND(A585&lt;&gt;"",A585=가족별!$B$1,G585&lt;&gt;""),COUNTIFS($A$2:A585,가족별!$B$1,$G$2:G585,"&gt;0"),"")</f>
        <v/>
      </c>
      <c r="I585">
        <f>IF(ISNUMBER(SEARCH("소계",B585)),COUNTIF($B$2:B585,"*소계*"),"")</f>
        <v/>
      </c>
      <c r="J585">
        <f>IF(F585="",0,1)</f>
        <v/>
      </c>
    </row>
    <row r="586">
      <c r="A586" s="41" t="n"/>
      <c r="B586" s="41" t="n"/>
      <c r="C586" s="24" t="n"/>
      <c r="D586" s="41" t="n"/>
      <c r="E586" s="41" t="n"/>
      <c r="F586" s="19">
        <f>IF(COUNTA(A586:E586)=0,"",IF(OR(ISNUMBER(SEARCH("소계",B586)),ISNUMBER(SEARCH("합계",B586))),"",TRIM(IF(B586="","이름 없음 ","")&amp;IF(A586="","받은 가족 없음 ","")&amp;IF(C586="","금액 없음 ",IF(ISNUMBER(C586),IF(C586&lt;1000,"금액 확인 ",""),"금액 확인 "))&amp;IF(AND(B586&lt;&gt;"",COUNTIFS($A$2:$A$1001,A586,$B$2:$B$1001,B586,$C$2:$C$1001,C586)&gt;1),"중복 의심",""))))</f>
        <v/>
      </c>
      <c r="G586" s="25">
        <f>IF(OR(COUNTA(A586:E586)=0,OR(ISNUMBER(SEARCH("소계",B586)),ISNUMBER(SEARCH("합계",B586)))),"",1+COUNTIF($B$1:B585,"*소계*"))</f>
        <v/>
      </c>
      <c r="H586">
        <f>IF(AND(A586&lt;&gt;"",A586=가족별!$B$1,G586&lt;&gt;""),COUNTIFS($A$2:A586,가족별!$B$1,$G$2:G586,"&gt;0"),"")</f>
        <v/>
      </c>
      <c r="I586">
        <f>IF(ISNUMBER(SEARCH("소계",B586)),COUNTIF($B$2:B586,"*소계*"),"")</f>
        <v/>
      </c>
      <c r="J586">
        <f>IF(F586="",0,1)</f>
        <v/>
      </c>
    </row>
    <row r="587">
      <c r="A587" s="41" t="n"/>
      <c r="B587" s="41" t="n"/>
      <c r="C587" s="24" t="n"/>
      <c r="D587" s="41" t="n"/>
      <c r="E587" s="41" t="n"/>
      <c r="F587" s="19">
        <f>IF(COUNTA(A587:E587)=0,"",IF(OR(ISNUMBER(SEARCH("소계",B587)),ISNUMBER(SEARCH("합계",B587))),"",TRIM(IF(B587="","이름 없음 ","")&amp;IF(A587="","받은 가족 없음 ","")&amp;IF(C587="","금액 없음 ",IF(ISNUMBER(C587),IF(C587&lt;1000,"금액 확인 ",""),"금액 확인 "))&amp;IF(AND(B587&lt;&gt;"",COUNTIFS($A$2:$A$1001,A587,$B$2:$B$1001,B587,$C$2:$C$1001,C587)&gt;1),"중복 의심",""))))</f>
        <v/>
      </c>
      <c r="G587" s="25">
        <f>IF(OR(COUNTA(A587:E587)=0,OR(ISNUMBER(SEARCH("소계",B587)),ISNUMBER(SEARCH("합계",B587)))),"",1+COUNTIF($B$1:B586,"*소계*"))</f>
        <v/>
      </c>
      <c r="H587">
        <f>IF(AND(A587&lt;&gt;"",A587=가족별!$B$1,G587&lt;&gt;""),COUNTIFS($A$2:A587,가족별!$B$1,$G$2:G587,"&gt;0"),"")</f>
        <v/>
      </c>
      <c r="I587">
        <f>IF(ISNUMBER(SEARCH("소계",B587)),COUNTIF($B$2:B587,"*소계*"),"")</f>
        <v/>
      </c>
      <c r="J587">
        <f>IF(F587="",0,1)</f>
        <v/>
      </c>
    </row>
    <row r="588">
      <c r="A588" s="41" t="n"/>
      <c r="B588" s="41" t="n"/>
      <c r="C588" s="24" t="n"/>
      <c r="D588" s="41" t="n"/>
      <c r="E588" s="41" t="n"/>
      <c r="F588" s="19">
        <f>IF(COUNTA(A588:E588)=0,"",IF(OR(ISNUMBER(SEARCH("소계",B588)),ISNUMBER(SEARCH("합계",B588))),"",TRIM(IF(B588="","이름 없음 ","")&amp;IF(A588="","받은 가족 없음 ","")&amp;IF(C588="","금액 없음 ",IF(ISNUMBER(C588),IF(C588&lt;1000,"금액 확인 ",""),"금액 확인 "))&amp;IF(AND(B588&lt;&gt;"",COUNTIFS($A$2:$A$1001,A588,$B$2:$B$1001,B588,$C$2:$C$1001,C588)&gt;1),"중복 의심",""))))</f>
        <v/>
      </c>
      <c r="G588" s="25">
        <f>IF(OR(COUNTA(A588:E588)=0,OR(ISNUMBER(SEARCH("소계",B588)),ISNUMBER(SEARCH("합계",B588)))),"",1+COUNTIF($B$1:B587,"*소계*"))</f>
        <v/>
      </c>
      <c r="H588">
        <f>IF(AND(A588&lt;&gt;"",A588=가족별!$B$1,G588&lt;&gt;""),COUNTIFS($A$2:A588,가족별!$B$1,$G$2:G588,"&gt;0"),"")</f>
        <v/>
      </c>
      <c r="I588">
        <f>IF(ISNUMBER(SEARCH("소계",B588)),COUNTIF($B$2:B588,"*소계*"),"")</f>
        <v/>
      </c>
      <c r="J588">
        <f>IF(F588="",0,1)</f>
        <v/>
      </c>
    </row>
    <row r="589">
      <c r="A589" s="41" t="n"/>
      <c r="B589" s="41" t="n"/>
      <c r="C589" s="24" t="n"/>
      <c r="D589" s="41" t="n"/>
      <c r="E589" s="41" t="n"/>
      <c r="F589" s="19">
        <f>IF(COUNTA(A589:E589)=0,"",IF(OR(ISNUMBER(SEARCH("소계",B589)),ISNUMBER(SEARCH("합계",B589))),"",TRIM(IF(B589="","이름 없음 ","")&amp;IF(A589="","받은 가족 없음 ","")&amp;IF(C589="","금액 없음 ",IF(ISNUMBER(C589),IF(C589&lt;1000,"금액 확인 ",""),"금액 확인 "))&amp;IF(AND(B589&lt;&gt;"",COUNTIFS($A$2:$A$1001,A589,$B$2:$B$1001,B589,$C$2:$C$1001,C589)&gt;1),"중복 의심",""))))</f>
        <v/>
      </c>
      <c r="G589" s="25">
        <f>IF(OR(COUNTA(A589:E589)=0,OR(ISNUMBER(SEARCH("소계",B589)),ISNUMBER(SEARCH("합계",B589)))),"",1+COUNTIF($B$1:B588,"*소계*"))</f>
        <v/>
      </c>
      <c r="H589">
        <f>IF(AND(A589&lt;&gt;"",A589=가족별!$B$1,G589&lt;&gt;""),COUNTIFS($A$2:A589,가족별!$B$1,$G$2:G589,"&gt;0"),"")</f>
        <v/>
      </c>
      <c r="I589">
        <f>IF(ISNUMBER(SEARCH("소계",B589)),COUNTIF($B$2:B589,"*소계*"),"")</f>
        <v/>
      </c>
      <c r="J589">
        <f>IF(F589="",0,1)</f>
        <v/>
      </c>
    </row>
    <row r="590">
      <c r="A590" s="41" t="n"/>
      <c r="B590" s="41" t="n"/>
      <c r="C590" s="24" t="n"/>
      <c r="D590" s="41" t="n"/>
      <c r="E590" s="41" t="n"/>
      <c r="F590" s="19">
        <f>IF(COUNTA(A590:E590)=0,"",IF(OR(ISNUMBER(SEARCH("소계",B590)),ISNUMBER(SEARCH("합계",B590))),"",TRIM(IF(B590="","이름 없음 ","")&amp;IF(A590="","받은 가족 없음 ","")&amp;IF(C590="","금액 없음 ",IF(ISNUMBER(C590),IF(C590&lt;1000,"금액 확인 ",""),"금액 확인 "))&amp;IF(AND(B590&lt;&gt;"",COUNTIFS($A$2:$A$1001,A590,$B$2:$B$1001,B590,$C$2:$C$1001,C590)&gt;1),"중복 의심",""))))</f>
        <v/>
      </c>
      <c r="G590" s="25">
        <f>IF(OR(COUNTA(A590:E590)=0,OR(ISNUMBER(SEARCH("소계",B590)),ISNUMBER(SEARCH("합계",B590)))),"",1+COUNTIF($B$1:B589,"*소계*"))</f>
        <v/>
      </c>
      <c r="H590">
        <f>IF(AND(A590&lt;&gt;"",A590=가족별!$B$1,G590&lt;&gt;""),COUNTIFS($A$2:A590,가족별!$B$1,$G$2:G590,"&gt;0"),"")</f>
        <v/>
      </c>
      <c r="I590">
        <f>IF(ISNUMBER(SEARCH("소계",B590)),COUNTIF($B$2:B590,"*소계*"),"")</f>
        <v/>
      </c>
      <c r="J590">
        <f>IF(F590="",0,1)</f>
        <v/>
      </c>
    </row>
    <row r="591">
      <c r="A591" s="41" t="n"/>
      <c r="B591" s="41" t="n"/>
      <c r="C591" s="24" t="n"/>
      <c r="D591" s="41" t="n"/>
      <c r="E591" s="41" t="n"/>
      <c r="F591" s="19">
        <f>IF(COUNTA(A591:E591)=0,"",IF(OR(ISNUMBER(SEARCH("소계",B591)),ISNUMBER(SEARCH("합계",B591))),"",TRIM(IF(B591="","이름 없음 ","")&amp;IF(A591="","받은 가족 없음 ","")&amp;IF(C591="","금액 없음 ",IF(ISNUMBER(C591),IF(C591&lt;1000,"금액 확인 ",""),"금액 확인 "))&amp;IF(AND(B591&lt;&gt;"",COUNTIFS($A$2:$A$1001,A591,$B$2:$B$1001,B591,$C$2:$C$1001,C591)&gt;1),"중복 의심",""))))</f>
        <v/>
      </c>
      <c r="G591" s="25">
        <f>IF(OR(COUNTA(A591:E591)=0,OR(ISNUMBER(SEARCH("소계",B591)),ISNUMBER(SEARCH("합계",B591)))),"",1+COUNTIF($B$1:B590,"*소계*"))</f>
        <v/>
      </c>
      <c r="H591">
        <f>IF(AND(A591&lt;&gt;"",A591=가족별!$B$1,G591&lt;&gt;""),COUNTIFS($A$2:A591,가족별!$B$1,$G$2:G591,"&gt;0"),"")</f>
        <v/>
      </c>
      <c r="I591">
        <f>IF(ISNUMBER(SEARCH("소계",B591)),COUNTIF($B$2:B591,"*소계*"),"")</f>
        <v/>
      </c>
      <c r="J591">
        <f>IF(F591="",0,1)</f>
        <v/>
      </c>
    </row>
    <row r="592">
      <c r="A592" s="41" t="n"/>
      <c r="B592" s="41" t="n"/>
      <c r="C592" s="24" t="n"/>
      <c r="D592" s="41" t="n"/>
      <c r="E592" s="41" t="n"/>
      <c r="F592" s="19">
        <f>IF(COUNTA(A592:E592)=0,"",IF(OR(ISNUMBER(SEARCH("소계",B592)),ISNUMBER(SEARCH("합계",B592))),"",TRIM(IF(B592="","이름 없음 ","")&amp;IF(A592="","받은 가족 없음 ","")&amp;IF(C592="","금액 없음 ",IF(ISNUMBER(C592),IF(C592&lt;1000,"금액 확인 ",""),"금액 확인 "))&amp;IF(AND(B592&lt;&gt;"",COUNTIFS($A$2:$A$1001,A592,$B$2:$B$1001,B592,$C$2:$C$1001,C592)&gt;1),"중복 의심",""))))</f>
        <v/>
      </c>
      <c r="G592" s="25">
        <f>IF(OR(COUNTA(A592:E592)=0,OR(ISNUMBER(SEARCH("소계",B592)),ISNUMBER(SEARCH("합계",B592)))),"",1+COUNTIF($B$1:B591,"*소계*"))</f>
        <v/>
      </c>
      <c r="H592">
        <f>IF(AND(A592&lt;&gt;"",A592=가족별!$B$1,G592&lt;&gt;""),COUNTIFS($A$2:A592,가족별!$B$1,$G$2:G592,"&gt;0"),"")</f>
        <v/>
      </c>
      <c r="I592">
        <f>IF(ISNUMBER(SEARCH("소계",B592)),COUNTIF($B$2:B592,"*소계*"),"")</f>
        <v/>
      </c>
      <c r="J592">
        <f>IF(F592="",0,1)</f>
        <v/>
      </c>
    </row>
    <row r="593">
      <c r="A593" s="41" t="n"/>
      <c r="B593" s="41" t="n"/>
      <c r="C593" s="24" t="n"/>
      <c r="D593" s="41" t="n"/>
      <c r="E593" s="41" t="n"/>
      <c r="F593" s="19">
        <f>IF(COUNTA(A593:E593)=0,"",IF(OR(ISNUMBER(SEARCH("소계",B593)),ISNUMBER(SEARCH("합계",B593))),"",TRIM(IF(B593="","이름 없음 ","")&amp;IF(A593="","받은 가족 없음 ","")&amp;IF(C593="","금액 없음 ",IF(ISNUMBER(C593),IF(C593&lt;1000,"금액 확인 ",""),"금액 확인 "))&amp;IF(AND(B593&lt;&gt;"",COUNTIFS($A$2:$A$1001,A593,$B$2:$B$1001,B593,$C$2:$C$1001,C593)&gt;1),"중복 의심",""))))</f>
        <v/>
      </c>
      <c r="G593" s="25">
        <f>IF(OR(COUNTA(A593:E593)=0,OR(ISNUMBER(SEARCH("소계",B593)),ISNUMBER(SEARCH("합계",B593)))),"",1+COUNTIF($B$1:B592,"*소계*"))</f>
        <v/>
      </c>
      <c r="H593">
        <f>IF(AND(A593&lt;&gt;"",A593=가족별!$B$1,G593&lt;&gt;""),COUNTIFS($A$2:A593,가족별!$B$1,$G$2:G593,"&gt;0"),"")</f>
        <v/>
      </c>
      <c r="I593">
        <f>IF(ISNUMBER(SEARCH("소계",B593)),COUNTIF($B$2:B593,"*소계*"),"")</f>
        <v/>
      </c>
      <c r="J593">
        <f>IF(F593="",0,1)</f>
        <v/>
      </c>
    </row>
    <row r="594">
      <c r="A594" s="41" t="n"/>
      <c r="B594" s="41" t="n"/>
      <c r="C594" s="24" t="n"/>
      <c r="D594" s="41" t="n"/>
      <c r="E594" s="41" t="n"/>
      <c r="F594" s="19">
        <f>IF(COUNTA(A594:E594)=0,"",IF(OR(ISNUMBER(SEARCH("소계",B594)),ISNUMBER(SEARCH("합계",B594))),"",TRIM(IF(B594="","이름 없음 ","")&amp;IF(A594="","받은 가족 없음 ","")&amp;IF(C594="","금액 없음 ",IF(ISNUMBER(C594),IF(C594&lt;1000,"금액 확인 ",""),"금액 확인 "))&amp;IF(AND(B594&lt;&gt;"",COUNTIFS($A$2:$A$1001,A594,$B$2:$B$1001,B594,$C$2:$C$1001,C594)&gt;1),"중복 의심",""))))</f>
        <v/>
      </c>
      <c r="G594" s="25">
        <f>IF(OR(COUNTA(A594:E594)=0,OR(ISNUMBER(SEARCH("소계",B594)),ISNUMBER(SEARCH("합계",B594)))),"",1+COUNTIF($B$1:B593,"*소계*"))</f>
        <v/>
      </c>
      <c r="H594">
        <f>IF(AND(A594&lt;&gt;"",A594=가족별!$B$1,G594&lt;&gt;""),COUNTIFS($A$2:A594,가족별!$B$1,$G$2:G594,"&gt;0"),"")</f>
        <v/>
      </c>
      <c r="I594">
        <f>IF(ISNUMBER(SEARCH("소계",B594)),COUNTIF($B$2:B594,"*소계*"),"")</f>
        <v/>
      </c>
      <c r="J594">
        <f>IF(F594="",0,1)</f>
        <v/>
      </c>
    </row>
    <row r="595">
      <c r="A595" s="41" t="n"/>
      <c r="B595" s="41" t="n"/>
      <c r="C595" s="24" t="n"/>
      <c r="D595" s="41" t="n"/>
      <c r="E595" s="41" t="n"/>
      <c r="F595" s="19">
        <f>IF(COUNTA(A595:E595)=0,"",IF(OR(ISNUMBER(SEARCH("소계",B595)),ISNUMBER(SEARCH("합계",B595))),"",TRIM(IF(B595="","이름 없음 ","")&amp;IF(A595="","받은 가족 없음 ","")&amp;IF(C595="","금액 없음 ",IF(ISNUMBER(C595),IF(C595&lt;1000,"금액 확인 ",""),"금액 확인 "))&amp;IF(AND(B595&lt;&gt;"",COUNTIFS($A$2:$A$1001,A595,$B$2:$B$1001,B595,$C$2:$C$1001,C595)&gt;1),"중복 의심",""))))</f>
        <v/>
      </c>
      <c r="G595" s="25">
        <f>IF(OR(COUNTA(A595:E595)=0,OR(ISNUMBER(SEARCH("소계",B595)),ISNUMBER(SEARCH("합계",B595)))),"",1+COUNTIF($B$1:B594,"*소계*"))</f>
        <v/>
      </c>
      <c r="H595">
        <f>IF(AND(A595&lt;&gt;"",A595=가족별!$B$1,G595&lt;&gt;""),COUNTIFS($A$2:A595,가족별!$B$1,$G$2:G595,"&gt;0"),"")</f>
        <v/>
      </c>
      <c r="I595">
        <f>IF(ISNUMBER(SEARCH("소계",B595)),COUNTIF($B$2:B595,"*소계*"),"")</f>
        <v/>
      </c>
      <c r="J595">
        <f>IF(F595="",0,1)</f>
        <v/>
      </c>
    </row>
    <row r="596">
      <c r="A596" s="41" t="n"/>
      <c r="B596" s="41" t="n"/>
      <c r="C596" s="24" t="n"/>
      <c r="D596" s="41" t="n"/>
      <c r="E596" s="41" t="n"/>
      <c r="F596" s="19">
        <f>IF(COUNTA(A596:E596)=0,"",IF(OR(ISNUMBER(SEARCH("소계",B596)),ISNUMBER(SEARCH("합계",B596))),"",TRIM(IF(B596="","이름 없음 ","")&amp;IF(A596="","받은 가족 없음 ","")&amp;IF(C596="","금액 없음 ",IF(ISNUMBER(C596),IF(C596&lt;1000,"금액 확인 ",""),"금액 확인 "))&amp;IF(AND(B596&lt;&gt;"",COUNTIFS($A$2:$A$1001,A596,$B$2:$B$1001,B596,$C$2:$C$1001,C596)&gt;1),"중복 의심",""))))</f>
        <v/>
      </c>
      <c r="G596" s="25">
        <f>IF(OR(COUNTA(A596:E596)=0,OR(ISNUMBER(SEARCH("소계",B596)),ISNUMBER(SEARCH("합계",B596)))),"",1+COUNTIF($B$1:B595,"*소계*"))</f>
        <v/>
      </c>
      <c r="H596">
        <f>IF(AND(A596&lt;&gt;"",A596=가족별!$B$1,G596&lt;&gt;""),COUNTIFS($A$2:A596,가족별!$B$1,$G$2:G596,"&gt;0"),"")</f>
        <v/>
      </c>
      <c r="I596">
        <f>IF(ISNUMBER(SEARCH("소계",B596)),COUNTIF($B$2:B596,"*소계*"),"")</f>
        <v/>
      </c>
      <c r="J596">
        <f>IF(F596="",0,1)</f>
        <v/>
      </c>
    </row>
    <row r="597">
      <c r="A597" s="41" t="n"/>
      <c r="B597" s="41" t="n"/>
      <c r="C597" s="24" t="n"/>
      <c r="D597" s="41" t="n"/>
      <c r="E597" s="41" t="n"/>
      <c r="F597" s="19">
        <f>IF(COUNTA(A597:E597)=0,"",IF(OR(ISNUMBER(SEARCH("소계",B597)),ISNUMBER(SEARCH("합계",B597))),"",TRIM(IF(B597="","이름 없음 ","")&amp;IF(A597="","받은 가족 없음 ","")&amp;IF(C597="","금액 없음 ",IF(ISNUMBER(C597),IF(C597&lt;1000,"금액 확인 ",""),"금액 확인 "))&amp;IF(AND(B597&lt;&gt;"",COUNTIFS($A$2:$A$1001,A597,$B$2:$B$1001,B597,$C$2:$C$1001,C597)&gt;1),"중복 의심",""))))</f>
        <v/>
      </c>
      <c r="G597" s="25">
        <f>IF(OR(COUNTA(A597:E597)=0,OR(ISNUMBER(SEARCH("소계",B597)),ISNUMBER(SEARCH("합계",B597)))),"",1+COUNTIF($B$1:B596,"*소계*"))</f>
        <v/>
      </c>
      <c r="H597">
        <f>IF(AND(A597&lt;&gt;"",A597=가족별!$B$1,G597&lt;&gt;""),COUNTIFS($A$2:A597,가족별!$B$1,$G$2:G597,"&gt;0"),"")</f>
        <v/>
      </c>
      <c r="I597">
        <f>IF(ISNUMBER(SEARCH("소계",B597)),COUNTIF($B$2:B597,"*소계*"),"")</f>
        <v/>
      </c>
      <c r="J597">
        <f>IF(F597="",0,1)</f>
        <v/>
      </c>
    </row>
    <row r="598">
      <c r="A598" s="41" t="n"/>
      <c r="B598" s="41" t="n"/>
      <c r="C598" s="24" t="n"/>
      <c r="D598" s="41" t="n"/>
      <c r="E598" s="41" t="n"/>
      <c r="F598" s="19">
        <f>IF(COUNTA(A598:E598)=0,"",IF(OR(ISNUMBER(SEARCH("소계",B598)),ISNUMBER(SEARCH("합계",B598))),"",TRIM(IF(B598="","이름 없음 ","")&amp;IF(A598="","받은 가족 없음 ","")&amp;IF(C598="","금액 없음 ",IF(ISNUMBER(C598),IF(C598&lt;1000,"금액 확인 ",""),"금액 확인 "))&amp;IF(AND(B598&lt;&gt;"",COUNTIFS($A$2:$A$1001,A598,$B$2:$B$1001,B598,$C$2:$C$1001,C598)&gt;1),"중복 의심",""))))</f>
        <v/>
      </c>
      <c r="G598" s="25">
        <f>IF(OR(COUNTA(A598:E598)=0,OR(ISNUMBER(SEARCH("소계",B598)),ISNUMBER(SEARCH("합계",B598)))),"",1+COUNTIF($B$1:B597,"*소계*"))</f>
        <v/>
      </c>
      <c r="H598">
        <f>IF(AND(A598&lt;&gt;"",A598=가족별!$B$1,G598&lt;&gt;""),COUNTIFS($A$2:A598,가족별!$B$1,$G$2:G598,"&gt;0"),"")</f>
        <v/>
      </c>
      <c r="I598">
        <f>IF(ISNUMBER(SEARCH("소계",B598)),COUNTIF($B$2:B598,"*소계*"),"")</f>
        <v/>
      </c>
      <c r="J598">
        <f>IF(F598="",0,1)</f>
        <v/>
      </c>
    </row>
    <row r="599">
      <c r="A599" s="41" t="n"/>
      <c r="B599" s="41" t="n"/>
      <c r="C599" s="24" t="n"/>
      <c r="D599" s="41" t="n"/>
      <c r="E599" s="41" t="n"/>
      <c r="F599" s="19">
        <f>IF(COUNTA(A599:E599)=0,"",IF(OR(ISNUMBER(SEARCH("소계",B599)),ISNUMBER(SEARCH("합계",B599))),"",TRIM(IF(B599="","이름 없음 ","")&amp;IF(A599="","받은 가족 없음 ","")&amp;IF(C599="","금액 없음 ",IF(ISNUMBER(C599),IF(C599&lt;1000,"금액 확인 ",""),"금액 확인 "))&amp;IF(AND(B599&lt;&gt;"",COUNTIFS($A$2:$A$1001,A599,$B$2:$B$1001,B599,$C$2:$C$1001,C599)&gt;1),"중복 의심",""))))</f>
        <v/>
      </c>
      <c r="G599" s="25">
        <f>IF(OR(COUNTA(A599:E599)=0,OR(ISNUMBER(SEARCH("소계",B599)),ISNUMBER(SEARCH("합계",B599)))),"",1+COUNTIF($B$1:B598,"*소계*"))</f>
        <v/>
      </c>
      <c r="H599">
        <f>IF(AND(A599&lt;&gt;"",A599=가족별!$B$1,G599&lt;&gt;""),COUNTIFS($A$2:A599,가족별!$B$1,$G$2:G599,"&gt;0"),"")</f>
        <v/>
      </c>
      <c r="I599">
        <f>IF(ISNUMBER(SEARCH("소계",B599)),COUNTIF($B$2:B599,"*소계*"),"")</f>
        <v/>
      </c>
      <c r="J599">
        <f>IF(F599="",0,1)</f>
        <v/>
      </c>
    </row>
    <row r="600">
      <c r="A600" s="41" t="n"/>
      <c r="B600" s="41" t="n"/>
      <c r="C600" s="24" t="n"/>
      <c r="D600" s="41" t="n"/>
      <c r="E600" s="41" t="n"/>
      <c r="F600" s="19">
        <f>IF(COUNTA(A600:E600)=0,"",IF(OR(ISNUMBER(SEARCH("소계",B600)),ISNUMBER(SEARCH("합계",B600))),"",TRIM(IF(B600="","이름 없음 ","")&amp;IF(A600="","받은 가족 없음 ","")&amp;IF(C600="","금액 없음 ",IF(ISNUMBER(C600),IF(C600&lt;1000,"금액 확인 ",""),"금액 확인 "))&amp;IF(AND(B600&lt;&gt;"",COUNTIFS($A$2:$A$1001,A600,$B$2:$B$1001,B600,$C$2:$C$1001,C600)&gt;1),"중복 의심",""))))</f>
        <v/>
      </c>
      <c r="G600" s="25">
        <f>IF(OR(COUNTA(A600:E600)=0,OR(ISNUMBER(SEARCH("소계",B600)),ISNUMBER(SEARCH("합계",B600)))),"",1+COUNTIF($B$1:B599,"*소계*"))</f>
        <v/>
      </c>
      <c r="H600">
        <f>IF(AND(A600&lt;&gt;"",A600=가족별!$B$1,G600&lt;&gt;""),COUNTIFS($A$2:A600,가족별!$B$1,$G$2:G600,"&gt;0"),"")</f>
        <v/>
      </c>
      <c r="I600">
        <f>IF(ISNUMBER(SEARCH("소계",B600)),COUNTIF($B$2:B600,"*소계*"),"")</f>
        <v/>
      </c>
      <c r="J600">
        <f>IF(F600="",0,1)</f>
        <v/>
      </c>
    </row>
    <row r="601">
      <c r="A601" s="41" t="n"/>
      <c r="B601" s="41" t="n"/>
      <c r="C601" s="24" t="n"/>
      <c r="D601" s="41" t="n"/>
      <c r="E601" s="41" t="n"/>
      <c r="F601" s="19">
        <f>IF(COUNTA(A601:E601)=0,"",IF(OR(ISNUMBER(SEARCH("소계",B601)),ISNUMBER(SEARCH("합계",B601))),"",TRIM(IF(B601="","이름 없음 ","")&amp;IF(A601="","받은 가족 없음 ","")&amp;IF(C601="","금액 없음 ",IF(ISNUMBER(C601),IF(C601&lt;1000,"금액 확인 ",""),"금액 확인 "))&amp;IF(AND(B601&lt;&gt;"",COUNTIFS($A$2:$A$1001,A601,$B$2:$B$1001,B601,$C$2:$C$1001,C601)&gt;1),"중복 의심",""))))</f>
        <v/>
      </c>
      <c r="G601" s="25">
        <f>IF(OR(COUNTA(A601:E601)=0,OR(ISNUMBER(SEARCH("소계",B601)),ISNUMBER(SEARCH("합계",B601)))),"",1+COUNTIF($B$1:B600,"*소계*"))</f>
        <v/>
      </c>
      <c r="H601">
        <f>IF(AND(A601&lt;&gt;"",A601=가족별!$B$1,G601&lt;&gt;""),COUNTIFS($A$2:A601,가족별!$B$1,$G$2:G601,"&gt;0"),"")</f>
        <v/>
      </c>
      <c r="I601">
        <f>IF(ISNUMBER(SEARCH("소계",B601)),COUNTIF($B$2:B601,"*소계*"),"")</f>
        <v/>
      </c>
      <c r="J601">
        <f>IF(F601="",0,1)</f>
        <v/>
      </c>
    </row>
    <row r="602">
      <c r="A602" s="41" t="n"/>
      <c r="B602" s="41" t="n"/>
      <c r="C602" s="24" t="n"/>
      <c r="D602" s="41" t="n"/>
      <c r="E602" s="41" t="n"/>
      <c r="F602" s="19">
        <f>IF(COUNTA(A602:E602)=0,"",IF(OR(ISNUMBER(SEARCH("소계",B602)),ISNUMBER(SEARCH("합계",B602))),"",TRIM(IF(B602="","이름 없음 ","")&amp;IF(A602="","받은 가족 없음 ","")&amp;IF(C602="","금액 없음 ",IF(ISNUMBER(C602),IF(C602&lt;1000,"금액 확인 ",""),"금액 확인 "))&amp;IF(AND(B602&lt;&gt;"",COUNTIFS($A$2:$A$1001,A602,$B$2:$B$1001,B602,$C$2:$C$1001,C602)&gt;1),"중복 의심",""))))</f>
        <v/>
      </c>
      <c r="G602" s="25">
        <f>IF(OR(COUNTA(A602:E602)=0,OR(ISNUMBER(SEARCH("소계",B602)),ISNUMBER(SEARCH("합계",B602)))),"",1+COUNTIF($B$1:B601,"*소계*"))</f>
        <v/>
      </c>
      <c r="H602">
        <f>IF(AND(A602&lt;&gt;"",A602=가족별!$B$1,G602&lt;&gt;""),COUNTIFS($A$2:A602,가족별!$B$1,$G$2:G602,"&gt;0"),"")</f>
        <v/>
      </c>
      <c r="I602">
        <f>IF(ISNUMBER(SEARCH("소계",B602)),COUNTIF($B$2:B602,"*소계*"),"")</f>
        <v/>
      </c>
      <c r="J602">
        <f>IF(F602="",0,1)</f>
        <v/>
      </c>
    </row>
    <row r="603">
      <c r="A603" s="41" t="n"/>
      <c r="B603" s="41" t="n"/>
      <c r="C603" s="24" t="n"/>
      <c r="D603" s="41" t="n"/>
      <c r="E603" s="41" t="n"/>
      <c r="F603" s="19">
        <f>IF(COUNTA(A603:E603)=0,"",IF(OR(ISNUMBER(SEARCH("소계",B603)),ISNUMBER(SEARCH("합계",B603))),"",TRIM(IF(B603="","이름 없음 ","")&amp;IF(A603="","받은 가족 없음 ","")&amp;IF(C603="","금액 없음 ",IF(ISNUMBER(C603),IF(C603&lt;1000,"금액 확인 ",""),"금액 확인 "))&amp;IF(AND(B603&lt;&gt;"",COUNTIFS($A$2:$A$1001,A603,$B$2:$B$1001,B603,$C$2:$C$1001,C603)&gt;1),"중복 의심",""))))</f>
        <v/>
      </c>
      <c r="G603" s="25">
        <f>IF(OR(COUNTA(A603:E603)=0,OR(ISNUMBER(SEARCH("소계",B603)),ISNUMBER(SEARCH("합계",B603)))),"",1+COUNTIF($B$1:B602,"*소계*"))</f>
        <v/>
      </c>
      <c r="H603">
        <f>IF(AND(A603&lt;&gt;"",A603=가족별!$B$1,G603&lt;&gt;""),COUNTIFS($A$2:A603,가족별!$B$1,$G$2:G603,"&gt;0"),"")</f>
        <v/>
      </c>
      <c r="I603">
        <f>IF(ISNUMBER(SEARCH("소계",B603)),COUNTIF($B$2:B603,"*소계*"),"")</f>
        <v/>
      </c>
      <c r="J603">
        <f>IF(F603="",0,1)</f>
        <v/>
      </c>
    </row>
    <row r="604">
      <c r="A604" s="41" t="n"/>
      <c r="B604" s="41" t="n"/>
      <c r="C604" s="24" t="n"/>
      <c r="D604" s="41" t="n"/>
      <c r="E604" s="41" t="n"/>
      <c r="F604" s="19">
        <f>IF(COUNTA(A604:E604)=0,"",IF(OR(ISNUMBER(SEARCH("소계",B604)),ISNUMBER(SEARCH("합계",B604))),"",TRIM(IF(B604="","이름 없음 ","")&amp;IF(A604="","받은 가족 없음 ","")&amp;IF(C604="","금액 없음 ",IF(ISNUMBER(C604),IF(C604&lt;1000,"금액 확인 ",""),"금액 확인 "))&amp;IF(AND(B604&lt;&gt;"",COUNTIFS($A$2:$A$1001,A604,$B$2:$B$1001,B604,$C$2:$C$1001,C604)&gt;1),"중복 의심",""))))</f>
        <v/>
      </c>
      <c r="G604" s="25">
        <f>IF(OR(COUNTA(A604:E604)=0,OR(ISNUMBER(SEARCH("소계",B604)),ISNUMBER(SEARCH("합계",B604)))),"",1+COUNTIF($B$1:B603,"*소계*"))</f>
        <v/>
      </c>
      <c r="H604">
        <f>IF(AND(A604&lt;&gt;"",A604=가족별!$B$1,G604&lt;&gt;""),COUNTIFS($A$2:A604,가족별!$B$1,$G$2:G604,"&gt;0"),"")</f>
        <v/>
      </c>
      <c r="I604">
        <f>IF(ISNUMBER(SEARCH("소계",B604)),COUNTIF($B$2:B604,"*소계*"),"")</f>
        <v/>
      </c>
      <c r="J604">
        <f>IF(F604="",0,1)</f>
        <v/>
      </c>
    </row>
    <row r="605">
      <c r="A605" s="41" t="n"/>
      <c r="B605" s="41" t="n"/>
      <c r="C605" s="24" t="n"/>
      <c r="D605" s="41" t="n"/>
      <c r="E605" s="41" t="n"/>
      <c r="F605" s="19">
        <f>IF(COUNTA(A605:E605)=0,"",IF(OR(ISNUMBER(SEARCH("소계",B605)),ISNUMBER(SEARCH("합계",B605))),"",TRIM(IF(B605="","이름 없음 ","")&amp;IF(A605="","받은 가족 없음 ","")&amp;IF(C605="","금액 없음 ",IF(ISNUMBER(C605),IF(C605&lt;1000,"금액 확인 ",""),"금액 확인 "))&amp;IF(AND(B605&lt;&gt;"",COUNTIFS($A$2:$A$1001,A605,$B$2:$B$1001,B605,$C$2:$C$1001,C605)&gt;1),"중복 의심",""))))</f>
        <v/>
      </c>
      <c r="G605" s="25">
        <f>IF(OR(COUNTA(A605:E605)=0,OR(ISNUMBER(SEARCH("소계",B605)),ISNUMBER(SEARCH("합계",B605)))),"",1+COUNTIF($B$1:B604,"*소계*"))</f>
        <v/>
      </c>
      <c r="H605">
        <f>IF(AND(A605&lt;&gt;"",A605=가족별!$B$1,G605&lt;&gt;""),COUNTIFS($A$2:A605,가족별!$B$1,$G$2:G605,"&gt;0"),"")</f>
        <v/>
      </c>
      <c r="I605">
        <f>IF(ISNUMBER(SEARCH("소계",B605)),COUNTIF($B$2:B605,"*소계*"),"")</f>
        <v/>
      </c>
      <c r="J605">
        <f>IF(F605="",0,1)</f>
        <v/>
      </c>
    </row>
    <row r="606">
      <c r="A606" s="41" t="n"/>
      <c r="B606" s="41" t="n"/>
      <c r="C606" s="24" t="n"/>
      <c r="D606" s="41" t="n"/>
      <c r="E606" s="41" t="n"/>
      <c r="F606" s="19">
        <f>IF(COUNTA(A606:E606)=0,"",IF(OR(ISNUMBER(SEARCH("소계",B606)),ISNUMBER(SEARCH("합계",B606))),"",TRIM(IF(B606="","이름 없음 ","")&amp;IF(A606="","받은 가족 없음 ","")&amp;IF(C606="","금액 없음 ",IF(ISNUMBER(C606),IF(C606&lt;1000,"금액 확인 ",""),"금액 확인 "))&amp;IF(AND(B606&lt;&gt;"",COUNTIFS($A$2:$A$1001,A606,$B$2:$B$1001,B606,$C$2:$C$1001,C606)&gt;1),"중복 의심",""))))</f>
        <v/>
      </c>
      <c r="G606" s="25">
        <f>IF(OR(COUNTA(A606:E606)=0,OR(ISNUMBER(SEARCH("소계",B606)),ISNUMBER(SEARCH("합계",B606)))),"",1+COUNTIF($B$1:B605,"*소계*"))</f>
        <v/>
      </c>
      <c r="H606">
        <f>IF(AND(A606&lt;&gt;"",A606=가족별!$B$1,G606&lt;&gt;""),COUNTIFS($A$2:A606,가족별!$B$1,$G$2:G606,"&gt;0"),"")</f>
        <v/>
      </c>
      <c r="I606">
        <f>IF(ISNUMBER(SEARCH("소계",B606)),COUNTIF($B$2:B606,"*소계*"),"")</f>
        <v/>
      </c>
      <c r="J606">
        <f>IF(F606="",0,1)</f>
        <v/>
      </c>
    </row>
    <row r="607">
      <c r="A607" s="41" t="n"/>
      <c r="B607" s="41" t="n"/>
      <c r="C607" s="24" t="n"/>
      <c r="D607" s="41" t="n"/>
      <c r="E607" s="41" t="n"/>
      <c r="F607" s="19">
        <f>IF(COUNTA(A607:E607)=0,"",IF(OR(ISNUMBER(SEARCH("소계",B607)),ISNUMBER(SEARCH("합계",B607))),"",TRIM(IF(B607="","이름 없음 ","")&amp;IF(A607="","받은 가족 없음 ","")&amp;IF(C607="","금액 없음 ",IF(ISNUMBER(C607),IF(C607&lt;1000,"금액 확인 ",""),"금액 확인 "))&amp;IF(AND(B607&lt;&gt;"",COUNTIFS($A$2:$A$1001,A607,$B$2:$B$1001,B607,$C$2:$C$1001,C607)&gt;1),"중복 의심",""))))</f>
        <v/>
      </c>
      <c r="G607" s="25">
        <f>IF(OR(COUNTA(A607:E607)=0,OR(ISNUMBER(SEARCH("소계",B607)),ISNUMBER(SEARCH("합계",B607)))),"",1+COUNTIF($B$1:B606,"*소계*"))</f>
        <v/>
      </c>
      <c r="H607">
        <f>IF(AND(A607&lt;&gt;"",A607=가족별!$B$1,G607&lt;&gt;""),COUNTIFS($A$2:A607,가족별!$B$1,$G$2:G607,"&gt;0"),"")</f>
        <v/>
      </c>
      <c r="I607">
        <f>IF(ISNUMBER(SEARCH("소계",B607)),COUNTIF($B$2:B607,"*소계*"),"")</f>
        <v/>
      </c>
      <c r="J607">
        <f>IF(F607="",0,1)</f>
        <v/>
      </c>
    </row>
    <row r="608">
      <c r="A608" s="41" t="n"/>
      <c r="B608" s="41" t="n"/>
      <c r="C608" s="24" t="n"/>
      <c r="D608" s="41" t="n"/>
      <c r="E608" s="41" t="n"/>
      <c r="F608" s="19">
        <f>IF(COUNTA(A608:E608)=0,"",IF(OR(ISNUMBER(SEARCH("소계",B608)),ISNUMBER(SEARCH("합계",B608))),"",TRIM(IF(B608="","이름 없음 ","")&amp;IF(A608="","받은 가족 없음 ","")&amp;IF(C608="","금액 없음 ",IF(ISNUMBER(C608),IF(C608&lt;1000,"금액 확인 ",""),"금액 확인 "))&amp;IF(AND(B608&lt;&gt;"",COUNTIFS($A$2:$A$1001,A608,$B$2:$B$1001,B608,$C$2:$C$1001,C608)&gt;1),"중복 의심",""))))</f>
        <v/>
      </c>
      <c r="G608" s="25">
        <f>IF(OR(COUNTA(A608:E608)=0,OR(ISNUMBER(SEARCH("소계",B608)),ISNUMBER(SEARCH("합계",B608)))),"",1+COUNTIF($B$1:B607,"*소계*"))</f>
        <v/>
      </c>
      <c r="H608">
        <f>IF(AND(A608&lt;&gt;"",A608=가족별!$B$1,G608&lt;&gt;""),COUNTIFS($A$2:A608,가족별!$B$1,$G$2:G608,"&gt;0"),"")</f>
        <v/>
      </c>
      <c r="I608">
        <f>IF(ISNUMBER(SEARCH("소계",B608)),COUNTIF($B$2:B608,"*소계*"),"")</f>
        <v/>
      </c>
      <c r="J608">
        <f>IF(F608="",0,1)</f>
        <v/>
      </c>
    </row>
    <row r="609">
      <c r="A609" s="41" t="n"/>
      <c r="B609" s="41" t="n"/>
      <c r="C609" s="24" t="n"/>
      <c r="D609" s="41" t="n"/>
      <c r="E609" s="41" t="n"/>
      <c r="F609" s="19">
        <f>IF(COUNTA(A609:E609)=0,"",IF(OR(ISNUMBER(SEARCH("소계",B609)),ISNUMBER(SEARCH("합계",B609))),"",TRIM(IF(B609="","이름 없음 ","")&amp;IF(A609="","받은 가족 없음 ","")&amp;IF(C609="","금액 없음 ",IF(ISNUMBER(C609),IF(C609&lt;1000,"금액 확인 ",""),"금액 확인 "))&amp;IF(AND(B609&lt;&gt;"",COUNTIFS($A$2:$A$1001,A609,$B$2:$B$1001,B609,$C$2:$C$1001,C609)&gt;1),"중복 의심",""))))</f>
        <v/>
      </c>
      <c r="G609" s="25">
        <f>IF(OR(COUNTA(A609:E609)=0,OR(ISNUMBER(SEARCH("소계",B609)),ISNUMBER(SEARCH("합계",B609)))),"",1+COUNTIF($B$1:B608,"*소계*"))</f>
        <v/>
      </c>
      <c r="H609">
        <f>IF(AND(A609&lt;&gt;"",A609=가족별!$B$1,G609&lt;&gt;""),COUNTIFS($A$2:A609,가족별!$B$1,$G$2:G609,"&gt;0"),"")</f>
        <v/>
      </c>
      <c r="I609">
        <f>IF(ISNUMBER(SEARCH("소계",B609)),COUNTIF($B$2:B609,"*소계*"),"")</f>
        <v/>
      </c>
      <c r="J609">
        <f>IF(F609="",0,1)</f>
        <v/>
      </c>
    </row>
    <row r="610">
      <c r="A610" s="41" t="n"/>
      <c r="B610" s="41" t="n"/>
      <c r="C610" s="24" t="n"/>
      <c r="D610" s="41" t="n"/>
      <c r="E610" s="41" t="n"/>
      <c r="F610" s="19">
        <f>IF(COUNTA(A610:E610)=0,"",IF(OR(ISNUMBER(SEARCH("소계",B610)),ISNUMBER(SEARCH("합계",B610))),"",TRIM(IF(B610="","이름 없음 ","")&amp;IF(A610="","받은 가족 없음 ","")&amp;IF(C610="","금액 없음 ",IF(ISNUMBER(C610),IF(C610&lt;1000,"금액 확인 ",""),"금액 확인 "))&amp;IF(AND(B610&lt;&gt;"",COUNTIFS($A$2:$A$1001,A610,$B$2:$B$1001,B610,$C$2:$C$1001,C610)&gt;1),"중복 의심",""))))</f>
        <v/>
      </c>
      <c r="G610" s="25">
        <f>IF(OR(COUNTA(A610:E610)=0,OR(ISNUMBER(SEARCH("소계",B610)),ISNUMBER(SEARCH("합계",B610)))),"",1+COUNTIF($B$1:B609,"*소계*"))</f>
        <v/>
      </c>
      <c r="H610">
        <f>IF(AND(A610&lt;&gt;"",A610=가족별!$B$1,G610&lt;&gt;""),COUNTIFS($A$2:A610,가족별!$B$1,$G$2:G610,"&gt;0"),"")</f>
        <v/>
      </c>
      <c r="I610">
        <f>IF(ISNUMBER(SEARCH("소계",B610)),COUNTIF($B$2:B610,"*소계*"),"")</f>
        <v/>
      </c>
      <c r="J610">
        <f>IF(F610="",0,1)</f>
        <v/>
      </c>
    </row>
    <row r="611">
      <c r="A611" s="41" t="n"/>
      <c r="B611" s="41" t="n"/>
      <c r="C611" s="24" t="n"/>
      <c r="D611" s="41" t="n"/>
      <c r="E611" s="41" t="n"/>
      <c r="F611" s="19">
        <f>IF(COUNTA(A611:E611)=0,"",IF(OR(ISNUMBER(SEARCH("소계",B611)),ISNUMBER(SEARCH("합계",B611))),"",TRIM(IF(B611="","이름 없음 ","")&amp;IF(A611="","받은 가족 없음 ","")&amp;IF(C611="","금액 없음 ",IF(ISNUMBER(C611),IF(C611&lt;1000,"금액 확인 ",""),"금액 확인 "))&amp;IF(AND(B611&lt;&gt;"",COUNTIFS($A$2:$A$1001,A611,$B$2:$B$1001,B611,$C$2:$C$1001,C611)&gt;1),"중복 의심",""))))</f>
        <v/>
      </c>
      <c r="G611" s="25">
        <f>IF(OR(COUNTA(A611:E611)=0,OR(ISNUMBER(SEARCH("소계",B611)),ISNUMBER(SEARCH("합계",B611)))),"",1+COUNTIF($B$1:B610,"*소계*"))</f>
        <v/>
      </c>
      <c r="H611">
        <f>IF(AND(A611&lt;&gt;"",A611=가족별!$B$1,G611&lt;&gt;""),COUNTIFS($A$2:A611,가족별!$B$1,$G$2:G611,"&gt;0"),"")</f>
        <v/>
      </c>
      <c r="I611">
        <f>IF(ISNUMBER(SEARCH("소계",B611)),COUNTIF($B$2:B611,"*소계*"),"")</f>
        <v/>
      </c>
      <c r="J611">
        <f>IF(F611="",0,1)</f>
        <v/>
      </c>
    </row>
    <row r="612">
      <c r="A612" s="41" t="n"/>
      <c r="B612" s="41" t="n"/>
      <c r="C612" s="24" t="n"/>
      <c r="D612" s="41" t="n"/>
      <c r="E612" s="41" t="n"/>
      <c r="F612" s="19">
        <f>IF(COUNTA(A612:E612)=0,"",IF(OR(ISNUMBER(SEARCH("소계",B612)),ISNUMBER(SEARCH("합계",B612))),"",TRIM(IF(B612="","이름 없음 ","")&amp;IF(A612="","받은 가족 없음 ","")&amp;IF(C612="","금액 없음 ",IF(ISNUMBER(C612),IF(C612&lt;1000,"금액 확인 ",""),"금액 확인 "))&amp;IF(AND(B612&lt;&gt;"",COUNTIFS($A$2:$A$1001,A612,$B$2:$B$1001,B612,$C$2:$C$1001,C612)&gt;1),"중복 의심",""))))</f>
        <v/>
      </c>
      <c r="G612" s="25">
        <f>IF(OR(COUNTA(A612:E612)=0,OR(ISNUMBER(SEARCH("소계",B612)),ISNUMBER(SEARCH("합계",B612)))),"",1+COUNTIF($B$1:B611,"*소계*"))</f>
        <v/>
      </c>
      <c r="H612">
        <f>IF(AND(A612&lt;&gt;"",A612=가족별!$B$1,G612&lt;&gt;""),COUNTIFS($A$2:A612,가족별!$B$1,$G$2:G612,"&gt;0"),"")</f>
        <v/>
      </c>
      <c r="I612">
        <f>IF(ISNUMBER(SEARCH("소계",B612)),COUNTIF($B$2:B612,"*소계*"),"")</f>
        <v/>
      </c>
      <c r="J612">
        <f>IF(F612="",0,1)</f>
        <v/>
      </c>
    </row>
    <row r="613">
      <c r="A613" s="41" t="n"/>
      <c r="B613" s="41" t="n"/>
      <c r="C613" s="24" t="n"/>
      <c r="D613" s="41" t="n"/>
      <c r="E613" s="41" t="n"/>
      <c r="F613" s="19">
        <f>IF(COUNTA(A613:E613)=0,"",IF(OR(ISNUMBER(SEARCH("소계",B613)),ISNUMBER(SEARCH("합계",B613))),"",TRIM(IF(B613="","이름 없음 ","")&amp;IF(A613="","받은 가족 없음 ","")&amp;IF(C613="","금액 없음 ",IF(ISNUMBER(C613),IF(C613&lt;1000,"금액 확인 ",""),"금액 확인 "))&amp;IF(AND(B613&lt;&gt;"",COUNTIFS($A$2:$A$1001,A613,$B$2:$B$1001,B613,$C$2:$C$1001,C613)&gt;1),"중복 의심",""))))</f>
        <v/>
      </c>
      <c r="G613" s="25">
        <f>IF(OR(COUNTA(A613:E613)=0,OR(ISNUMBER(SEARCH("소계",B613)),ISNUMBER(SEARCH("합계",B613)))),"",1+COUNTIF($B$1:B612,"*소계*"))</f>
        <v/>
      </c>
      <c r="H613">
        <f>IF(AND(A613&lt;&gt;"",A613=가족별!$B$1,G613&lt;&gt;""),COUNTIFS($A$2:A613,가족별!$B$1,$G$2:G613,"&gt;0"),"")</f>
        <v/>
      </c>
      <c r="I613">
        <f>IF(ISNUMBER(SEARCH("소계",B613)),COUNTIF($B$2:B613,"*소계*"),"")</f>
        <v/>
      </c>
      <c r="J613">
        <f>IF(F613="",0,1)</f>
        <v/>
      </c>
    </row>
    <row r="614">
      <c r="A614" s="41" t="n"/>
      <c r="B614" s="41" t="n"/>
      <c r="C614" s="24" t="n"/>
      <c r="D614" s="41" t="n"/>
      <c r="E614" s="41" t="n"/>
      <c r="F614" s="19">
        <f>IF(COUNTA(A614:E614)=0,"",IF(OR(ISNUMBER(SEARCH("소계",B614)),ISNUMBER(SEARCH("합계",B614))),"",TRIM(IF(B614="","이름 없음 ","")&amp;IF(A614="","받은 가족 없음 ","")&amp;IF(C614="","금액 없음 ",IF(ISNUMBER(C614),IF(C614&lt;1000,"금액 확인 ",""),"금액 확인 "))&amp;IF(AND(B614&lt;&gt;"",COUNTIFS($A$2:$A$1001,A614,$B$2:$B$1001,B614,$C$2:$C$1001,C614)&gt;1),"중복 의심",""))))</f>
        <v/>
      </c>
      <c r="G614" s="25">
        <f>IF(OR(COUNTA(A614:E614)=0,OR(ISNUMBER(SEARCH("소계",B614)),ISNUMBER(SEARCH("합계",B614)))),"",1+COUNTIF($B$1:B613,"*소계*"))</f>
        <v/>
      </c>
      <c r="H614">
        <f>IF(AND(A614&lt;&gt;"",A614=가족별!$B$1,G614&lt;&gt;""),COUNTIFS($A$2:A614,가족별!$B$1,$G$2:G614,"&gt;0"),"")</f>
        <v/>
      </c>
      <c r="I614">
        <f>IF(ISNUMBER(SEARCH("소계",B614)),COUNTIF($B$2:B614,"*소계*"),"")</f>
        <v/>
      </c>
      <c r="J614">
        <f>IF(F614="",0,1)</f>
        <v/>
      </c>
    </row>
    <row r="615">
      <c r="A615" s="41" t="n"/>
      <c r="B615" s="41" t="n"/>
      <c r="C615" s="24" t="n"/>
      <c r="D615" s="41" t="n"/>
      <c r="E615" s="41" t="n"/>
      <c r="F615" s="19">
        <f>IF(COUNTA(A615:E615)=0,"",IF(OR(ISNUMBER(SEARCH("소계",B615)),ISNUMBER(SEARCH("합계",B615))),"",TRIM(IF(B615="","이름 없음 ","")&amp;IF(A615="","받은 가족 없음 ","")&amp;IF(C615="","금액 없음 ",IF(ISNUMBER(C615),IF(C615&lt;1000,"금액 확인 ",""),"금액 확인 "))&amp;IF(AND(B615&lt;&gt;"",COUNTIFS($A$2:$A$1001,A615,$B$2:$B$1001,B615,$C$2:$C$1001,C615)&gt;1),"중복 의심",""))))</f>
        <v/>
      </c>
      <c r="G615" s="25">
        <f>IF(OR(COUNTA(A615:E615)=0,OR(ISNUMBER(SEARCH("소계",B615)),ISNUMBER(SEARCH("합계",B615)))),"",1+COUNTIF($B$1:B614,"*소계*"))</f>
        <v/>
      </c>
      <c r="H615">
        <f>IF(AND(A615&lt;&gt;"",A615=가족별!$B$1,G615&lt;&gt;""),COUNTIFS($A$2:A615,가족별!$B$1,$G$2:G615,"&gt;0"),"")</f>
        <v/>
      </c>
      <c r="I615">
        <f>IF(ISNUMBER(SEARCH("소계",B615)),COUNTIF($B$2:B615,"*소계*"),"")</f>
        <v/>
      </c>
      <c r="J615">
        <f>IF(F615="",0,1)</f>
        <v/>
      </c>
    </row>
    <row r="616">
      <c r="A616" s="41" t="n"/>
      <c r="B616" s="41" t="n"/>
      <c r="C616" s="24" t="n"/>
      <c r="D616" s="41" t="n"/>
      <c r="E616" s="41" t="n"/>
      <c r="F616" s="19">
        <f>IF(COUNTA(A616:E616)=0,"",IF(OR(ISNUMBER(SEARCH("소계",B616)),ISNUMBER(SEARCH("합계",B616))),"",TRIM(IF(B616="","이름 없음 ","")&amp;IF(A616="","받은 가족 없음 ","")&amp;IF(C616="","금액 없음 ",IF(ISNUMBER(C616),IF(C616&lt;1000,"금액 확인 ",""),"금액 확인 "))&amp;IF(AND(B616&lt;&gt;"",COUNTIFS($A$2:$A$1001,A616,$B$2:$B$1001,B616,$C$2:$C$1001,C616)&gt;1),"중복 의심",""))))</f>
        <v/>
      </c>
      <c r="G616" s="25">
        <f>IF(OR(COUNTA(A616:E616)=0,OR(ISNUMBER(SEARCH("소계",B616)),ISNUMBER(SEARCH("합계",B616)))),"",1+COUNTIF($B$1:B615,"*소계*"))</f>
        <v/>
      </c>
      <c r="H616">
        <f>IF(AND(A616&lt;&gt;"",A616=가족별!$B$1,G616&lt;&gt;""),COUNTIFS($A$2:A616,가족별!$B$1,$G$2:G616,"&gt;0"),"")</f>
        <v/>
      </c>
      <c r="I616">
        <f>IF(ISNUMBER(SEARCH("소계",B616)),COUNTIF($B$2:B616,"*소계*"),"")</f>
        <v/>
      </c>
      <c r="J616">
        <f>IF(F616="",0,1)</f>
        <v/>
      </c>
    </row>
    <row r="617">
      <c r="A617" s="41" t="n"/>
      <c r="B617" s="41" t="n"/>
      <c r="C617" s="24" t="n"/>
      <c r="D617" s="41" t="n"/>
      <c r="E617" s="41" t="n"/>
      <c r="F617" s="19">
        <f>IF(COUNTA(A617:E617)=0,"",IF(OR(ISNUMBER(SEARCH("소계",B617)),ISNUMBER(SEARCH("합계",B617))),"",TRIM(IF(B617="","이름 없음 ","")&amp;IF(A617="","받은 가족 없음 ","")&amp;IF(C617="","금액 없음 ",IF(ISNUMBER(C617),IF(C617&lt;1000,"금액 확인 ",""),"금액 확인 "))&amp;IF(AND(B617&lt;&gt;"",COUNTIFS($A$2:$A$1001,A617,$B$2:$B$1001,B617,$C$2:$C$1001,C617)&gt;1),"중복 의심",""))))</f>
        <v/>
      </c>
      <c r="G617" s="25">
        <f>IF(OR(COUNTA(A617:E617)=0,OR(ISNUMBER(SEARCH("소계",B617)),ISNUMBER(SEARCH("합계",B617)))),"",1+COUNTIF($B$1:B616,"*소계*"))</f>
        <v/>
      </c>
      <c r="H617">
        <f>IF(AND(A617&lt;&gt;"",A617=가족별!$B$1,G617&lt;&gt;""),COUNTIFS($A$2:A617,가족별!$B$1,$G$2:G617,"&gt;0"),"")</f>
        <v/>
      </c>
      <c r="I617">
        <f>IF(ISNUMBER(SEARCH("소계",B617)),COUNTIF($B$2:B617,"*소계*"),"")</f>
        <v/>
      </c>
      <c r="J617">
        <f>IF(F617="",0,1)</f>
        <v/>
      </c>
    </row>
    <row r="618">
      <c r="A618" s="41" t="n"/>
      <c r="B618" s="41" t="n"/>
      <c r="C618" s="24" t="n"/>
      <c r="D618" s="41" t="n"/>
      <c r="E618" s="41" t="n"/>
      <c r="F618" s="19">
        <f>IF(COUNTA(A618:E618)=0,"",IF(OR(ISNUMBER(SEARCH("소계",B618)),ISNUMBER(SEARCH("합계",B618))),"",TRIM(IF(B618="","이름 없음 ","")&amp;IF(A618="","받은 가족 없음 ","")&amp;IF(C618="","금액 없음 ",IF(ISNUMBER(C618),IF(C618&lt;1000,"금액 확인 ",""),"금액 확인 "))&amp;IF(AND(B618&lt;&gt;"",COUNTIFS($A$2:$A$1001,A618,$B$2:$B$1001,B618,$C$2:$C$1001,C618)&gt;1),"중복 의심",""))))</f>
        <v/>
      </c>
      <c r="G618" s="25">
        <f>IF(OR(COUNTA(A618:E618)=0,OR(ISNUMBER(SEARCH("소계",B618)),ISNUMBER(SEARCH("합계",B618)))),"",1+COUNTIF($B$1:B617,"*소계*"))</f>
        <v/>
      </c>
      <c r="H618">
        <f>IF(AND(A618&lt;&gt;"",A618=가족별!$B$1,G618&lt;&gt;""),COUNTIFS($A$2:A618,가족별!$B$1,$G$2:G618,"&gt;0"),"")</f>
        <v/>
      </c>
      <c r="I618">
        <f>IF(ISNUMBER(SEARCH("소계",B618)),COUNTIF($B$2:B618,"*소계*"),"")</f>
        <v/>
      </c>
      <c r="J618">
        <f>IF(F618="",0,1)</f>
        <v/>
      </c>
    </row>
    <row r="619">
      <c r="A619" s="41" t="n"/>
      <c r="B619" s="41" t="n"/>
      <c r="C619" s="24" t="n"/>
      <c r="D619" s="41" t="n"/>
      <c r="E619" s="41" t="n"/>
      <c r="F619" s="19">
        <f>IF(COUNTA(A619:E619)=0,"",IF(OR(ISNUMBER(SEARCH("소계",B619)),ISNUMBER(SEARCH("합계",B619))),"",TRIM(IF(B619="","이름 없음 ","")&amp;IF(A619="","받은 가족 없음 ","")&amp;IF(C619="","금액 없음 ",IF(ISNUMBER(C619),IF(C619&lt;1000,"금액 확인 ",""),"금액 확인 "))&amp;IF(AND(B619&lt;&gt;"",COUNTIFS($A$2:$A$1001,A619,$B$2:$B$1001,B619,$C$2:$C$1001,C619)&gt;1),"중복 의심",""))))</f>
        <v/>
      </c>
      <c r="G619" s="25">
        <f>IF(OR(COUNTA(A619:E619)=0,OR(ISNUMBER(SEARCH("소계",B619)),ISNUMBER(SEARCH("합계",B619)))),"",1+COUNTIF($B$1:B618,"*소계*"))</f>
        <v/>
      </c>
      <c r="H619">
        <f>IF(AND(A619&lt;&gt;"",A619=가족별!$B$1,G619&lt;&gt;""),COUNTIFS($A$2:A619,가족별!$B$1,$G$2:G619,"&gt;0"),"")</f>
        <v/>
      </c>
      <c r="I619">
        <f>IF(ISNUMBER(SEARCH("소계",B619)),COUNTIF($B$2:B619,"*소계*"),"")</f>
        <v/>
      </c>
      <c r="J619">
        <f>IF(F619="",0,1)</f>
        <v/>
      </c>
    </row>
    <row r="620">
      <c r="A620" s="41" t="n"/>
      <c r="B620" s="41" t="n"/>
      <c r="C620" s="24" t="n"/>
      <c r="D620" s="41" t="n"/>
      <c r="E620" s="41" t="n"/>
      <c r="F620" s="19">
        <f>IF(COUNTA(A620:E620)=0,"",IF(OR(ISNUMBER(SEARCH("소계",B620)),ISNUMBER(SEARCH("합계",B620))),"",TRIM(IF(B620="","이름 없음 ","")&amp;IF(A620="","받은 가족 없음 ","")&amp;IF(C620="","금액 없음 ",IF(ISNUMBER(C620),IF(C620&lt;1000,"금액 확인 ",""),"금액 확인 "))&amp;IF(AND(B620&lt;&gt;"",COUNTIFS($A$2:$A$1001,A620,$B$2:$B$1001,B620,$C$2:$C$1001,C620)&gt;1),"중복 의심",""))))</f>
        <v/>
      </c>
      <c r="G620" s="25">
        <f>IF(OR(COUNTA(A620:E620)=0,OR(ISNUMBER(SEARCH("소계",B620)),ISNUMBER(SEARCH("합계",B620)))),"",1+COUNTIF($B$1:B619,"*소계*"))</f>
        <v/>
      </c>
      <c r="H620">
        <f>IF(AND(A620&lt;&gt;"",A620=가족별!$B$1,G620&lt;&gt;""),COUNTIFS($A$2:A620,가족별!$B$1,$G$2:G620,"&gt;0"),"")</f>
        <v/>
      </c>
      <c r="I620">
        <f>IF(ISNUMBER(SEARCH("소계",B620)),COUNTIF($B$2:B620,"*소계*"),"")</f>
        <v/>
      </c>
      <c r="J620">
        <f>IF(F620="",0,1)</f>
        <v/>
      </c>
    </row>
    <row r="621">
      <c r="A621" s="41" t="n"/>
      <c r="B621" s="41" t="n"/>
      <c r="C621" s="24" t="n"/>
      <c r="D621" s="41" t="n"/>
      <c r="E621" s="41" t="n"/>
      <c r="F621" s="19">
        <f>IF(COUNTA(A621:E621)=0,"",IF(OR(ISNUMBER(SEARCH("소계",B621)),ISNUMBER(SEARCH("합계",B621))),"",TRIM(IF(B621="","이름 없음 ","")&amp;IF(A621="","받은 가족 없음 ","")&amp;IF(C621="","금액 없음 ",IF(ISNUMBER(C621),IF(C621&lt;1000,"금액 확인 ",""),"금액 확인 "))&amp;IF(AND(B621&lt;&gt;"",COUNTIFS($A$2:$A$1001,A621,$B$2:$B$1001,B621,$C$2:$C$1001,C621)&gt;1),"중복 의심",""))))</f>
        <v/>
      </c>
      <c r="G621" s="25">
        <f>IF(OR(COUNTA(A621:E621)=0,OR(ISNUMBER(SEARCH("소계",B621)),ISNUMBER(SEARCH("합계",B621)))),"",1+COUNTIF($B$1:B620,"*소계*"))</f>
        <v/>
      </c>
      <c r="H621">
        <f>IF(AND(A621&lt;&gt;"",A621=가족별!$B$1,G621&lt;&gt;""),COUNTIFS($A$2:A621,가족별!$B$1,$G$2:G621,"&gt;0"),"")</f>
        <v/>
      </c>
      <c r="I621">
        <f>IF(ISNUMBER(SEARCH("소계",B621)),COUNTIF($B$2:B621,"*소계*"),"")</f>
        <v/>
      </c>
      <c r="J621">
        <f>IF(F621="",0,1)</f>
        <v/>
      </c>
    </row>
    <row r="622">
      <c r="A622" s="41" t="n"/>
      <c r="B622" s="41" t="n"/>
      <c r="C622" s="24" t="n"/>
      <c r="D622" s="41" t="n"/>
      <c r="E622" s="41" t="n"/>
      <c r="F622" s="19">
        <f>IF(COUNTA(A622:E622)=0,"",IF(OR(ISNUMBER(SEARCH("소계",B622)),ISNUMBER(SEARCH("합계",B622))),"",TRIM(IF(B622="","이름 없음 ","")&amp;IF(A622="","받은 가족 없음 ","")&amp;IF(C622="","금액 없음 ",IF(ISNUMBER(C622),IF(C622&lt;1000,"금액 확인 ",""),"금액 확인 "))&amp;IF(AND(B622&lt;&gt;"",COUNTIFS($A$2:$A$1001,A622,$B$2:$B$1001,B622,$C$2:$C$1001,C622)&gt;1),"중복 의심",""))))</f>
        <v/>
      </c>
      <c r="G622" s="25">
        <f>IF(OR(COUNTA(A622:E622)=0,OR(ISNUMBER(SEARCH("소계",B622)),ISNUMBER(SEARCH("합계",B622)))),"",1+COUNTIF($B$1:B621,"*소계*"))</f>
        <v/>
      </c>
      <c r="H622">
        <f>IF(AND(A622&lt;&gt;"",A622=가족별!$B$1,G622&lt;&gt;""),COUNTIFS($A$2:A622,가족별!$B$1,$G$2:G622,"&gt;0"),"")</f>
        <v/>
      </c>
      <c r="I622">
        <f>IF(ISNUMBER(SEARCH("소계",B622)),COUNTIF($B$2:B622,"*소계*"),"")</f>
        <v/>
      </c>
      <c r="J622">
        <f>IF(F622="",0,1)</f>
        <v/>
      </c>
    </row>
    <row r="623">
      <c r="A623" s="41" t="n"/>
      <c r="B623" s="41" t="n"/>
      <c r="C623" s="24" t="n"/>
      <c r="D623" s="41" t="n"/>
      <c r="E623" s="41" t="n"/>
      <c r="F623" s="19">
        <f>IF(COUNTA(A623:E623)=0,"",IF(OR(ISNUMBER(SEARCH("소계",B623)),ISNUMBER(SEARCH("합계",B623))),"",TRIM(IF(B623="","이름 없음 ","")&amp;IF(A623="","받은 가족 없음 ","")&amp;IF(C623="","금액 없음 ",IF(ISNUMBER(C623),IF(C623&lt;1000,"금액 확인 ",""),"금액 확인 "))&amp;IF(AND(B623&lt;&gt;"",COUNTIFS($A$2:$A$1001,A623,$B$2:$B$1001,B623,$C$2:$C$1001,C623)&gt;1),"중복 의심",""))))</f>
        <v/>
      </c>
      <c r="G623" s="25">
        <f>IF(OR(COUNTA(A623:E623)=0,OR(ISNUMBER(SEARCH("소계",B623)),ISNUMBER(SEARCH("합계",B623)))),"",1+COUNTIF($B$1:B622,"*소계*"))</f>
        <v/>
      </c>
      <c r="H623">
        <f>IF(AND(A623&lt;&gt;"",A623=가족별!$B$1,G623&lt;&gt;""),COUNTIFS($A$2:A623,가족별!$B$1,$G$2:G623,"&gt;0"),"")</f>
        <v/>
      </c>
      <c r="I623">
        <f>IF(ISNUMBER(SEARCH("소계",B623)),COUNTIF($B$2:B623,"*소계*"),"")</f>
        <v/>
      </c>
      <c r="J623">
        <f>IF(F623="",0,1)</f>
        <v/>
      </c>
    </row>
    <row r="624">
      <c r="A624" s="41" t="n"/>
      <c r="B624" s="41" t="n"/>
      <c r="C624" s="24" t="n"/>
      <c r="D624" s="41" t="n"/>
      <c r="E624" s="41" t="n"/>
      <c r="F624" s="19">
        <f>IF(COUNTA(A624:E624)=0,"",IF(OR(ISNUMBER(SEARCH("소계",B624)),ISNUMBER(SEARCH("합계",B624))),"",TRIM(IF(B624="","이름 없음 ","")&amp;IF(A624="","받은 가족 없음 ","")&amp;IF(C624="","금액 없음 ",IF(ISNUMBER(C624),IF(C624&lt;1000,"금액 확인 ",""),"금액 확인 "))&amp;IF(AND(B624&lt;&gt;"",COUNTIFS($A$2:$A$1001,A624,$B$2:$B$1001,B624,$C$2:$C$1001,C624)&gt;1),"중복 의심",""))))</f>
        <v/>
      </c>
      <c r="G624" s="25">
        <f>IF(OR(COUNTA(A624:E624)=0,OR(ISNUMBER(SEARCH("소계",B624)),ISNUMBER(SEARCH("합계",B624)))),"",1+COUNTIF($B$1:B623,"*소계*"))</f>
        <v/>
      </c>
      <c r="H624">
        <f>IF(AND(A624&lt;&gt;"",A624=가족별!$B$1,G624&lt;&gt;""),COUNTIFS($A$2:A624,가족별!$B$1,$G$2:G624,"&gt;0"),"")</f>
        <v/>
      </c>
      <c r="I624">
        <f>IF(ISNUMBER(SEARCH("소계",B624)),COUNTIF($B$2:B624,"*소계*"),"")</f>
        <v/>
      </c>
      <c r="J624">
        <f>IF(F624="",0,1)</f>
        <v/>
      </c>
    </row>
    <row r="625">
      <c r="A625" s="41" t="n"/>
      <c r="B625" s="41" t="n"/>
      <c r="C625" s="24" t="n"/>
      <c r="D625" s="41" t="n"/>
      <c r="E625" s="41" t="n"/>
      <c r="F625" s="19">
        <f>IF(COUNTA(A625:E625)=0,"",IF(OR(ISNUMBER(SEARCH("소계",B625)),ISNUMBER(SEARCH("합계",B625))),"",TRIM(IF(B625="","이름 없음 ","")&amp;IF(A625="","받은 가족 없음 ","")&amp;IF(C625="","금액 없음 ",IF(ISNUMBER(C625),IF(C625&lt;1000,"금액 확인 ",""),"금액 확인 "))&amp;IF(AND(B625&lt;&gt;"",COUNTIFS($A$2:$A$1001,A625,$B$2:$B$1001,B625,$C$2:$C$1001,C625)&gt;1),"중복 의심",""))))</f>
        <v/>
      </c>
      <c r="G625" s="25">
        <f>IF(OR(COUNTA(A625:E625)=0,OR(ISNUMBER(SEARCH("소계",B625)),ISNUMBER(SEARCH("합계",B625)))),"",1+COUNTIF($B$1:B624,"*소계*"))</f>
        <v/>
      </c>
      <c r="H625">
        <f>IF(AND(A625&lt;&gt;"",A625=가족별!$B$1,G625&lt;&gt;""),COUNTIFS($A$2:A625,가족별!$B$1,$G$2:G625,"&gt;0"),"")</f>
        <v/>
      </c>
      <c r="I625">
        <f>IF(ISNUMBER(SEARCH("소계",B625)),COUNTIF($B$2:B625,"*소계*"),"")</f>
        <v/>
      </c>
      <c r="J625">
        <f>IF(F625="",0,1)</f>
        <v/>
      </c>
    </row>
    <row r="626">
      <c r="A626" s="41" t="n"/>
      <c r="B626" s="41" t="n"/>
      <c r="C626" s="24" t="n"/>
      <c r="D626" s="41" t="n"/>
      <c r="E626" s="41" t="n"/>
      <c r="F626" s="19">
        <f>IF(COUNTA(A626:E626)=0,"",IF(OR(ISNUMBER(SEARCH("소계",B626)),ISNUMBER(SEARCH("합계",B626))),"",TRIM(IF(B626="","이름 없음 ","")&amp;IF(A626="","받은 가족 없음 ","")&amp;IF(C626="","금액 없음 ",IF(ISNUMBER(C626),IF(C626&lt;1000,"금액 확인 ",""),"금액 확인 "))&amp;IF(AND(B626&lt;&gt;"",COUNTIFS($A$2:$A$1001,A626,$B$2:$B$1001,B626,$C$2:$C$1001,C626)&gt;1),"중복 의심",""))))</f>
        <v/>
      </c>
      <c r="G626" s="25">
        <f>IF(OR(COUNTA(A626:E626)=0,OR(ISNUMBER(SEARCH("소계",B626)),ISNUMBER(SEARCH("합계",B626)))),"",1+COUNTIF($B$1:B625,"*소계*"))</f>
        <v/>
      </c>
      <c r="H626">
        <f>IF(AND(A626&lt;&gt;"",A626=가족별!$B$1,G626&lt;&gt;""),COUNTIFS($A$2:A626,가족별!$B$1,$G$2:G626,"&gt;0"),"")</f>
        <v/>
      </c>
      <c r="I626">
        <f>IF(ISNUMBER(SEARCH("소계",B626)),COUNTIF($B$2:B626,"*소계*"),"")</f>
        <v/>
      </c>
      <c r="J626">
        <f>IF(F626="",0,1)</f>
        <v/>
      </c>
    </row>
    <row r="627">
      <c r="A627" s="41" t="n"/>
      <c r="B627" s="41" t="n"/>
      <c r="C627" s="24" t="n"/>
      <c r="D627" s="41" t="n"/>
      <c r="E627" s="41" t="n"/>
      <c r="F627" s="19">
        <f>IF(COUNTA(A627:E627)=0,"",IF(OR(ISNUMBER(SEARCH("소계",B627)),ISNUMBER(SEARCH("합계",B627))),"",TRIM(IF(B627="","이름 없음 ","")&amp;IF(A627="","받은 가족 없음 ","")&amp;IF(C627="","금액 없음 ",IF(ISNUMBER(C627),IF(C627&lt;1000,"금액 확인 ",""),"금액 확인 "))&amp;IF(AND(B627&lt;&gt;"",COUNTIFS($A$2:$A$1001,A627,$B$2:$B$1001,B627,$C$2:$C$1001,C627)&gt;1),"중복 의심",""))))</f>
        <v/>
      </c>
      <c r="G627" s="25">
        <f>IF(OR(COUNTA(A627:E627)=0,OR(ISNUMBER(SEARCH("소계",B627)),ISNUMBER(SEARCH("합계",B627)))),"",1+COUNTIF($B$1:B626,"*소계*"))</f>
        <v/>
      </c>
      <c r="H627">
        <f>IF(AND(A627&lt;&gt;"",A627=가족별!$B$1,G627&lt;&gt;""),COUNTIFS($A$2:A627,가족별!$B$1,$G$2:G627,"&gt;0"),"")</f>
        <v/>
      </c>
      <c r="I627">
        <f>IF(ISNUMBER(SEARCH("소계",B627)),COUNTIF($B$2:B627,"*소계*"),"")</f>
        <v/>
      </c>
      <c r="J627">
        <f>IF(F627="",0,1)</f>
        <v/>
      </c>
    </row>
    <row r="628">
      <c r="A628" s="41" t="n"/>
      <c r="B628" s="41" t="n"/>
      <c r="C628" s="24" t="n"/>
      <c r="D628" s="41" t="n"/>
      <c r="E628" s="41" t="n"/>
      <c r="F628" s="19">
        <f>IF(COUNTA(A628:E628)=0,"",IF(OR(ISNUMBER(SEARCH("소계",B628)),ISNUMBER(SEARCH("합계",B628))),"",TRIM(IF(B628="","이름 없음 ","")&amp;IF(A628="","받은 가족 없음 ","")&amp;IF(C628="","금액 없음 ",IF(ISNUMBER(C628),IF(C628&lt;1000,"금액 확인 ",""),"금액 확인 "))&amp;IF(AND(B628&lt;&gt;"",COUNTIFS($A$2:$A$1001,A628,$B$2:$B$1001,B628,$C$2:$C$1001,C628)&gt;1),"중복 의심",""))))</f>
        <v/>
      </c>
      <c r="G628" s="25">
        <f>IF(OR(COUNTA(A628:E628)=0,OR(ISNUMBER(SEARCH("소계",B628)),ISNUMBER(SEARCH("합계",B628)))),"",1+COUNTIF($B$1:B627,"*소계*"))</f>
        <v/>
      </c>
      <c r="H628">
        <f>IF(AND(A628&lt;&gt;"",A628=가족별!$B$1,G628&lt;&gt;""),COUNTIFS($A$2:A628,가족별!$B$1,$G$2:G628,"&gt;0"),"")</f>
        <v/>
      </c>
      <c r="I628">
        <f>IF(ISNUMBER(SEARCH("소계",B628)),COUNTIF($B$2:B628,"*소계*"),"")</f>
        <v/>
      </c>
      <c r="J628">
        <f>IF(F628="",0,1)</f>
        <v/>
      </c>
    </row>
    <row r="629">
      <c r="A629" s="41" t="n"/>
      <c r="B629" s="41" t="n"/>
      <c r="C629" s="24" t="n"/>
      <c r="D629" s="41" t="n"/>
      <c r="E629" s="41" t="n"/>
      <c r="F629" s="19">
        <f>IF(COUNTA(A629:E629)=0,"",IF(OR(ISNUMBER(SEARCH("소계",B629)),ISNUMBER(SEARCH("합계",B629))),"",TRIM(IF(B629="","이름 없음 ","")&amp;IF(A629="","받은 가족 없음 ","")&amp;IF(C629="","금액 없음 ",IF(ISNUMBER(C629),IF(C629&lt;1000,"금액 확인 ",""),"금액 확인 "))&amp;IF(AND(B629&lt;&gt;"",COUNTIFS($A$2:$A$1001,A629,$B$2:$B$1001,B629,$C$2:$C$1001,C629)&gt;1),"중복 의심",""))))</f>
        <v/>
      </c>
      <c r="G629" s="25">
        <f>IF(OR(COUNTA(A629:E629)=0,OR(ISNUMBER(SEARCH("소계",B629)),ISNUMBER(SEARCH("합계",B629)))),"",1+COUNTIF($B$1:B628,"*소계*"))</f>
        <v/>
      </c>
      <c r="H629">
        <f>IF(AND(A629&lt;&gt;"",A629=가족별!$B$1,G629&lt;&gt;""),COUNTIFS($A$2:A629,가족별!$B$1,$G$2:G629,"&gt;0"),"")</f>
        <v/>
      </c>
      <c r="I629">
        <f>IF(ISNUMBER(SEARCH("소계",B629)),COUNTIF($B$2:B629,"*소계*"),"")</f>
        <v/>
      </c>
      <c r="J629">
        <f>IF(F629="",0,1)</f>
        <v/>
      </c>
    </row>
    <row r="630">
      <c r="A630" s="41" t="n"/>
      <c r="B630" s="41" t="n"/>
      <c r="C630" s="24" t="n"/>
      <c r="D630" s="41" t="n"/>
      <c r="E630" s="41" t="n"/>
      <c r="F630" s="19">
        <f>IF(COUNTA(A630:E630)=0,"",IF(OR(ISNUMBER(SEARCH("소계",B630)),ISNUMBER(SEARCH("합계",B630))),"",TRIM(IF(B630="","이름 없음 ","")&amp;IF(A630="","받은 가족 없음 ","")&amp;IF(C630="","금액 없음 ",IF(ISNUMBER(C630),IF(C630&lt;1000,"금액 확인 ",""),"금액 확인 "))&amp;IF(AND(B630&lt;&gt;"",COUNTIFS($A$2:$A$1001,A630,$B$2:$B$1001,B630,$C$2:$C$1001,C630)&gt;1),"중복 의심",""))))</f>
        <v/>
      </c>
      <c r="G630" s="25">
        <f>IF(OR(COUNTA(A630:E630)=0,OR(ISNUMBER(SEARCH("소계",B630)),ISNUMBER(SEARCH("합계",B630)))),"",1+COUNTIF($B$1:B629,"*소계*"))</f>
        <v/>
      </c>
      <c r="H630">
        <f>IF(AND(A630&lt;&gt;"",A630=가족별!$B$1,G630&lt;&gt;""),COUNTIFS($A$2:A630,가족별!$B$1,$G$2:G630,"&gt;0"),"")</f>
        <v/>
      </c>
      <c r="I630">
        <f>IF(ISNUMBER(SEARCH("소계",B630)),COUNTIF($B$2:B630,"*소계*"),"")</f>
        <v/>
      </c>
      <c r="J630">
        <f>IF(F630="",0,1)</f>
        <v/>
      </c>
    </row>
    <row r="631">
      <c r="A631" s="41" t="n"/>
      <c r="B631" s="41" t="n"/>
      <c r="C631" s="24" t="n"/>
      <c r="D631" s="41" t="n"/>
      <c r="E631" s="41" t="n"/>
      <c r="F631" s="19">
        <f>IF(COUNTA(A631:E631)=0,"",IF(OR(ISNUMBER(SEARCH("소계",B631)),ISNUMBER(SEARCH("합계",B631))),"",TRIM(IF(B631="","이름 없음 ","")&amp;IF(A631="","받은 가족 없음 ","")&amp;IF(C631="","금액 없음 ",IF(ISNUMBER(C631),IF(C631&lt;1000,"금액 확인 ",""),"금액 확인 "))&amp;IF(AND(B631&lt;&gt;"",COUNTIFS($A$2:$A$1001,A631,$B$2:$B$1001,B631,$C$2:$C$1001,C631)&gt;1),"중복 의심",""))))</f>
        <v/>
      </c>
      <c r="G631" s="25">
        <f>IF(OR(COUNTA(A631:E631)=0,OR(ISNUMBER(SEARCH("소계",B631)),ISNUMBER(SEARCH("합계",B631)))),"",1+COUNTIF($B$1:B630,"*소계*"))</f>
        <v/>
      </c>
      <c r="H631">
        <f>IF(AND(A631&lt;&gt;"",A631=가족별!$B$1,G631&lt;&gt;""),COUNTIFS($A$2:A631,가족별!$B$1,$G$2:G631,"&gt;0"),"")</f>
        <v/>
      </c>
      <c r="I631">
        <f>IF(ISNUMBER(SEARCH("소계",B631)),COUNTIF($B$2:B631,"*소계*"),"")</f>
        <v/>
      </c>
      <c r="J631">
        <f>IF(F631="",0,1)</f>
        <v/>
      </c>
    </row>
    <row r="632">
      <c r="A632" s="41" t="n"/>
      <c r="B632" s="41" t="n"/>
      <c r="C632" s="24" t="n"/>
      <c r="D632" s="41" t="n"/>
      <c r="E632" s="41" t="n"/>
      <c r="F632" s="19">
        <f>IF(COUNTA(A632:E632)=0,"",IF(OR(ISNUMBER(SEARCH("소계",B632)),ISNUMBER(SEARCH("합계",B632))),"",TRIM(IF(B632="","이름 없음 ","")&amp;IF(A632="","받은 가족 없음 ","")&amp;IF(C632="","금액 없음 ",IF(ISNUMBER(C632),IF(C632&lt;1000,"금액 확인 ",""),"금액 확인 "))&amp;IF(AND(B632&lt;&gt;"",COUNTIFS($A$2:$A$1001,A632,$B$2:$B$1001,B632,$C$2:$C$1001,C632)&gt;1),"중복 의심",""))))</f>
        <v/>
      </c>
      <c r="G632" s="25">
        <f>IF(OR(COUNTA(A632:E632)=0,OR(ISNUMBER(SEARCH("소계",B632)),ISNUMBER(SEARCH("합계",B632)))),"",1+COUNTIF($B$1:B631,"*소계*"))</f>
        <v/>
      </c>
      <c r="H632">
        <f>IF(AND(A632&lt;&gt;"",A632=가족별!$B$1,G632&lt;&gt;""),COUNTIFS($A$2:A632,가족별!$B$1,$G$2:G632,"&gt;0"),"")</f>
        <v/>
      </c>
      <c r="I632">
        <f>IF(ISNUMBER(SEARCH("소계",B632)),COUNTIF($B$2:B632,"*소계*"),"")</f>
        <v/>
      </c>
      <c r="J632">
        <f>IF(F632="",0,1)</f>
        <v/>
      </c>
    </row>
    <row r="633">
      <c r="A633" s="41" t="n"/>
      <c r="B633" s="41" t="n"/>
      <c r="C633" s="24" t="n"/>
      <c r="D633" s="41" t="n"/>
      <c r="E633" s="41" t="n"/>
      <c r="F633" s="19">
        <f>IF(COUNTA(A633:E633)=0,"",IF(OR(ISNUMBER(SEARCH("소계",B633)),ISNUMBER(SEARCH("합계",B633))),"",TRIM(IF(B633="","이름 없음 ","")&amp;IF(A633="","받은 가족 없음 ","")&amp;IF(C633="","금액 없음 ",IF(ISNUMBER(C633),IF(C633&lt;1000,"금액 확인 ",""),"금액 확인 "))&amp;IF(AND(B633&lt;&gt;"",COUNTIFS($A$2:$A$1001,A633,$B$2:$B$1001,B633,$C$2:$C$1001,C633)&gt;1),"중복 의심",""))))</f>
        <v/>
      </c>
      <c r="G633" s="25">
        <f>IF(OR(COUNTA(A633:E633)=0,OR(ISNUMBER(SEARCH("소계",B633)),ISNUMBER(SEARCH("합계",B633)))),"",1+COUNTIF($B$1:B632,"*소계*"))</f>
        <v/>
      </c>
      <c r="H633">
        <f>IF(AND(A633&lt;&gt;"",A633=가족별!$B$1,G633&lt;&gt;""),COUNTIFS($A$2:A633,가족별!$B$1,$G$2:G633,"&gt;0"),"")</f>
        <v/>
      </c>
      <c r="I633">
        <f>IF(ISNUMBER(SEARCH("소계",B633)),COUNTIF($B$2:B633,"*소계*"),"")</f>
        <v/>
      </c>
      <c r="J633">
        <f>IF(F633="",0,1)</f>
        <v/>
      </c>
    </row>
    <row r="634">
      <c r="A634" s="41" t="n"/>
      <c r="B634" s="41" t="n"/>
      <c r="C634" s="24" t="n"/>
      <c r="D634" s="41" t="n"/>
      <c r="E634" s="41" t="n"/>
      <c r="F634" s="19">
        <f>IF(COUNTA(A634:E634)=0,"",IF(OR(ISNUMBER(SEARCH("소계",B634)),ISNUMBER(SEARCH("합계",B634))),"",TRIM(IF(B634="","이름 없음 ","")&amp;IF(A634="","받은 가족 없음 ","")&amp;IF(C634="","금액 없음 ",IF(ISNUMBER(C634),IF(C634&lt;1000,"금액 확인 ",""),"금액 확인 "))&amp;IF(AND(B634&lt;&gt;"",COUNTIFS($A$2:$A$1001,A634,$B$2:$B$1001,B634,$C$2:$C$1001,C634)&gt;1),"중복 의심",""))))</f>
        <v/>
      </c>
      <c r="G634" s="25">
        <f>IF(OR(COUNTA(A634:E634)=0,OR(ISNUMBER(SEARCH("소계",B634)),ISNUMBER(SEARCH("합계",B634)))),"",1+COUNTIF($B$1:B633,"*소계*"))</f>
        <v/>
      </c>
      <c r="H634">
        <f>IF(AND(A634&lt;&gt;"",A634=가족별!$B$1,G634&lt;&gt;""),COUNTIFS($A$2:A634,가족별!$B$1,$G$2:G634,"&gt;0"),"")</f>
        <v/>
      </c>
      <c r="I634">
        <f>IF(ISNUMBER(SEARCH("소계",B634)),COUNTIF($B$2:B634,"*소계*"),"")</f>
        <v/>
      </c>
      <c r="J634">
        <f>IF(F634="",0,1)</f>
        <v/>
      </c>
    </row>
    <row r="635">
      <c r="A635" s="41" t="n"/>
      <c r="B635" s="41" t="n"/>
      <c r="C635" s="24" t="n"/>
      <c r="D635" s="41" t="n"/>
      <c r="E635" s="41" t="n"/>
      <c r="F635" s="19">
        <f>IF(COUNTA(A635:E635)=0,"",IF(OR(ISNUMBER(SEARCH("소계",B635)),ISNUMBER(SEARCH("합계",B635))),"",TRIM(IF(B635="","이름 없음 ","")&amp;IF(A635="","받은 가족 없음 ","")&amp;IF(C635="","금액 없음 ",IF(ISNUMBER(C635),IF(C635&lt;1000,"금액 확인 ",""),"금액 확인 "))&amp;IF(AND(B635&lt;&gt;"",COUNTIFS($A$2:$A$1001,A635,$B$2:$B$1001,B635,$C$2:$C$1001,C635)&gt;1),"중복 의심",""))))</f>
        <v/>
      </c>
      <c r="G635" s="25">
        <f>IF(OR(COUNTA(A635:E635)=0,OR(ISNUMBER(SEARCH("소계",B635)),ISNUMBER(SEARCH("합계",B635)))),"",1+COUNTIF($B$1:B634,"*소계*"))</f>
        <v/>
      </c>
      <c r="H635">
        <f>IF(AND(A635&lt;&gt;"",A635=가족별!$B$1,G635&lt;&gt;""),COUNTIFS($A$2:A635,가족별!$B$1,$G$2:G635,"&gt;0"),"")</f>
        <v/>
      </c>
      <c r="I635">
        <f>IF(ISNUMBER(SEARCH("소계",B635)),COUNTIF($B$2:B635,"*소계*"),"")</f>
        <v/>
      </c>
      <c r="J635">
        <f>IF(F635="",0,1)</f>
        <v/>
      </c>
    </row>
    <row r="636">
      <c r="A636" s="41" t="n"/>
      <c r="B636" s="41" t="n"/>
      <c r="C636" s="24" t="n"/>
      <c r="D636" s="41" t="n"/>
      <c r="E636" s="41" t="n"/>
      <c r="F636" s="19">
        <f>IF(COUNTA(A636:E636)=0,"",IF(OR(ISNUMBER(SEARCH("소계",B636)),ISNUMBER(SEARCH("합계",B636))),"",TRIM(IF(B636="","이름 없음 ","")&amp;IF(A636="","받은 가족 없음 ","")&amp;IF(C636="","금액 없음 ",IF(ISNUMBER(C636),IF(C636&lt;1000,"금액 확인 ",""),"금액 확인 "))&amp;IF(AND(B636&lt;&gt;"",COUNTIFS($A$2:$A$1001,A636,$B$2:$B$1001,B636,$C$2:$C$1001,C636)&gt;1),"중복 의심",""))))</f>
        <v/>
      </c>
      <c r="G636" s="25">
        <f>IF(OR(COUNTA(A636:E636)=0,OR(ISNUMBER(SEARCH("소계",B636)),ISNUMBER(SEARCH("합계",B636)))),"",1+COUNTIF($B$1:B635,"*소계*"))</f>
        <v/>
      </c>
      <c r="H636">
        <f>IF(AND(A636&lt;&gt;"",A636=가족별!$B$1,G636&lt;&gt;""),COUNTIFS($A$2:A636,가족별!$B$1,$G$2:G636,"&gt;0"),"")</f>
        <v/>
      </c>
      <c r="I636">
        <f>IF(ISNUMBER(SEARCH("소계",B636)),COUNTIF($B$2:B636,"*소계*"),"")</f>
        <v/>
      </c>
      <c r="J636">
        <f>IF(F636="",0,1)</f>
        <v/>
      </c>
    </row>
    <row r="637">
      <c r="A637" s="41" t="n"/>
      <c r="B637" s="41" t="n"/>
      <c r="C637" s="24" t="n"/>
      <c r="D637" s="41" t="n"/>
      <c r="E637" s="41" t="n"/>
      <c r="F637" s="19">
        <f>IF(COUNTA(A637:E637)=0,"",IF(OR(ISNUMBER(SEARCH("소계",B637)),ISNUMBER(SEARCH("합계",B637))),"",TRIM(IF(B637="","이름 없음 ","")&amp;IF(A637="","받은 가족 없음 ","")&amp;IF(C637="","금액 없음 ",IF(ISNUMBER(C637),IF(C637&lt;1000,"금액 확인 ",""),"금액 확인 "))&amp;IF(AND(B637&lt;&gt;"",COUNTIFS($A$2:$A$1001,A637,$B$2:$B$1001,B637,$C$2:$C$1001,C637)&gt;1),"중복 의심",""))))</f>
        <v/>
      </c>
      <c r="G637" s="25">
        <f>IF(OR(COUNTA(A637:E637)=0,OR(ISNUMBER(SEARCH("소계",B637)),ISNUMBER(SEARCH("합계",B637)))),"",1+COUNTIF($B$1:B636,"*소계*"))</f>
        <v/>
      </c>
      <c r="H637">
        <f>IF(AND(A637&lt;&gt;"",A637=가족별!$B$1,G637&lt;&gt;""),COUNTIFS($A$2:A637,가족별!$B$1,$G$2:G637,"&gt;0"),"")</f>
        <v/>
      </c>
      <c r="I637">
        <f>IF(ISNUMBER(SEARCH("소계",B637)),COUNTIF($B$2:B637,"*소계*"),"")</f>
        <v/>
      </c>
      <c r="J637">
        <f>IF(F637="",0,1)</f>
        <v/>
      </c>
    </row>
    <row r="638">
      <c r="A638" s="41" t="n"/>
      <c r="B638" s="41" t="n"/>
      <c r="C638" s="24" t="n"/>
      <c r="D638" s="41" t="n"/>
      <c r="E638" s="41" t="n"/>
      <c r="F638" s="19">
        <f>IF(COUNTA(A638:E638)=0,"",IF(OR(ISNUMBER(SEARCH("소계",B638)),ISNUMBER(SEARCH("합계",B638))),"",TRIM(IF(B638="","이름 없음 ","")&amp;IF(A638="","받은 가족 없음 ","")&amp;IF(C638="","금액 없음 ",IF(ISNUMBER(C638),IF(C638&lt;1000,"금액 확인 ",""),"금액 확인 "))&amp;IF(AND(B638&lt;&gt;"",COUNTIFS($A$2:$A$1001,A638,$B$2:$B$1001,B638,$C$2:$C$1001,C638)&gt;1),"중복 의심",""))))</f>
        <v/>
      </c>
      <c r="G638" s="25">
        <f>IF(OR(COUNTA(A638:E638)=0,OR(ISNUMBER(SEARCH("소계",B638)),ISNUMBER(SEARCH("합계",B638)))),"",1+COUNTIF($B$1:B637,"*소계*"))</f>
        <v/>
      </c>
      <c r="H638">
        <f>IF(AND(A638&lt;&gt;"",A638=가족별!$B$1,G638&lt;&gt;""),COUNTIFS($A$2:A638,가족별!$B$1,$G$2:G638,"&gt;0"),"")</f>
        <v/>
      </c>
      <c r="I638">
        <f>IF(ISNUMBER(SEARCH("소계",B638)),COUNTIF($B$2:B638,"*소계*"),"")</f>
        <v/>
      </c>
      <c r="J638">
        <f>IF(F638="",0,1)</f>
        <v/>
      </c>
    </row>
    <row r="639">
      <c r="A639" s="41" t="n"/>
      <c r="B639" s="41" t="n"/>
      <c r="C639" s="24" t="n"/>
      <c r="D639" s="41" t="n"/>
      <c r="E639" s="41" t="n"/>
      <c r="F639" s="19">
        <f>IF(COUNTA(A639:E639)=0,"",IF(OR(ISNUMBER(SEARCH("소계",B639)),ISNUMBER(SEARCH("합계",B639))),"",TRIM(IF(B639="","이름 없음 ","")&amp;IF(A639="","받은 가족 없음 ","")&amp;IF(C639="","금액 없음 ",IF(ISNUMBER(C639),IF(C639&lt;1000,"금액 확인 ",""),"금액 확인 "))&amp;IF(AND(B639&lt;&gt;"",COUNTIFS($A$2:$A$1001,A639,$B$2:$B$1001,B639,$C$2:$C$1001,C639)&gt;1),"중복 의심",""))))</f>
        <v/>
      </c>
      <c r="G639" s="25">
        <f>IF(OR(COUNTA(A639:E639)=0,OR(ISNUMBER(SEARCH("소계",B639)),ISNUMBER(SEARCH("합계",B639)))),"",1+COUNTIF($B$1:B638,"*소계*"))</f>
        <v/>
      </c>
      <c r="H639">
        <f>IF(AND(A639&lt;&gt;"",A639=가족별!$B$1,G639&lt;&gt;""),COUNTIFS($A$2:A639,가족별!$B$1,$G$2:G639,"&gt;0"),"")</f>
        <v/>
      </c>
      <c r="I639">
        <f>IF(ISNUMBER(SEARCH("소계",B639)),COUNTIF($B$2:B639,"*소계*"),"")</f>
        <v/>
      </c>
      <c r="J639">
        <f>IF(F639="",0,1)</f>
        <v/>
      </c>
    </row>
    <row r="640">
      <c r="A640" s="41" t="n"/>
      <c r="B640" s="41" t="n"/>
      <c r="C640" s="24" t="n"/>
      <c r="D640" s="41" t="n"/>
      <c r="E640" s="41" t="n"/>
      <c r="F640" s="19">
        <f>IF(COUNTA(A640:E640)=0,"",IF(OR(ISNUMBER(SEARCH("소계",B640)),ISNUMBER(SEARCH("합계",B640))),"",TRIM(IF(B640="","이름 없음 ","")&amp;IF(A640="","받은 가족 없음 ","")&amp;IF(C640="","금액 없음 ",IF(ISNUMBER(C640),IF(C640&lt;1000,"금액 확인 ",""),"금액 확인 "))&amp;IF(AND(B640&lt;&gt;"",COUNTIFS($A$2:$A$1001,A640,$B$2:$B$1001,B640,$C$2:$C$1001,C640)&gt;1),"중복 의심",""))))</f>
        <v/>
      </c>
      <c r="G640" s="25">
        <f>IF(OR(COUNTA(A640:E640)=0,OR(ISNUMBER(SEARCH("소계",B640)),ISNUMBER(SEARCH("합계",B640)))),"",1+COUNTIF($B$1:B639,"*소계*"))</f>
        <v/>
      </c>
      <c r="H640">
        <f>IF(AND(A640&lt;&gt;"",A640=가족별!$B$1,G640&lt;&gt;""),COUNTIFS($A$2:A640,가족별!$B$1,$G$2:G640,"&gt;0"),"")</f>
        <v/>
      </c>
      <c r="I640">
        <f>IF(ISNUMBER(SEARCH("소계",B640)),COUNTIF($B$2:B640,"*소계*"),"")</f>
        <v/>
      </c>
      <c r="J640">
        <f>IF(F640="",0,1)</f>
        <v/>
      </c>
    </row>
    <row r="641">
      <c r="A641" s="41" t="n"/>
      <c r="B641" s="41" t="n"/>
      <c r="C641" s="24" t="n"/>
      <c r="D641" s="41" t="n"/>
      <c r="E641" s="41" t="n"/>
      <c r="F641" s="19">
        <f>IF(COUNTA(A641:E641)=0,"",IF(OR(ISNUMBER(SEARCH("소계",B641)),ISNUMBER(SEARCH("합계",B641))),"",TRIM(IF(B641="","이름 없음 ","")&amp;IF(A641="","받은 가족 없음 ","")&amp;IF(C641="","금액 없음 ",IF(ISNUMBER(C641),IF(C641&lt;1000,"금액 확인 ",""),"금액 확인 "))&amp;IF(AND(B641&lt;&gt;"",COUNTIFS($A$2:$A$1001,A641,$B$2:$B$1001,B641,$C$2:$C$1001,C641)&gt;1),"중복 의심",""))))</f>
        <v/>
      </c>
      <c r="G641" s="25">
        <f>IF(OR(COUNTA(A641:E641)=0,OR(ISNUMBER(SEARCH("소계",B641)),ISNUMBER(SEARCH("합계",B641)))),"",1+COUNTIF($B$1:B640,"*소계*"))</f>
        <v/>
      </c>
      <c r="H641">
        <f>IF(AND(A641&lt;&gt;"",A641=가족별!$B$1,G641&lt;&gt;""),COUNTIFS($A$2:A641,가족별!$B$1,$G$2:G641,"&gt;0"),"")</f>
        <v/>
      </c>
      <c r="I641">
        <f>IF(ISNUMBER(SEARCH("소계",B641)),COUNTIF($B$2:B641,"*소계*"),"")</f>
        <v/>
      </c>
      <c r="J641">
        <f>IF(F641="",0,1)</f>
        <v/>
      </c>
    </row>
    <row r="642">
      <c r="A642" s="41" t="n"/>
      <c r="B642" s="41" t="n"/>
      <c r="C642" s="24" t="n"/>
      <c r="D642" s="41" t="n"/>
      <c r="E642" s="41" t="n"/>
      <c r="F642" s="19">
        <f>IF(COUNTA(A642:E642)=0,"",IF(OR(ISNUMBER(SEARCH("소계",B642)),ISNUMBER(SEARCH("합계",B642))),"",TRIM(IF(B642="","이름 없음 ","")&amp;IF(A642="","받은 가족 없음 ","")&amp;IF(C642="","금액 없음 ",IF(ISNUMBER(C642),IF(C642&lt;1000,"금액 확인 ",""),"금액 확인 "))&amp;IF(AND(B642&lt;&gt;"",COUNTIFS($A$2:$A$1001,A642,$B$2:$B$1001,B642,$C$2:$C$1001,C642)&gt;1),"중복 의심",""))))</f>
        <v/>
      </c>
      <c r="G642" s="25">
        <f>IF(OR(COUNTA(A642:E642)=0,OR(ISNUMBER(SEARCH("소계",B642)),ISNUMBER(SEARCH("합계",B642)))),"",1+COUNTIF($B$1:B641,"*소계*"))</f>
        <v/>
      </c>
      <c r="H642">
        <f>IF(AND(A642&lt;&gt;"",A642=가족별!$B$1,G642&lt;&gt;""),COUNTIFS($A$2:A642,가족별!$B$1,$G$2:G642,"&gt;0"),"")</f>
        <v/>
      </c>
      <c r="I642">
        <f>IF(ISNUMBER(SEARCH("소계",B642)),COUNTIF($B$2:B642,"*소계*"),"")</f>
        <v/>
      </c>
      <c r="J642">
        <f>IF(F642="",0,1)</f>
        <v/>
      </c>
    </row>
    <row r="643">
      <c r="A643" s="41" t="n"/>
      <c r="B643" s="41" t="n"/>
      <c r="C643" s="24" t="n"/>
      <c r="D643" s="41" t="n"/>
      <c r="E643" s="41" t="n"/>
      <c r="F643" s="19">
        <f>IF(COUNTA(A643:E643)=0,"",IF(OR(ISNUMBER(SEARCH("소계",B643)),ISNUMBER(SEARCH("합계",B643))),"",TRIM(IF(B643="","이름 없음 ","")&amp;IF(A643="","받은 가족 없음 ","")&amp;IF(C643="","금액 없음 ",IF(ISNUMBER(C643),IF(C643&lt;1000,"금액 확인 ",""),"금액 확인 "))&amp;IF(AND(B643&lt;&gt;"",COUNTIFS($A$2:$A$1001,A643,$B$2:$B$1001,B643,$C$2:$C$1001,C643)&gt;1),"중복 의심",""))))</f>
        <v/>
      </c>
      <c r="G643" s="25">
        <f>IF(OR(COUNTA(A643:E643)=0,OR(ISNUMBER(SEARCH("소계",B643)),ISNUMBER(SEARCH("합계",B643)))),"",1+COUNTIF($B$1:B642,"*소계*"))</f>
        <v/>
      </c>
      <c r="H643">
        <f>IF(AND(A643&lt;&gt;"",A643=가족별!$B$1,G643&lt;&gt;""),COUNTIFS($A$2:A643,가족별!$B$1,$G$2:G643,"&gt;0"),"")</f>
        <v/>
      </c>
      <c r="I643">
        <f>IF(ISNUMBER(SEARCH("소계",B643)),COUNTIF($B$2:B643,"*소계*"),"")</f>
        <v/>
      </c>
      <c r="J643">
        <f>IF(F643="",0,1)</f>
        <v/>
      </c>
    </row>
    <row r="644">
      <c r="A644" s="41" t="n"/>
      <c r="B644" s="41" t="n"/>
      <c r="C644" s="24" t="n"/>
      <c r="D644" s="41" t="n"/>
      <c r="E644" s="41" t="n"/>
      <c r="F644" s="19">
        <f>IF(COUNTA(A644:E644)=0,"",IF(OR(ISNUMBER(SEARCH("소계",B644)),ISNUMBER(SEARCH("합계",B644))),"",TRIM(IF(B644="","이름 없음 ","")&amp;IF(A644="","받은 가족 없음 ","")&amp;IF(C644="","금액 없음 ",IF(ISNUMBER(C644),IF(C644&lt;1000,"금액 확인 ",""),"금액 확인 "))&amp;IF(AND(B644&lt;&gt;"",COUNTIFS($A$2:$A$1001,A644,$B$2:$B$1001,B644,$C$2:$C$1001,C644)&gt;1),"중복 의심",""))))</f>
        <v/>
      </c>
      <c r="G644" s="25">
        <f>IF(OR(COUNTA(A644:E644)=0,OR(ISNUMBER(SEARCH("소계",B644)),ISNUMBER(SEARCH("합계",B644)))),"",1+COUNTIF($B$1:B643,"*소계*"))</f>
        <v/>
      </c>
      <c r="H644">
        <f>IF(AND(A644&lt;&gt;"",A644=가족별!$B$1,G644&lt;&gt;""),COUNTIFS($A$2:A644,가족별!$B$1,$G$2:G644,"&gt;0"),"")</f>
        <v/>
      </c>
      <c r="I644">
        <f>IF(ISNUMBER(SEARCH("소계",B644)),COUNTIF($B$2:B644,"*소계*"),"")</f>
        <v/>
      </c>
      <c r="J644">
        <f>IF(F644="",0,1)</f>
        <v/>
      </c>
    </row>
    <row r="645">
      <c r="A645" s="41" t="n"/>
      <c r="B645" s="41" t="n"/>
      <c r="C645" s="24" t="n"/>
      <c r="D645" s="41" t="n"/>
      <c r="E645" s="41" t="n"/>
      <c r="F645" s="19">
        <f>IF(COUNTA(A645:E645)=0,"",IF(OR(ISNUMBER(SEARCH("소계",B645)),ISNUMBER(SEARCH("합계",B645))),"",TRIM(IF(B645="","이름 없음 ","")&amp;IF(A645="","받은 가족 없음 ","")&amp;IF(C645="","금액 없음 ",IF(ISNUMBER(C645),IF(C645&lt;1000,"금액 확인 ",""),"금액 확인 "))&amp;IF(AND(B645&lt;&gt;"",COUNTIFS($A$2:$A$1001,A645,$B$2:$B$1001,B645,$C$2:$C$1001,C645)&gt;1),"중복 의심",""))))</f>
        <v/>
      </c>
      <c r="G645" s="25">
        <f>IF(OR(COUNTA(A645:E645)=0,OR(ISNUMBER(SEARCH("소계",B645)),ISNUMBER(SEARCH("합계",B645)))),"",1+COUNTIF($B$1:B644,"*소계*"))</f>
        <v/>
      </c>
      <c r="H645">
        <f>IF(AND(A645&lt;&gt;"",A645=가족별!$B$1,G645&lt;&gt;""),COUNTIFS($A$2:A645,가족별!$B$1,$G$2:G645,"&gt;0"),"")</f>
        <v/>
      </c>
      <c r="I645">
        <f>IF(ISNUMBER(SEARCH("소계",B645)),COUNTIF($B$2:B645,"*소계*"),"")</f>
        <v/>
      </c>
      <c r="J645">
        <f>IF(F645="",0,1)</f>
        <v/>
      </c>
    </row>
    <row r="646">
      <c r="A646" s="41" t="n"/>
      <c r="B646" s="41" t="n"/>
      <c r="C646" s="24" t="n"/>
      <c r="D646" s="41" t="n"/>
      <c r="E646" s="41" t="n"/>
      <c r="F646" s="19">
        <f>IF(COUNTA(A646:E646)=0,"",IF(OR(ISNUMBER(SEARCH("소계",B646)),ISNUMBER(SEARCH("합계",B646))),"",TRIM(IF(B646="","이름 없음 ","")&amp;IF(A646="","받은 가족 없음 ","")&amp;IF(C646="","금액 없음 ",IF(ISNUMBER(C646),IF(C646&lt;1000,"금액 확인 ",""),"금액 확인 "))&amp;IF(AND(B646&lt;&gt;"",COUNTIFS($A$2:$A$1001,A646,$B$2:$B$1001,B646,$C$2:$C$1001,C646)&gt;1),"중복 의심",""))))</f>
        <v/>
      </c>
      <c r="G646" s="25">
        <f>IF(OR(COUNTA(A646:E646)=0,OR(ISNUMBER(SEARCH("소계",B646)),ISNUMBER(SEARCH("합계",B646)))),"",1+COUNTIF($B$1:B645,"*소계*"))</f>
        <v/>
      </c>
      <c r="H646">
        <f>IF(AND(A646&lt;&gt;"",A646=가족별!$B$1,G646&lt;&gt;""),COUNTIFS($A$2:A646,가족별!$B$1,$G$2:G646,"&gt;0"),"")</f>
        <v/>
      </c>
      <c r="I646">
        <f>IF(ISNUMBER(SEARCH("소계",B646)),COUNTIF($B$2:B646,"*소계*"),"")</f>
        <v/>
      </c>
      <c r="J646">
        <f>IF(F646="",0,1)</f>
        <v/>
      </c>
    </row>
    <row r="647">
      <c r="A647" s="41" t="n"/>
      <c r="B647" s="41" t="n"/>
      <c r="C647" s="24" t="n"/>
      <c r="D647" s="41" t="n"/>
      <c r="E647" s="41" t="n"/>
      <c r="F647" s="19">
        <f>IF(COUNTA(A647:E647)=0,"",IF(OR(ISNUMBER(SEARCH("소계",B647)),ISNUMBER(SEARCH("합계",B647))),"",TRIM(IF(B647="","이름 없음 ","")&amp;IF(A647="","받은 가족 없음 ","")&amp;IF(C647="","금액 없음 ",IF(ISNUMBER(C647),IF(C647&lt;1000,"금액 확인 ",""),"금액 확인 "))&amp;IF(AND(B647&lt;&gt;"",COUNTIFS($A$2:$A$1001,A647,$B$2:$B$1001,B647,$C$2:$C$1001,C647)&gt;1),"중복 의심",""))))</f>
        <v/>
      </c>
      <c r="G647" s="25">
        <f>IF(OR(COUNTA(A647:E647)=0,OR(ISNUMBER(SEARCH("소계",B647)),ISNUMBER(SEARCH("합계",B647)))),"",1+COUNTIF($B$1:B646,"*소계*"))</f>
        <v/>
      </c>
      <c r="H647">
        <f>IF(AND(A647&lt;&gt;"",A647=가족별!$B$1,G647&lt;&gt;""),COUNTIFS($A$2:A647,가족별!$B$1,$G$2:G647,"&gt;0"),"")</f>
        <v/>
      </c>
      <c r="I647">
        <f>IF(ISNUMBER(SEARCH("소계",B647)),COUNTIF($B$2:B647,"*소계*"),"")</f>
        <v/>
      </c>
      <c r="J647">
        <f>IF(F647="",0,1)</f>
        <v/>
      </c>
    </row>
    <row r="648">
      <c r="A648" s="41" t="n"/>
      <c r="B648" s="41" t="n"/>
      <c r="C648" s="24" t="n"/>
      <c r="D648" s="41" t="n"/>
      <c r="E648" s="41" t="n"/>
      <c r="F648" s="19">
        <f>IF(COUNTA(A648:E648)=0,"",IF(OR(ISNUMBER(SEARCH("소계",B648)),ISNUMBER(SEARCH("합계",B648))),"",TRIM(IF(B648="","이름 없음 ","")&amp;IF(A648="","받은 가족 없음 ","")&amp;IF(C648="","금액 없음 ",IF(ISNUMBER(C648),IF(C648&lt;1000,"금액 확인 ",""),"금액 확인 "))&amp;IF(AND(B648&lt;&gt;"",COUNTIFS($A$2:$A$1001,A648,$B$2:$B$1001,B648,$C$2:$C$1001,C648)&gt;1),"중복 의심",""))))</f>
        <v/>
      </c>
      <c r="G648" s="25">
        <f>IF(OR(COUNTA(A648:E648)=0,OR(ISNUMBER(SEARCH("소계",B648)),ISNUMBER(SEARCH("합계",B648)))),"",1+COUNTIF($B$1:B647,"*소계*"))</f>
        <v/>
      </c>
      <c r="H648">
        <f>IF(AND(A648&lt;&gt;"",A648=가족별!$B$1,G648&lt;&gt;""),COUNTIFS($A$2:A648,가족별!$B$1,$G$2:G648,"&gt;0"),"")</f>
        <v/>
      </c>
      <c r="I648">
        <f>IF(ISNUMBER(SEARCH("소계",B648)),COUNTIF($B$2:B648,"*소계*"),"")</f>
        <v/>
      </c>
      <c r="J648">
        <f>IF(F648="",0,1)</f>
        <v/>
      </c>
    </row>
    <row r="649">
      <c r="A649" s="41" t="n"/>
      <c r="B649" s="41" t="n"/>
      <c r="C649" s="24" t="n"/>
      <c r="D649" s="41" t="n"/>
      <c r="E649" s="41" t="n"/>
      <c r="F649" s="19">
        <f>IF(COUNTA(A649:E649)=0,"",IF(OR(ISNUMBER(SEARCH("소계",B649)),ISNUMBER(SEARCH("합계",B649))),"",TRIM(IF(B649="","이름 없음 ","")&amp;IF(A649="","받은 가족 없음 ","")&amp;IF(C649="","금액 없음 ",IF(ISNUMBER(C649),IF(C649&lt;1000,"금액 확인 ",""),"금액 확인 "))&amp;IF(AND(B649&lt;&gt;"",COUNTIFS($A$2:$A$1001,A649,$B$2:$B$1001,B649,$C$2:$C$1001,C649)&gt;1),"중복 의심",""))))</f>
        <v/>
      </c>
      <c r="G649" s="25">
        <f>IF(OR(COUNTA(A649:E649)=0,OR(ISNUMBER(SEARCH("소계",B649)),ISNUMBER(SEARCH("합계",B649)))),"",1+COUNTIF($B$1:B648,"*소계*"))</f>
        <v/>
      </c>
      <c r="H649">
        <f>IF(AND(A649&lt;&gt;"",A649=가족별!$B$1,G649&lt;&gt;""),COUNTIFS($A$2:A649,가족별!$B$1,$G$2:G649,"&gt;0"),"")</f>
        <v/>
      </c>
      <c r="I649">
        <f>IF(ISNUMBER(SEARCH("소계",B649)),COUNTIF($B$2:B649,"*소계*"),"")</f>
        <v/>
      </c>
      <c r="J649">
        <f>IF(F649="",0,1)</f>
        <v/>
      </c>
    </row>
    <row r="650">
      <c r="A650" s="41" t="n"/>
      <c r="B650" s="41" t="n"/>
      <c r="C650" s="24" t="n"/>
      <c r="D650" s="41" t="n"/>
      <c r="E650" s="41" t="n"/>
      <c r="F650" s="19">
        <f>IF(COUNTA(A650:E650)=0,"",IF(OR(ISNUMBER(SEARCH("소계",B650)),ISNUMBER(SEARCH("합계",B650))),"",TRIM(IF(B650="","이름 없음 ","")&amp;IF(A650="","받은 가족 없음 ","")&amp;IF(C650="","금액 없음 ",IF(ISNUMBER(C650),IF(C650&lt;1000,"금액 확인 ",""),"금액 확인 "))&amp;IF(AND(B650&lt;&gt;"",COUNTIFS($A$2:$A$1001,A650,$B$2:$B$1001,B650,$C$2:$C$1001,C650)&gt;1),"중복 의심",""))))</f>
        <v/>
      </c>
      <c r="G650" s="25">
        <f>IF(OR(COUNTA(A650:E650)=0,OR(ISNUMBER(SEARCH("소계",B650)),ISNUMBER(SEARCH("합계",B650)))),"",1+COUNTIF($B$1:B649,"*소계*"))</f>
        <v/>
      </c>
      <c r="H650">
        <f>IF(AND(A650&lt;&gt;"",A650=가족별!$B$1,G650&lt;&gt;""),COUNTIFS($A$2:A650,가족별!$B$1,$G$2:G650,"&gt;0"),"")</f>
        <v/>
      </c>
      <c r="I650">
        <f>IF(ISNUMBER(SEARCH("소계",B650)),COUNTIF($B$2:B650,"*소계*"),"")</f>
        <v/>
      </c>
      <c r="J650">
        <f>IF(F650="",0,1)</f>
        <v/>
      </c>
    </row>
    <row r="651">
      <c r="A651" s="41" t="n"/>
      <c r="B651" s="41" t="n"/>
      <c r="C651" s="24" t="n"/>
      <c r="D651" s="41" t="n"/>
      <c r="E651" s="41" t="n"/>
      <c r="F651" s="19">
        <f>IF(COUNTA(A651:E651)=0,"",IF(OR(ISNUMBER(SEARCH("소계",B651)),ISNUMBER(SEARCH("합계",B651))),"",TRIM(IF(B651="","이름 없음 ","")&amp;IF(A651="","받은 가족 없음 ","")&amp;IF(C651="","금액 없음 ",IF(ISNUMBER(C651),IF(C651&lt;1000,"금액 확인 ",""),"금액 확인 "))&amp;IF(AND(B651&lt;&gt;"",COUNTIFS($A$2:$A$1001,A651,$B$2:$B$1001,B651,$C$2:$C$1001,C651)&gt;1),"중복 의심",""))))</f>
        <v/>
      </c>
      <c r="G651" s="25">
        <f>IF(OR(COUNTA(A651:E651)=0,OR(ISNUMBER(SEARCH("소계",B651)),ISNUMBER(SEARCH("합계",B651)))),"",1+COUNTIF($B$1:B650,"*소계*"))</f>
        <v/>
      </c>
      <c r="H651">
        <f>IF(AND(A651&lt;&gt;"",A651=가족별!$B$1,G651&lt;&gt;""),COUNTIFS($A$2:A651,가족별!$B$1,$G$2:G651,"&gt;0"),"")</f>
        <v/>
      </c>
      <c r="I651">
        <f>IF(ISNUMBER(SEARCH("소계",B651)),COUNTIF($B$2:B651,"*소계*"),"")</f>
        <v/>
      </c>
      <c r="J651">
        <f>IF(F651="",0,1)</f>
        <v/>
      </c>
    </row>
    <row r="652">
      <c r="A652" s="41" t="n"/>
      <c r="B652" s="41" t="n"/>
      <c r="C652" s="24" t="n"/>
      <c r="D652" s="41" t="n"/>
      <c r="E652" s="41" t="n"/>
      <c r="F652" s="19">
        <f>IF(COUNTA(A652:E652)=0,"",IF(OR(ISNUMBER(SEARCH("소계",B652)),ISNUMBER(SEARCH("합계",B652))),"",TRIM(IF(B652="","이름 없음 ","")&amp;IF(A652="","받은 가족 없음 ","")&amp;IF(C652="","금액 없음 ",IF(ISNUMBER(C652),IF(C652&lt;1000,"금액 확인 ",""),"금액 확인 "))&amp;IF(AND(B652&lt;&gt;"",COUNTIFS($A$2:$A$1001,A652,$B$2:$B$1001,B652,$C$2:$C$1001,C652)&gt;1),"중복 의심",""))))</f>
        <v/>
      </c>
      <c r="G652" s="25">
        <f>IF(OR(COUNTA(A652:E652)=0,OR(ISNUMBER(SEARCH("소계",B652)),ISNUMBER(SEARCH("합계",B652)))),"",1+COUNTIF($B$1:B651,"*소계*"))</f>
        <v/>
      </c>
      <c r="H652">
        <f>IF(AND(A652&lt;&gt;"",A652=가족별!$B$1,G652&lt;&gt;""),COUNTIFS($A$2:A652,가족별!$B$1,$G$2:G652,"&gt;0"),"")</f>
        <v/>
      </c>
      <c r="I652">
        <f>IF(ISNUMBER(SEARCH("소계",B652)),COUNTIF($B$2:B652,"*소계*"),"")</f>
        <v/>
      </c>
      <c r="J652">
        <f>IF(F652="",0,1)</f>
        <v/>
      </c>
    </row>
    <row r="653">
      <c r="A653" s="41" t="n"/>
      <c r="B653" s="41" t="n"/>
      <c r="C653" s="24" t="n"/>
      <c r="D653" s="41" t="n"/>
      <c r="E653" s="41" t="n"/>
      <c r="F653" s="19">
        <f>IF(COUNTA(A653:E653)=0,"",IF(OR(ISNUMBER(SEARCH("소계",B653)),ISNUMBER(SEARCH("합계",B653))),"",TRIM(IF(B653="","이름 없음 ","")&amp;IF(A653="","받은 가족 없음 ","")&amp;IF(C653="","금액 없음 ",IF(ISNUMBER(C653),IF(C653&lt;1000,"금액 확인 ",""),"금액 확인 "))&amp;IF(AND(B653&lt;&gt;"",COUNTIFS($A$2:$A$1001,A653,$B$2:$B$1001,B653,$C$2:$C$1001,C653)&gt;1),"중복 의심",""))))</f>
        <v/>
      </c>
      <c r="G653" s="25">
        <f>IF(OR(COUNTA(A653:E653)=0,OR(ISNUMBER(SEARCH("소계",B653)),ISNUMBER(SEARCH("합계",B653)))),"",1+COUNTIF($B$1:B652,"*소계*"))</f>
        <v/>
      </c>
      <c r="H653">
        <f>IF(AND(A653&lt;&gt;"",A653=가족별!$B$1,G653&lt;&gt;""),COUNTIFS($A$2:A653,가족별!$B$1,$G$2:G653,"&gt;0"),"")</f>
        <v/>
      </c>
      <c r="I653">
        <f>IF(ISNUMBER(SEARCH("소계",B653)),COUNTIF($B$2:B653,"*소계*"),"")</f>
        <v/>
      </c>
      <c r="J653">
        <f>IF(F653="",0,1)</f>
        <v/>
      </c>
    </row>
    <row r="654">
      <c r="A654" s="41" t="n"/>
      <c r="B654" s="41" t="n"/>
      <c r="C654" s="24" t="n"/>
      <c r="D654" s="41" t="n"/>
      <c r="E654" s="41" t="n"/>
      <c r="F654" s="19">
        <f>IF(COUNTA(A654:E654)=0,"",IF(OR(ISNUMBER(SEARCH("소계",B654)),ISNUMBER(SEARCH("합계",B654))),"",TRIM(IF(B654="","이름 없음 ","")&amp;IF(A654="","받은 가족 없음 ","")&amp;IF(C654="","금액 없음 ",IF(ISNUMBER(C654),IF(C654&lt;1000,"금액 확인 ",""),"금액 확인 "))&amp;IF(AND(B654&lt;&gt;"",COUNTIFS($A$2:$A$1001,A654,$B$2:$B$1001,B654,$C$2:$C$1001,C654)&gt;1),"중복 의심",""))))</f>
        <v/>
      </c>
      <c r="G654" s="25">
        <f>IF(OR(COUNTA(A654:E654)=0,OR(ISNUMBER(SEARCH("소계",B654)),ISNUMBER(SEARCH("합계",B654)))),"",1+COUNTIF($B$1:B653,"*소계*"))</f>
        <v/>
      </c>
      <c r="H654">
        <f>IF(AND(A654&lt;&gt;"",A654=가족별!$B$1,G654&lt;&gt;""),COUNTIFS($A$2:A654,가족별!$B$1,$G$2:G654,"&gt;0"),"")</f>
        <v/>
      </c>
      <c r="I654">
        <f>IF(ISNUMBER(SEARCH("소계",B654)),COUNTIF($B$2:B654,"*소계*"),"")</f>
        <v/>
      </c>
      <c r="J654">
        <f>IF(F654="",0,1)</f>
        <v/>
      </c>
    </row>
    <row r="655">
      <c r="A655" s="41" t="n"/>
      <c r="B655" s="41" t="n"/>
      <c r="C655" s="24" t="n"/>
      <c r="D655" s="41" t="n"/>
      <c r="E655" s="41" t="n"/>
      <c r="F655" s="19">
        <f>IF(COUNTA(A655:E655)=0,"",IF(OR(ISNUMBER(SEARCH("소계",B655)),ISNUMBER(SEARCH("합계",B655))),"",TRIM(IF(B655="","이름 없음 ","")&amp;IF(A655="","받은 가족 없음 ","")&amp;IF(C655="","금액 없음 ",IF(ISNUMBER(C655),IF(C655&lt;1000,"금액 확인 ",""),"금액 확인 "))&amp;IF(AND(B655&lt;&gt;"",COUNTIFS($A$2:$A$1001,A655,$B$2:$B$1001,B655,$C$2:$C$1001,C655)&gt;1),"중복 의심",""))))</f>
        <v/>
      </c>
      <c r="G655" s="25">
        <f>IF(OR(COUNTA(A655:E655)=0,OR(ISNUMBER(SEARCH("소계",B655)),ISNUMBER(SEARCH("합계",B655)))),"",1+COUNTIF($B$1:B654,"*소계*"))</f>
        <v/>
      </c>
      <c r="H655">
        <f>IF(AND(A655&lt;&gt;"",A655=가족별!$B$1,G655&lt;&gt;""),COUNTIFS($A$2:A655,가족별!$B$1,$G$2:G655,"&gt;0"),"")</f>
        <v/>
      </c>
      <c r="I655">
        <f>IF(ISNUMBER(SEARCH("소계",B655)),COUNTIF($B$2:B655,"*소계*"),"")</f>
        <v/>
      </c>
      <c r="J655">
        <f>IF(F655="",0,1)</f>
        <v/>
      </c>
    </row>
    <row r="656">
      <c r="A656" s="41" t="n"/>
      <c r="B656" s="41" t="n"/>
      <c r="C656" s="24" t="n"/>
      <c r="D656" s="41" t="n"/>
      <c r="E656" s="41" t="n"/>
      <c r="F656" s="19">
        <f>IF(COUNTA(A656:E656)=0,"",IF(OR(ISNUMBER(SEARCH("소계",B656)),ISNUMBER(SEARCH("합계",B656))),"",TRIM(IF(B656="","이름 없음 ","")&amp;IF(A656="","받은 가족 없음 ","")&amp;IF(C656="","금액 없음 ",IF(ISNUMBER(C656),IF(C656&lt;1000,"금액 확인 ",""),"금액 확인 "))&amp;IF(AND(B656&lt;&gt;"",COUNTIFS($A$2:$A$1001,A656,$B$2:$B$1001,B656,$C$2:$C$1001,C656)&gt;1),"중복 의심",""))))</f>
        <v/>
      </c>
      <c r="G656" s="25">
        <f>IF(OR(COUNTA(A656:E656)=0,OR(ISNUMBER(SEARCH("소계",B656)),ISNUMBER(SEARCH("합계",B656)))),"",1+COUNTIF($B$1:B655,"*소계*"))</f>
        <v/>
      </c>
      <c r="H656">
        <f>IF(AND(A656&lt;&gt;"",A656=가족별!$B$1,G656&lt;&gt;""),COUNTIFS($A$2:A656,가족별!$B$1,$G$2:G656,"&gt;0"),"")</f>
        <v/>
      </c>
      <c r="I656">
        <f>IF(ISNUMBER(SEARCH("소계",B656)),COUNTIF($B$2:B656,"*소계*"),"")</f>
        <v/>
      </c>
      <c r="J656">
        <f>IF(F656="",0,1)</f>
        <v/>
      </c>
    </row>
    <row r="657">
      <c r="A657" s="41" t="n"/>
      <c r="B657" s="41" t="n"/>
      <c r="C657" s="24" t="n"/>
      <c r="D657" s="41" t="n"/>
      <c r="E657" s="41" t="n"/>
      <c r="F657" s="19">
        <f>IF(COUNTA(A657:E657)=0,"",IF(OR(ISNUMBER(SEARCH("소계",B657)),ISNUMBER(SEARCH("합계",B657))),"",TRIM(IF(B657="","이름 없음 ","")&amp;IF(A657="","받은 가족 없음 ","")&amp;IF(C657="","금액 없음 ",IF(ISNUMBER(C657),IF(C657&lt;1000,"금액 확인 ",""),"금액 확인 "))&amp;IF(AND(B657&lt;&gt;"",COUNTIFS($A$2:$A$1001,A657,$B$2:$B$1001,B657,$C$2:$C$1001,C657)&gt;1),"중복 의심",""))))</f>
        <v/>
      </c>
      <c r="G657" s="25">
        <f>IF(OR(COUNTA(A657:E657)=0,OR(ISNUMBER(SEARCH("소계",B657)),ISNUMBER(SEARCH("합계",B657)))),"",1+COUNTIF($B$1:B656,"*소계*"))</f>
        <v/>
      </c>
      <c r="H657">
        <f>IF(AND(A657&lt;&gt;"",A657=가족별!$B$1,G657&lt;&gt;""),COUNTIFS($A$2:A657,가족별!$B$1,$G$2:G657,"&gt;0"),"")</f>
        <v/>
      </c>
      <c r="I657">
        <f>IF(ISNUMBER(SEARCH("소계",B657)),COUNTIF($B$2:B657,"*소계*"),"")</f>
        <v/>
      </c>
      <c r="J657">
        <f>IF(F657="",0,1)</f>
        <v/>
      </c>
    </row>
    <row r="658">
      <c r="A658" s="41" t="n"/>
      <c r="B658" s="41" t="n"/>
      <c r="C658" s="24" t="n"/>
      <c r="D658" s="41" t="n"/>
      <c r="E658" s="41" t="n"/>
      <c r="F658" s="19">
        <f>IF(COUNTA(A658:E658)=0,"",IF(OR(ISNUMBER(SEARCH("소계",B658)),ISNUMBER(SEARCH("합계",B658))),"",TRIM(IF(B658="","이름 없음 ","")&amp;IF(A658="","받은 가족 없음 ","")&amp;IF(C658="","금액 없음 ",IF(ISNUMBER(C658),IF(C658&lt;1000,"금액 확인 ",""),"금액 확인 "))&amp;IF(AND(B658&lt;&gt;"",COUNTIFS($A$2:$A$1001,A658,$B$2:$B$1001,B658,$C$2:$C$1001,C658)&gt;1),"중복 의심",""))))</f>
        <v/>
      </c>
      <c r="G658" s="25">
        <f>IF(OR(COUNTA(A658:E658)=0,OR(ISNUMBER(SEARCH("소계",B658)),ISNUMBER(SEARCH("합계",B658)))),"",1+COUNTIF($B$1:B657,"*소계*"))</f>
        <v/>
      </c>
      <c r="H658">
        <f>IF(AND(A658&lt;&gt;"",A658=가족별!$B$1,G658&lt;&gt;""),COUNTIFS($A$2:A658,가족별!$B$1,$G$2:G658,"&gt;0"),"")</f>
        <v/>
      </c>
      <c r="I658">
        <f>IF(ISNUMBER(SEARCH("소계",B658)),COUNTIF($B$2:B658,"*소계*"),"")</f>
        <v/>
      </c>
      <c r="J658">
        <f>IF(F658="",0,1)</f>
        <v/>
      </c>
    </row>
    <row r="659">
      <c r="A659" s="41" t="n"/>
      <c r="B659" s="41" t="n"/>
      <c r="C659" s="24" t="n"/>
      <c r="D659" s="41" t="n"/>
      <c r="E659" s="41" t="n"/>
      <c r="F659" s="19">
        <f>IF(COUNTA(A659:E659)=0,"",IF(OR(ISNUMBER(SEARCH("소계",B659)),ISNUMBER(SEARCH("합계",B659))),"",TRIM(IF(B659="","이름 없음 ","")&amp;IF(A659="","받은 가족 없음 ","")&amp;IF(C659="","금액 없음 ",IF(ISNUMBER(C659),IF(C659&lt;1000,"금액 확인 ",""),"금액 확인 "))&amp;IF(AND(B659&lt;&gt;"",COUNTIFS($A$2:$A$1001,A659,$B$2:$B$1001,B659,$C$2:$C$1001,C659)&gt;1),"중복 의심",""))))</f>
        <v/>
      </c>
      <c r="G659" s="25">
        <f>IF(OR(COUNTA(A659:E659)=0,OR(ISNUMBER(SEARCH("소계",B659)),ISNUMBER(SEARCH("합계",B659)))),"",1+COUNTIF($B$1:B658,"*소계*"))</f>
        <v/>
      </c>
      <c r="H659">
        <f>IF(AND(A659&lt;&gt;"",A659=가족별!$B$1,G659&lt;&gt;""),COUNTIFS($A$2:A659,가족별!$B$1,$G$2:G659,"&gt;0"),"")</f>
        <v/>
      </c>
      <c r="I659">
        <f>IF(ISNUMBER(SEARCH("소계",B659)),COUNTIF($B$2:B659,"*소계*"),"")</f>
        <v/>
      </c>
      <c r="J659">
        <f>IF(F659="",0,1)</f>
        <v/>
      </c>
    </row>
    <row r="660">
      <c r="A660" s="41" t="n"/>
      <c r="B660" s="41" t="n"/>
      <c r="C660" s="24" t="n"/>
      <c r="D660" s="41" t="n"/>
      <c r="E660" s="41" t="n"/>
      <c r="F660" s="19">
        <f>IF(COUNTA(A660:E660)=0,"",IF(OR(ISNUMBER(SEARCH("소계",B660)),ISNUMBER(SEARCH("합계",B660))),"",TRIM(IF(B660="","이름 없음 ","")&amp;IF(A660="","받은 가족 없음 ","")&amp;IF(C660="","금액 없음 ",IF(ISNUMBER(C660),IF(C660&lt;1000,"금액 확인 ",""),"금액 확인 "))&amp;IF(AND(B660&lt;&gt;"",COUNTIFS($A$2:$A$1001,A660,$B$2:$B$1001,B660,$C$2:$C$1001,C660)&gt;1),"중복 의심",""))))</f>
        <v/>
      </c>
      <c r="G660" s="25">
        <f>IF(OR(COUNTA(A660:E660)=0,OR(ISNUMBER(SEARCH("소계",B660)),ISNUMBER(SEARCH("합계",B660)))),"",1+COUNTIF($B$1:B659,"*소계*"))</f>
        <v/>
      </c>
      <c r="H660">
        <f>IF(AND(A660&lt;&gt;"",A660=가족별!$B$1,G660&lt;&gt;""),COUNTIFS($A$2:A660,가족별!$B$1,$G$2:G660,"&gt;0"),"")</f>
        <v/>
      </c>
      <c r="I660">
        <f>IF(ISNUMBER(SEARCH("소계",B660)),COUNTIF($B$2:B660,"*소계*"),"")</f>
        <v/>
      </c>
      <c r="J660">
        <f>IF(F660="",0,1)</f>
        <v/>
      </c>
    </row>
    <row r="661">
      <c r="A661" s="41" t="n"/>
      <c r="B661" s="41" t="n"/>
      <c r="C661" s="24" t="n"/>
      <c r="D661" s="41" t="n"/>
      <c r="E661" s="41" t="n"/>
      <c r="F661" s="19">
        <f>IF(COUNTA(A661:E661)=0,"",IF(OR(ISNUMBER(SEARCH("소계",B661)),ISNUMBER(SEARCH("합계",B661))),"",TRIM(IF(B661="","이름 없음 ","")&amp;IF(A661="","받은 가족 없음 ","")&amp;IF(C661="","금액 없음 ",IF(ISNUMBER(C661),IF(C661&lt;1000,"금액 확인 ",""),"금액 확인 "))&amp;IF(AND(B661&lt;&gt;"",COUNTIFS($A$2:$A$1001,A661,$B$2:$B$1001,B661,$C$2:$C$1001,C661)&gt;1),"중복 의심",""))))</f>
        <v/>
      </c>
      <c r="G661" s="25">
        <f>IF(OR(COUNTA(A661:E661)=0,OR(ISNUMBER(SEARCH("소계",B661)),ISNUMBER(SEARCH("합계",B661)))),"",1+COUNTIF($B$1:B660,"*소계*"))</f>
        <v/>
      </c>
      <c r="H661">
        <f>IF(AND(A661&lt;&gt;"",A661=가족별!$B$1,G661&lt;&gt;""),COUNTIFS($A$2:A661,가족별!$B$1,$G$2:G661,"&gt;0"),"")</f>
        <v/>
      </c>
      <c r="I661">
        <f>IF(ISNUMBER(SEARCH("소계",B661)),COUNTIF($B$2:B661,"*소계*"),"")</f>
        <v/>
      </c>
      <c r="J661">
        <f>IF(F661="",0,1)</f>
        <v/>
      </c>
    </row>
    <row r="662">
      <c r="A662" s="41" t="n"/>
      <c r="B662" s="41" t="n"/>
      <c r="C662" s="24" t="n"/>
      <c r="D662" s="41" t="n"/>
      <c r="E662" s="41" t="n"/>
      <c r="F662" s="19">
        <f>IF(COUNTA(A662:E662)=0,"",IF(OR(ISNUMBER(SEARCH("소계",B662)),ISNUMBER(SEARCH("합계",B662))),"",TRIM(IF(B662="","이름 없음 ","")&amp;IF(A662="","받은 가족 없음 ","")&amp;IF(C662="","금액 없음 ",IF(ISNUMBER(C662),IF(C662&lt;1000,"금액 확인 ",""),"금액 확인 "))&amp;IF(AND(B662&lt;&gt;"",COUNTIFS($A$2:$A$1001,A662,$B$2:$B$1001,B662,$C$2:$C$1001,C662)&gt;1),"중복 의심",""))))</f>
        <v/>
      </c>
      <c r="G662" s="25">
        <f>IF(OR(COUNTA(A662:E662)=0,OR(ISNUMBER(SEARCH("소계",B662)),ISNUMBER(SEARCH("합계",B662)))),"",1+COUNTIF($B$1:B661,"*소계*"))</f>
        <v/>
      </c>
      <c r="H662">
        <f>IF(AND(A662&lt;&gt;"",A662=가족별!$B$1,G662&lt;&gt;""),COUNTIFS($A$2:A662,가족별!$B$1,$G$2:G662,"&gt;0"),"")</f>
        <v/>
      </c>
      <c r="I662">
        <f>IF(ISNUMBER(SEARCH("소계",B662)),COUNTIF($B$2:B662,"*소계*"),"")</f>
        <v/>
      </c>
      <c r="J662">
        <f>IF(F662="",0,1)</f>
        <v/>
      </c>
    </row>
    <row r="663">
      <c r="A663" s="41" t="n"/>
      <c r="B663" s="41" t="n"/>
      <c r="C663" s="24" t="n"/>
      <c r="D663" s="41" t="n"/>
      <c r="E663" s="41" t="n"/>
      <c r="F663" s="19">
        <f>IF(COUNTA(A663:E663)=0,"",IF(OR(ISNUMBER(SEARCH("소계",B663)),ISNUMBER(SEARCH("합계",B663))),"",TRIM(IF(B663="","이름 없음 ","")&amp;IF(A663="","받은 가족 없음 ","")&amp;IF(C663="","금액 없음 ",IF(ISNUMBER(C663),IF(C663&lt;1000,"금액 확인 ",""),"금액 확인 "))&amp;IF(AND(B663&lt;&gt;"",COUNTIFS($A$2:$A$1001,A663,$B$2:$B$1001,B663,$C$2:$C$1001,C663)&gt;1),"중복 의심",""))))</f>
        <v/>
      </c>
      <c r="G663" s="25">
        <f>IF(OR(COUNTA(A663:E663)=0,OR(ISNUMBER(SEARCH("소계",B663)),ISNUMBER(SEARCH("합계",B663)))),"",1+COUNTIF($B$1:B662,"*소계*"))</f>
        <v/>
      </c>
      <c r="H663">
        <f>IF(AND(A663&lt;&gt;"",A663=가족별!$B$1,G663&lt;&gt;""),COUNTIFS($A$2:A663,가족별!$B$1,$G$2:G663,"&gt;0"),"")</f>
        <v/>
      </c>
      <c r="I663">
        <f>IF(ISNUMBER(SEARCH("소계",B663)),COUNTIF($B$2:B663,"*소계*"),"")</f>
        <v/>
      </c>
      <c r="J663">
        <f>IF(F663="",0,1)</f>
        <v/>
      </c>
    </row>
    <row r="664">
      <c r="A664" s="41" t="n"/>
      <c r="B664" s="41" t="n"/>
      <c r="C664" s="24" t="n"/>
      <c r="D664" s="41" t="n"/>
      <c r="E664" s="41" t="n"/>
      <c r="F664" s="19">
        <f>IF(COUNTA(A664:E664)=0,"",IF(OR(ISNUMBER(SEARCH("소계",B664)),ISNUMBER(SEARCH("합계",B664))),"",TRIM(IF(B664="","이름 없음 ","")&amp;IF(A664="","받은 가족 없음 ","")&amp;IF(C664="","금액 없음 ",IF(ISNUMBER(C664),IF(C664&lt;1000,"금액 확인 ",""),"금액 확인 "))&amp;IF(AND(B664&lt;&gt;"",COUNTIFS($A$2:$A$1001,A664,$B$2:$B$1001,B664,$C$2:$C$1001,C664)&gt;1),"중복 의심",""))))</f>
        <v/>
      </c>
      <c r="G664" s="25">
        <f>IF(OR(COUNTA(A664:E664)=0,OR(ISNUMBER(SEARCH("소계",B664)),ISNUMBER(SEARCH("합계",B664)))),"",1+COUNTIF($B$1:B663,"*소계*"))</f>
        <v/>
      </c>
      <c r="H664">
        <f>IF(AND(A664&lt;&gt;"",A664=가족별!$B$1,G664&lt;&gt;""),COUNTIFS($A$2:A664,가족별!$B$1,$G$2:G664,"&gt;0"),"")</f>
        <v/>
      </c>
      <c r="I664">
        <f>IF(ISNUMBER(SEARCH("소계",B664)),COUNTIF($B$2:B664,"*소계*"),"")</f>
        <v/>
      </c>
      <c r="J664">
        <f>IF(F664="",0,1)</f>
        <v/>
      </c>
    </row>
    <row r="665">
      <c r="A665" s="41" t="n"/>
      <c r="B665" s="41" t="n"/>
      <c r="C665" s="24" t="n"/>
      <c r="D665" s="41" t="n"/>
      <c r="E665" s="41" t="n"/>
      <c r="F665" s="19">
        <f>IF(COUNTA(A665:E665)=0,"",IF(OR(ISNUMBER(SEARCH("소계",B665)),ISNUMBER(SEARCH("합계",B665))),"",TRIM(IF(B665="","이름 없음 ","")&amp;IF(A665="","받은 가족 없음 ","")&amp;IF(C665="","금액 없음 ",IF(ISNUMBER(C665),IF(C665&lt;1000,"금액 확인 ",""),"금액 확인 "))&amp;IF(AND(B665&lt;&gt;"",COUNTIFS($A$2:$A$1001,A665,$B$2:$B$1001,B665,$C$2:$C$1001,C665)&gt;1),"중복 의심",""))))</f>
        <v/>
      </c>
      <c r="G665" s="25">
        <f>IF(OR(COUNTA(A665:E665)=0,OR(ISNUMBER(SEARCH("소계",B665)),ISNUMBER(SEARCH("합계",B665)))),"",1+COUNTIF($B$1:B664,"*소계*"))</f>
        <v/>
      </c>
      <c r="H665">
        <f>IF(AND(A665&lt;&gt;"",A665=가족별!$B$1,G665&lt;&gt;""),COUNTIFS($A$2:A665,가족별!$B$1,$G$2:G665,"&gt;0"),"")</f>
        <v/>
      </c>
      <c r="I665">
        <f>IF(ISNUMBER(SEARCH("소계",B665)),COUNTIF($B$2:B665,"*소계*"),"")</f>
        <v/>
      </c>
      <c r="J665">
        <f>IF(F665="",0,1)</f>
        <v/>
      </c>
    </row>
    <row r="666">
      <c r="A666" s="41" t="n"/>
      <c r="B666" s="41" t="n"/>
      <c r="C666" s="24" t="n"/>
      <c r="D666" s="41" t="n"/>
      <c r="E666" s="41" t="n"/>
      <c r="F666" s="19">
        <f>IF(COUNTA(A666:E666)=0,"",IF(OR(ISNUMBER(SEARCH("소계",B666)),ISNUMBER(SEARCH("합계",B666))),"",TRIM(IF(B666="","이름 없음 ","")&amp;IF(A666="","받은 가족 없음 ","")&amp;IF(C666="","금액 없음 ",IF(ISNUMBER(C666),IF(C666&lt;1000,"금액 확인 ",""),"금액 확인 "))&amp;IF(AND(B666&lt;&gt;"",COUNTIFS($A$2:$A$1001,A666,$B$2:$B$1001,B666,$C$2:$C$1001,C666)&gt;1),"중복 의심",""))))</f>
        <v/>
      </c>
      <c r="G666" s="25">
        <f>IF(OR(COUNTA(A666:E666)=0,OR(ISNUMBER(SEARCH("소계",B666)),ISNUMBER(SEARCH("합계",B666)))),"",1+COUNTIF($B$1:B665,"*소계*"))</f>
        <v/>
      </c>
      <c r="H666">
        <f>IF(AND(A666&lt;&gt;"",A666=가족별!$B$1,G666&lt;&gt;""),COUNTIFS($A$2:A666,가족별!$B$1,$G$2:G666,"&gt;0"),"")</f>
        <v/>
      </c>
      <c r="I666">
        <f>IF(ISNUMBER(SEARCH("소계",B666)),COUNTIF($B$2:B666,"*소계*"),"")</f>
        <v/>
      </c>
      <c r="J666">
        <f>IF(F666="",0,1)</f>
        <v/>
      </c>
    </row>
    <row r="667">
      <c r="A667" s="41" t="n"/>
      <c r="B667" s="41" t="n"/>
      <c r="C667" s="24" t="n"/>
      <c r="D667" s="41" t="n"/>
      <c r="E667" s="41" t="n"/>
      <c r="F667" s="19">
        <f>IF(COUNTA(A667:E667)=0,"",IF(OR(ISNUMBER(SEARCH("소계",B667)),ISNUMBER(SEARCH("합계",B667))),"",TRIM(IF(B667="","이름 없음 ","")&amp;IF(A667="","받은 가족 없음 ","")&amp;IF(C667="","금액 없음 ",IF(ISNUMBER(C667),IF(C667&lt;1000,"금액 확인 ",""),"금액 확인 "))&amp;IF(AND(B667&lt;&gt;"",COUNTIFS($A$2:$A$1001,A667,$B$2:$B$1001,B667,$C$2:$C$1001,C667)&gt;1),"중복 의심",""))))</f>
        <v/>
      </c>
      <c r="G667" s="25">
        <f>IF(OR(COUNTA(A667:E667)=0,OR(ISNUMBER(SEARCH("소계",B667)),ISNUMBER(SEARCH("합계",B667)))),"",1+COUNTIF($B$1:B666,"*소계*"))</f>
        <v/>
      </c>
      <c r="H667">
        <f>IF(AND(A667&lt;&gt;"",A667=가족별!$B$1,G667&lt;&gt;""),COUNTIFS($A$2:A667,가족별!$B$1,$G$2:G667,"&gt;0"),"")</f>
        <v/>
      </c>
      <c r="I667">
        <f>IF(ISNUMBER(SEARCH("소계",B667)),COUNTIF($B$2:B667,"*소계*"),"")</f>
        <v/>
      </c>
      <c r="J667">
        <f>IF(F667="",0,1)</f>
        <v/>
      </c>
    </row>
    <row r="668">
      <c r="A668" s="41" t="n"/>
      <c r="B668" s="41" t="n"/>
      <c r="C668" s="24" t="n"/>
      <c r="D668" s="41" t="n"/>
      <c r="E668" s="41" t="n"/>
      <c r="F668" s="19">
        <f>IF(COUNTA(A668:E668)=0,"",IF(OR(ISNUMBER(SEARCH("소계",B668)),ISNUMBER(SEARCH("합계",B668))),"",TRIM(IF(B668="","이름 없음 ","")&amp;IF(A668="","받은 가족 없음 ","")&amp;IF(C668="","금액 없음 ",IF(ISNUMBER(C668),IF(C668&lt;1000,"금액 확인 ",""),"금액 확인 "))&amp;IF(AND(B668&lt;&gt;"",COUNTIFS($A$2:$A$1001,A668,$B$2:$B$1001,B668,$C$2:$C$1001,C668)&gt;1),"중복 의심",""))))</f>
        <v/>
      </c>
      <c r="G668" s="25">
        <f>IF(OR(COUNTA(A668:E668)=0,OR(ISNUMBER(SEARCH("소계",B668)),ISNUMBER(SEARCH("합계",B668)))),"",1+COUNTIF($B$1:B667,"*소계*"))</f>
        <v/>
      </c>
      <c r="H668">
        <f>IF(AND(A668&lt;&gt;"",A668=가족별!$B$1,G668&lt;&gt;""),COUNTIFS($A$2:A668,가족별!$B$1,$G$2:G668,"&gt;0"),"")</f>
        <v/>
      </c>
      <c r="I668">
        <f>IF(ISNUMBER(SEARCH("소계",B668)),COUNTIF($B$2:B668,"*소계*"),"")</f>
        <v/>
      </c>
      <c r="J668">
        <f>IF(F668="",0,1)</f>
        <v/>
      </c>
    </row>
    <row r="669">
      <c r="A669" s="41" t="n"/>
      <c r="B669" s="41" t="n"/>
      <c r="C669" s="24" t="n"/>
      <c r="D669" s="41" t="n"/>
      <c r="E669" s="41" t="n"/>
      <c r="F669" s="19">
        <f>IF(COUNTA(A669:E669)=0,"",IF(OR(ISNUMBER(SEARCH("소계",B669)),ISNUMBER(SEARCH("합계",B669))),"",TRIM(IF(B669="","이름 없음 ","")&amp;IF(A669="","받은 가족 없음 ","")&amp;IF(C669="","금액 없음 ",IF(ISNUMBER(C669),IF(C669&lt;1000,"금액 확인 ",""),"금액 확인 "))&amp;IF(AND(B669&lt;&gt;"",COUNTIFS($A$2:$A$1001,A669,$B$2:$B$1001,B669,$C$2:$C$1001,C669)&gt;1),"중복 의심",""))))</f>
        <v/>
      </c>
      <c r="G669" s="25">
        <f>IF(OR(COUNTA(A669:E669)=0,OR(ISNUMBER(SEARCH("소계",B669)),ISNUMBER(SEARCH("합계",B669)))),"",1+COUNTIF($B$1:B668,"*소계*"))</f>
        <v/>
      </c>
      <c r="H669">
        <f>IF(AND(A669&lt;&gt;"",A669=가족별!$B$1,G669&lt;&gt;""),COUNTIFS($A$2:A669,가족별!$B$1,$G$2:G669,"&gt;0"),"")</f>
        <v/>
      </c>
      <c r="I669">
        <f>IF(ISNUMBER(SEARCH("소계",B669)),COUNTIF($B$2:B669,"*소계*"),"")</f>
        <v/>
      </c>
      <c r="J669">
        <f>IF(F669="",0,1)</f>
        <v/>
      </c>
    </row>
    <row r="670">
      <c r="A670" s="41" t="n"/>
      <c r="B670" s="41" t="n"/>
      <c r="C670" s="24" t="n"/>
      <c r="D670" s="41" t="n"/>
      <c r="E670" s="41" t="n"/>
      <c r="F670" s="19">
        <f>IF(COUNTA(A670:E670)=0,"",IF(OR(ISNUMBER(SEARCH("소계",B670)),ISNUMBER(SEARCH("합계",B670))),"",TRIM(IF(B670="","이름 없음 ","")&amp;IF(A670="","받은 가족 없음 ","")&amp;IF(C670="","금액 없음 ",IF(ISNUMBER(C670),IF(C670&lt;1000,"금액 확인 ",""),"금액 확인 "))&amp;IF(AND(B670&lt;&gt;"",COUNTIFS($A$2:$A$1001,A670,$B$2:$B$1001,B670,$C$2:$C$1001,C670)&gt;1),"중복 의심",""))))</f>
        <v/>
      </c>
      <c r="G670" s="25">
        <f>IF(OR(COUNTA(A670:E670)=0,OR(ISNUMBER(SEARCH("소계",B670)),ISNUMBER(SEARCH("합계",B670)))),"",1+COUNTIF($B$1:B669,"*소계*"))</f>
        <v/>
      </c>
      <c r="H670">
        <f>IF(AND(A670&lt;&gt;"",A670=가족별!$B$1,G670&lt;&gt;""),COUNTIFS($A$2:A670,가족별!$B$1,$G$2:G670,"&gt;0"),"")</f>
        <v/>
      </c>
      <c r="I670">
        <f>IF(ISNUMBER(SEARCH("소계",B670)),COUNTIF($B$2:B670,"*소계*"),"")</f>
        <v/>
      </c>
      <c r="J670">
        <f>IF(F670="",0,1)</f>
        <v/>
      </c>
    </row>
    <row r="671">
      <c r="A671" s="41" t="n"/>
      <c r="B671" s="41" t="n"/>
      <c r="C671" s="24" t="n"/>
      <c r="D671" s="41" t="n"/>
      <c r="E671" s="41" t="n"/>
      <c r="F671" s="19">
        <f>IF(COUNTA(A671:E671)=0,"",IF(OR(ISNUMBER(SEARCH("소계",B671)),ISNUMBER(SEARCH("합계",B671))),"",TRIM(IF(B671="","이름 없음 ","")&amp;IF(A671="","받은 가족 없음 ","")&amp;IF(C671="","금액 없음 ",IF(ISNUMBER(C671),IF(C671&lt;1000,"금액 확인 ",""),"금액 확인 "))&amp;IF(AND(B671&lt;&gt;"",COUNTIFS($A$2:$A$1001,A671,$B$2:$B$1001,B671,$C$2:$C$1001,C671)&gt;1),"중복 의심",""))))</f>
        <v/>
      </c>
      <c r="G671" s="25">
        <f>IF(OR(COUNTA(A671:E671)=0,OR(ISNUMBER(SEARCH("소계",B671)),ISNUMBER(SEARCH("합계",B671)))),"",1+COUNTIF($B$1:B670,"*소계*"))</f>
        <v/>
      </c>
      <c r="H671">
        <f>IF(AND(A671&lt;&gt;"",A671=가족별!$B$1,G671&lt;&gt;""),COUNTIFS($A$2:A671,가족별!$B$1,$G$2:G671,"&gt;0"),"")</f>
        <v/>
      </c>
      <c r="I671">
        <f>IF(ISNUMBER(SEARCH("소계",B671)),COUNTIF($B$2:B671,"*소계*"),"")</f>
        <v/>
      </c>
      <c r="J671">
        <f>IF(F671="",0,1)</f>
        <v/>
      </c>
    </row>
    <row r="672">
      <c r="A672" s="41" t="n"/>
      <c r="B672" s="41" t="n"/>
      <c r="C672" s="24" t="n"/>
      <c r="D672" s="41" t="n"/>
      <c r="E672" s="41" t="n"/>
      <c r="F672" s="19">
        <f>IF(COUNTA(A672:E672)=0,"",IF(OR(ISNUMBER(SEARCH("소계",B672)),ISNUMBER(SEARCH("합계",B672))),"",TRIM(IF(B672="","이름 없음 ","")&amp;IF(A672="","받은 가족 없음 ","")&amp;IF(C672="","금액 없음 ",IF(ISNUMBER(C672),IF(C672&lt;1000,"금액 확인 ",""),"금액 확인 "))&amp;IF(AND(B672&lt;&gt;"",COUNTIFS($A$2:$A$1001,A672,$B$2:$B$1001,B672,$C$2:$C$1001,C672)&gt;1),"중복 의심",""))))</f>
        <v/>
      </c>
      <c r="G672" s="25">
        <f>IF(OR(COUNTA(A672:E672)=0,OR(ISNUMBER(SEARCH("소계",B672)),ISNUMBER(SEARCH("합계",B672)))),"",1+COUNTIF($B$1:B671,"*소계*"))</f>
        <v/>
      </c>
      <c r="H672">
        <f>IF(AND(A672&lt;&gt;"",A672=가족별!$B$1,G672&lt;&gt;""),COUNTIFS($A$2:A672,가족별!$B$1,$G$2:G672,"&gt;0"),"")</f>
        <v/>
      </c>
      <c r="I672">
        <f>IF(ISNUMBER(SEARCH("소계",B672)),COUNTIF($B$2:B672,"*소계*"),"")</f>
        <v/>
      </c>
      <c r="J672">
        <f>IF(F672="",0,1)</f>
        <v/>
      </c>
    </row>
    <row r="673">
      <c r="A673" s="41" t="n"/>
      <c r="B673" s="41" t="n"/>
      <c r="C673" s="24" t="n"/>
      <c r="D673" s="41" t="n"/>
      <c r="E673" s="41" t="n"/>
      <c r="F673" s="19">
        <f>IF(COUNTA(A673:E673)=0,"",IF(OR(ISNUMBER(SEARCH("소계",B673)),ISNUMBER(SEARCH("합계",B673))),"",TRIM(IF(B673="","이름 없음 ","")&amp;IF(A673="","받은 가족 없음 ","")&amp;IF(C673="","금액 없음 ",IF(ISNUMBER(C673),IF(C673&lt;1000,"금액 확인 ",""),"금액 확인 "))&amp;IF(AND(B673&lt;&gt;"",COUNTIFS($A$2:$A$1001,A673,$B$2:$B$1001,B673,$C$2:$C$1001,C673)&gt;1),"중복 의심",""))))</f>
        <v/>
      </c>
      <c r="G673" s="25">
        <f>IF(OR(COUNTA(A673:E673)=0,OR(ISNUMBER(SEARCH("소계",B673)),ISNUMBER(SEARCH("합계",B673)))),"",1+COUNTIF($B$1:B672,"*소계*"))</f>
        <v/>
      </c>
      <c r="H673">
        <f>IF(AND(A673&lt;&gt;"",A673=가족별!$B$1,G673&lt;&gt;""),COUNTIFS($A$2:A673,가족별!$B$1,$G$2:G673,"&gt;0"),"")</f>
        <v/>
      </c>
      <c r="I673">
        <f>IF(ISNUMBER(SEARCH("소계",B673)),COUNTIF($B$2:B673,"*소계*"),"")</f>
        <v/>
      </c>
      <c r="J673">
        <f>IF(F673="",0,1)</f>
        <v/>
      </c>
    </row>
    <row r="674">
      <c r="A674" s="41" t="n"/>
      <c r="B674" s="41" t="n"/>
      <c r="C674" s="24" t="n"/>
      <c r="D674" s="41" t="n"/>
      <c r="E674" s="41" t="n"/>
      <c r="F674" s="19">
        <f>IF(COUNTA(A674:E674)=0,"",IF(OR(ISNUMBER(SEARCH("소계",B674)),ISNUMBER(SEARCH("합계",B674))),"",TRIM(IF(B674="","이름 없음 ","")&amp;IF(A674="","받은 가족 없음 ","")&amp;IF(C674="","금액 없음 ",IF(ISNUMBER(C674),IF(C674&lt;1000,"금액 확인 ",""),"금액 확인 "))&amp;IF(AND(B674&lt;&gt;"",COUNTIFS($A$2:$A$1001,A674,$B$2:$B$1001,B674,$C$2:$C$1001,C674)&gt;1),"중복 의심",""))))</f>
        <v/>
      </c>
      <c r="G674" s="25">
        <f>IF(OR(COUNTA(A674:E674)=0,OR(ISNUMBER(SEARCH("소계",B674)),ISNUMBER(SEARCH("합계",B674)))),"",1+COUNTIF($B$1:B673,"*소계*"))</f>
        <v/>
      </c>
      <c r="H674">
        <f>IF(AND(A674&lt;&gt;"",A674=가족별!$B$1,G674&lt;&gt;""),COUNTIFS($A$2:A674,가족별!$B$1,$G$2:G674,"&gt;0"),"")</f>
        <v/>
      </c>
      <c r="I674">
        <f>IF(ISNUMBER(SEARCH("소계",B674)),COUNTIF($B$2:B674,"*소계*"),"")</f>
        <v/>
      </c>
      <c r="J674">
        <f>IF(F674="",0,1)</f>
        <v/>
      </c>
    </row>
    <row r="675">
      <c r="A675" s="41" t="n"/>
      <c r="B675" s="41" t="n"/>
      <c r="C675" s="24" t="n"/>
      <c r="D675" s="41" t="n"/>
      <c r="E675" s="41" t="n"/>
      <c r="F675" s="19">
        <f>IF(COUNTA(A675:E675)=0,"",IF(OR(ISNUMBER(SEARCH("소계",B675)),ISNUMBER(SEARCH("합계",B675))),"",TRIM(IF(B675="","이름 없음 ","")&amp;IF(A675="","받은 가족 없음 ","")&amp;IF(C675="","금액 없음 ",IF(ISNUMBER(C675),IF(C675&lt;1000,"금액 확인 ",""),"금액 확인 "))&amp;IF(AND(B675&lt;&gt;"",COUNTIFS($A$2:$A$1001,A675,$B$2:$B$1001,B675,$C$2:$C$1001,C675)&gt;1),"중복 의심",""))))</f>
        <v/>
      </c>
      <c r="G675" s="25">
        <f>IF(OR(COUNTA(A675:E675)=0,OR(ISNUMBER(SEARCH("소계",B675)),ISNUMBER(SEARCH("합계",B675)))),"",1+COUNTIF($B$1:B674,"*소계*"))</f>
        <v/>
      </c>
      <c r="H675">
        <f>IF(AND(A675&lt;&gt;"",A675=가족별!$B$1,G675&lt;&gt;""),COUNTIFS($A$2:A675,가족별!$B$1,$G$2:G675,"&gt;0"),"")</f>
        <v/>
      </c>
      <c r="I675">
        <f>IF(ISNUMBER(SEARCH("소계",B675)),COUNTIF($B$2:B675,"*소계*"),"")</f>
        <v/>
      </c>
      <c r="J675">
        <f>IF(F675="",0,1)</f>
        <v/>
      </c>
    </row>
    <row r="676">
      <c r="A676" s="41" t="n"/>
      <c r="B676" s="41" t="n"/>
      <c r="C676" s="24" t="n"/>
      <c r="D676" s="41" t="n"/>
      <c r="E676" s="41" t="n"/>
      <c r="F676" s="19">
        <f>IF(COUNTA(A676:E676)=0,"",IF(OR(ISNUMBER(SEARCH("소계",B676)),ISNUMBER(SEARCH("합계",B676))),"",TRIM(IF(B676="","이름 없음 ","")&amp;IF(A676="","받은 가족 없음 ","")&amp;IF(C676="","금액 없음 ",IF(ISNUMBER(C676),IF(C676&lt;1000,"금액 확인 ",""),"금액 확인 "))&amp;IF(AND(B676&lt;&gt;"",COUNTIFS($A$2:$A$1001,A676,$B$2:$B$1001,B676,$C$2:$C$1001,C676)&gt;1),"중복 의심",""))))</f>
        <v/>
      </c>
      <c r="G676" s="25">
        <f>IF(OR(COUNTA(A676:E676)=0,OR(ISNUMBER(SEARCH("소계",B676)),ISNUMBER(SEARCH("합계",B676)))),"",1+COUNTIF($B$1:B675,"*소계*"))</f>
        <v/>
      </c>
      <c r="H676">
        <f>IF(AND(A676&lt;&gt;"",A676=가족별!$B$1,G676&lt;&gt;""),COUNTIFS($A$2:A676,가족별!$B$1,$G$2:G676,"&gt;0"),"")</f>
        <v/>
      </c>
      <c r="I676">
        <f>IF(ISNUMBER(SEARCH("소계",B676)),COUNTIF($B$2:B676,"*소계*"),"")</f>
        <v/>
      </c>
      <c r="J676">
        <f>IF(F676="",0,1)</f>
        <v/>
      </c>
    </row>
    <row r="677">
      <c r="A677" s="41" t="n"/>
      <c r="B677" s="41" t="n"/>
      <c r="C677" s="24" t="n"/>
      <c r="D677" s="41" t="n"/>
      <c r="E677" s="41" t="n"/>
      <c r="F677" s="19">
        <f>IF(COUNTA(A677:E677)=0,"",IF(OR(ISNUMBER(SEARCH("소계",B677)),ISNUMBER(SEARCH("합계",B677))),"",TRIM(IF(B677="","이름 없음 ","")&amp;IF(A677="","받은 가족 없음 ","")&amp;IF(C677="","금액 없음 ",IF(ISNUMBER(C677),IF(C677&lt;1000,"금액 확인 ",""),"금액 확인 "))&amp;IF(AND(B677&lt;&gt;"",COUNTIFS($A$2:$A$1001,A677,$B$2:$B$1001,B677,$C$2:$C$1001,C677)&gt;1),"중복 의심",""))))</f>
        <v/>
      </c>
      <c r="G677" s="25">
        <f>IF(OR(COUNTA(A677:E677)=0,OR(ISNUMBER(SEARCH("소계",B677)),ISNUMBER(SEARCH("합계",B677)))),"",1+COUNTIF($B$1:B676,"*소계*"))</f>
        <v/>
      </c>
      <c r="H677">
        <f>IF(AND(A677&lt;&gt;"",A677=가족별!$B$1,G677&lt;&gt;""),COUNTIFS($A$2:A677,가족별!$B$1,$G$2:G677,"&gt;0"),"")</f>
        <v/>
      </c>
      <c r="I677">
        <f>IF(ISNUMBER(SEARCH("소계",B677)),COUNTIF($B$2:B677,"*소계*"),"")</f>
        <v/>
      </c>
      <c r="J677">
        <f>IF(F677="",0,1)</f>
        <v/>
      </c>
    </row>
    <row r="678">
      <c r="A678" s="41" t="n"/>
      <c r="B678" s="41" t="n"/>
      <c r="C678" s="24" t="n"/>
      <c r="D678" s="41" t="n"/>
      <c r="E678" s="41" t="n"/>
      <c r="F678" s="19">
        <f>IF(COUNTA(A678:E678)=0,"",IF(OR(ISNUMBER(SEARCH("소계",B678)),ISNUMBER(SEARCH("합계",B678))),"",TRIM(IF(B678="","이름 없음 ","")&amp;IF(A678="","받은 가족 없음 ","")&amp;IF(C678="","금액 없음 ",IF(ISNUMBER(C678),IF(C678&lt;1000,"금액 확인 ",""),"금액 확인 "))&amp;IF(AND(B678&lt;&gt;"",COUNTIFS($A$2:$A$1001,A678,$B$2:$B$1001,B678,$C$2:$C$1001,C678)&gt;1),"중복 의심",""))))</f>
        <v/>
      </c>
      <c r="G678" s="25">
        <f>IF(OR(COUNTA(A678:E678)=0,OR(ISNUMBER(SEARCH("소계",B678)),ISNUMBER(SEARCH("합계",B678)))),"",1+COUNTIF($B$1:B677,"*소계*"))</f>
        <v/>
      </c>
      <c r="H678">
        <f>IF(AND(A678&lt;&gt;"",A678=가족별!$B$1,G678&lt;&gt;""),COUNTIFS($A$2:A678,가족별!$B$1,$G$2:G678,"&gt;0"),"")</f>
        <v/>
      </c>
      <c r="I678">
        <f>IF(ISNUMBER(SEARCH("소계",B678)),COUNTIF($B$2:B678,"*소계*"),"")</f>
        <v/>
      </c>
      <c r="J678">
        <f>IF(F678="",0,1)</f>
        <v/>
      </c>
    </row>
    <row r="679">
      <c r="A679" s="41" t="n"/>
      <c r="B679" s="41" t="n"/>
      <c r="C679" s="24" t="n"/>
      <c r="D679" s="41" t="n"/>
      <c r="E679" s="41" t="n"/>
      <c r="F679" s="19">
        <f>IF(COUNTA(A679:E679)=0,"",IF(OR(ISNUMBER(SEARCH("소계",B679)),ISNUMBER(SEARCH("합계",B679))),"",TRIM(IF(B679="","이름 없음 ","")&amp;IF(A679="","받은 가족 없음 ","")&amp;IF(C679="","금액 없음 ",IF(ISNUMBER(C679),IF(C679&lt;1000,"금액 확인 ",""),"금액 확인 "))&amp;IF(AND(B679&lt;&gt;"",COUNTIFS($A$2:$A$1001,A679,$B$2:$B$1001,B679,$C$2:$C$1001,C679)&gt;1),"중복 의심",""))))</f>
        <v/>
      </c>
      <c r="G679" s="25">
        <f>IF(OR(COUNTA(A679:E679)=0,OR(ISNUMBER(SEARCH("소계",B679)),ISNUMBER(SEARCH("합계",B679)))),"",1+COUNTIF($B$1:B678,"*소계*"))</f>
        <v/>
      </c>
      <c r="H679">
        <f>IF(AND(A679&lt;&gt;"",A679=가족별!$B$1,G679&lt;&gt;""),COUNTIFS($A$2:A679,가족별!$B$1,$G$2:G679,"&gt;0"),"")</f>
        <v/>
      </c>
      <c r="I679">
        <f>IF(ISNUMBER(SEARCH("소계",B679)),COUNTIF($B$2:B679,"*소계*"),"")</f>
        <v/>
      </c>
      <c r="J679">
        <f>IF(F679="",0,1)</f>
        <v/>
      </c>
    </row>
    <row r="680">
      <c r="A680" s="41" t="n"/>
      <c r="B680" s="41" t="n"/>
      <c r="C680" s="24" t="n"/>
      <c r="D680" s="41" t="n"/>
      <c r="E680" s="41" t="n"/>
      <c r="F680" s="19">
        <f>IF(COUNTA(A680:E680)=0,"",IF(OR(ISNUMBER(SEARCH("소계",B680)),ISNUMBER(SEARCH("합계",B680))),"",TRIM(IF(B680="","이름 없음 ","")&amp;IF(A680="","받은 가족 없음 ","")&amp;IF(C680="","금액 없음 ",IF(ISNUMBER(C680),IF(C680&lt;1000,"금액 확인 ",""),"금액 확인 "))&amp;IF(AND(B680&lt;&gt;"",COUNTIFS($A$2:$A$1001,A680,$B$2:$B$1001,B680,$C$2:$C$1001,C680)&gt;1),"중복 의심",""))))</f>
        <v/>
      </c>
      <c r="G680" s="25">
        <f>IF(OR(COUNTA(A680:E680)=0,OR(ISNUMBER(SEARCH("소계",B680)),ISNUMBER(SEARCH("합계",B680)))),"",1+COUNTIF($B$1:B679,"*소계*"))</f>
        <v/>
      </c>
      <c r="H680">
        <f>IF(AND(A680&lt;&gt;"",A680=가족별!$B$1,G680&lt;&gt;""),COUNTIFS($A$2:A680,가족별!$B$1,$G$2:G680,"&gt;0"),"")</f>
        <v/>
      </c>
      <c r="I680">
        <f>IF(ISNUMBER(SEARCH("소계",B680)),COUNTIF($B$2:B680,"*소계*"),"")</f>
        <v/>
      </c>
      <c r="J680">
        <f>IF(F680="",0,1)</f>
        <v/>
      </c>
    </row>
    <row r="681">
      <c r="A681" s="41" t="n"/>
      <c r="B681" s="41" t="n"/>
      <c r="C681" s="24" t="n"/>
      <c r="D681" s="41" t="n"/>
      <c r="E681" s="41" t="n"/>
      <c r="F681" s="19">
        <f>IF(COUNTA(A681:E681)=0,"",IF(OR(ISNUMBER(SEARCH("소계",B681)),ISNUMBER(SEARCH("합계",B681))),"",TRIM(IF(B681="","이름 없음 ","")&amp;IF(A681="","받은 가족 없음 ","")&amp;IF(C681="","금액 없음 ",IF(ISNUMBER(C681),IF(C681&lt;1000,"금액 확인 ",""),"금액 확인 "))&amp;IF(AND(B681&lt;&gt;"",COUNTIFS($A$2:$A$1001,A681,$B$2:$B$1001,B681,$C$2:$C$1001,C681)&gt;1),"중복 의심",""))))</f>
        <v/>
      </c>
      <c r="G681" s="25">
        <f>IF(OR(COUNTA(A681:E681)=0,OR(ISNUMBER(SEARCH("소계",B681)),ISNUMBER(SEARCH("합계",B681)))),"",1+COUNTIF($B$1:B680,"*소계*"))</f>
        <v/>
      </c>
      <c r="H681">
        <f>IF(AND(A681&lt;&gt;"",A681=가족별!$B$1,G681&lt;&gt;""),COUNTIFS($A$2:A681,가족별!$B$1,$G$2:G681,"&gt;0"),"")</f>
        <v/>
      </c>
      <c r="I681">
        <f>IF(ISNUMBER(SEARCH("소계",B681)),COUNTIF($B$2:B681,"*소계*"),"")</f>
        <v/>
      </c>
      <c r="J681">
        <f>IF(F681="",0,1)</f>
        <v/>
      </c>
    </row>
    <row r="682">
      <c r="A682" s="41" t="n"/>
      <c r="B682" s="41" t="n"/>
      <c r="C682" s="24" t="n"/>
      <c r="D682" s="41" t="n"/>
      <c r="E682" s="41" t="n"/>
      <c r="F682" s="19">
        <f>IF(COUNTA(A682:E682)=0,"",IF(OR(ISNUMBER(SEARCH("소계",B682)),ISNUMBER(SEARCH("합계",B682))),"",TRIM(IF(B682="","이름 없음 ","")&amp;IF(A682="","받은 가족 없음 ","")&amp;IF(C682="","금액 없음 ",IF(ISNUMBER(C682),IF(C682&lt;1000,"금액 확인 ",""),"금액 확인 "))&amp;IF(AND(B682&lt;&gt;"",COUNTIFS($A$2:$A$1001,A682,$B$2:$B$1001,B682,$C$2:$C$1001,C682)&gt;1),"중복 의심",""))))</f>
        <v/>
      </c>
      <c r="G682" s="25">
        <f>IF(OR(COUNTA(A682:E682)=0,OR(ISNUMBER(SEARCH("소계",B682)),ISNUMBER(SEARCH("합계",B682)))),"",1+COUNTIF($B$1:B681,"*소계*"))</f>
        <v/>
      </c>
      <c r="H682">
        <f>IF(AND(A682&lt;&gt;"",A682=가족별!$B$1,G682&lt;&gt;""),COUNTIFS($A$2:A682,가족별!$B$1,$G$2:G682,"&gt;0"),"")</f>
        <v/>
      </c>
      <c r="I682">
        <f>IF(ISNUMBER(SEARCH("소계",B682)),COUNTIF($B$2:B682,"*소계*"),"")</f>
        <v/>
      </c>
      <c r="J682">
        <f>IF(F682="",0,1)</f>
        <v/>
      </c>
    </row>
    <row r="683">
      <c r="A683" s="41" t="n"/>
      <c r="B683" s="41" t="n"/>
      <c r="C683" s="24" t="n"/>
      <c r="D683" s="41" t="n"/>
      <c r="E683" s="41" t="n"/>
      <c r="F683" s="19">
        <f>IF(COUNTA(A683:E683)=0,"",IF(OR(ISNUMBER(SEARCH("소계",B683)),ISNUMBER(SEARCH("합계",B683))),"",TRIM(IF(B683="","이름 없음 ","")&amp;IF(A683="","받은 가족 없음 ","")&amp;IF(C683="","금액 없음 ",IF(ISNUMBER(C683),IF(C683&lt;1000,"금액 확인 ",""),"금액 확인 "))&amp;IF(AND(B683&lt;&gt;"",COUNTIFS($A$2:$A$1001,A683,$B$2:$B$1001,B683,$C$2:$C$1001,C683)&gt;1),"중복 의심",""))))</f>
        <v/>
      </c>
      <c r="G683" s="25">
        <f>IF(OR(COUNTA(A683:E683)=0,OR(ISNUMBER(SEARCH("소계",B683)),ISNUMBER(SEARCH("합계",B683)))),"",1+COUNTIF($B$1:B682,"*소계*"))</f>
        <v/>
      </c>
      <c r="H683">
        <f>IF(AND(A683&lt;&gt;"",A683=가족별!$B$1,G683&lt;&gt;""),COUNTIFS($A$2:A683,가족별!$B$1,$G$2:G683,"&gt;0"),"")</f>
        <v/>
      </c>
      <c r="I683">
        <f>IF(ISNUMBER(SEARCH("소계",B683)),COUNTIF($B$2:B683,"*소계*"),"")</f>
        <v/>
      </c>
      <c r="J683">
        <f>IF(F683="",0,1)</f>
        <v/>
      </c>
    </row>
    <row r="684">
      <c r="A684" s="41" t="n"/>
      <c r="B684" s="41" t="n"/>
      <c r="C684" s="24" t="n"/>
      <c r="D684" s="41" t="n"/>
      <c r="E684" s="41" t="n"/>
      <c r="F684" s="19">
        <f>IF(COUNTA(A684:E684)=0,"",IF(OR(ISNUMBER(SEARCH("소계",B684)),ISNUMBER(SEARCH("합계",B684))),"",TRIM(IF(B684="","이름 없음 ","")&amp;IF(A684="","받은 가족 없음 ","")&amp;IF(C684="","금액 없음 ",IF(ISNUMBER(C684),IF(C684&lt;1000,"금액 확인 ",""),"금액 확인 "))&amp;IF(AND(B684&lt;&gt;"",COUNTIFS($A$2:$A$1001,A684,$B$2:$B$1001,B684,$C$2:$C$1001,C684)&gt;1),"중복 의심",""))))</f>
        <v/>
      </c>
      <c r="G684" s="25">
        <f>IF(OR(COUNTA(A684:E684)=0,OR(ISNUMBER(SEARCH("소계",B684)),ISNUMBER(SEARCH("합계",B684)))),"",1+COUNTIF($B$1:B683,"*소계*"))</f>
        <v/>
      </c>
      <c r="H684">
        <f>IF(AND(A684&lt;&gt;"",A684=가족별!$B$1,G684&lt;&gt;""),COUNTIFS($A$2:A684,가족별!$B$1,$G$2:G684,"&gt;0"),"")</f>
        <v/>
      </c>
      <c r="I684">
        <f>IF(ISNUMBER(SEARCH("소계",B684)),COUNTIF($B$2:B684,"*소계*"),"")</f>
        <v/>
      </c>
      <c r="J684">
        <f>IF(F684="",0,1)</f>
        <v/>
      </c>
    </row>
    <row r="685">
      <c r="A685" s="41" t="n"/>
      <c r="B685" s="41" t="n"/>
      <c r="C685" s="24" t="n"/>
      <c r="D685" s="41" t="n"/>
      <c r="E685" s="41" t="n"/>
      <c r="F685" s="19">
        <f>IF(COUNTA(A685:E685)=0,"",IF(OR(ISNUMBER(SEARCH("소계",B685)),ISNUMBER(SEARCH("합계",B685))),"",TRIM(IF(B685="","이름 없음 ","")&amp;IF(A685="","받은 가족 없음 ","")&amp;IF(C685="","금액 없음 ",IF(ISNUMBER(C685),IF(C685&lt;1000,"금액 확인 ",""),"금액 확인 "))&amp;IF(AND(B685&lt;&gt;"",COUNTIFS($A$2:$A$1001,A685,$B$2:$B$1001,B685,$C$2:$C$1001,C685)&gt;1),"중복 의심",""))))</f>
        <v/>
      </c>
      <c r="G685" s="25">
        <f>IF(OR(COUNTA(A685:E685)=0,OR(ISNUMBER(SEARCH("소계",B685)),ISNUMBER(SEARCH("합계",B685)))),"",1+COUNTIF($B$1:B684,"*소계*"))</f>
        <v/>
      </c>
      <c r="H685">
        <f>IF(AND(A685&lt;&gt;"",A685=가족별!$B$1,G685&lt;&gt;""),COUNTIFS($A$2:A685,가족별!$B$1,$G$2:G685,"&gt;0"),"")</f>
        <v/>
      </c>
      <c r="I685">
        <f>IF(ISNUMBER(SEARCH("소계",B685)),COUNTIF($B$2:B685,"*소계*"),"")</f>
        <v/>
      </c>
      <c r="J685">
        <f>IF(F685="",0,1)</f>
        <v/>
      </c>
    </row>
    <row r="686">
      <c r="A686" s="41" t="n"/>
      <c r="B686" s="41" t="n"/>
      <c r="C686" s="24" t="n"/>
      <c r="D686" s="41" t="n"/>
      <c r="E686" s="41" t="n"/>
      <c r="F686" s="19">
        <f>IF(COUNTA(A686:E686)=0,"",IF(OR(ISNUMBER(SEARCH("소계",B686)),ISNUMBER(SEARCH("합계",B686))),"",TRIM(IF(B686="","이름 없음 ","")&amp;IF(A686="","받은 가족 없음 ","")&amp;IF(C686="","금액 없음 ",IF(ISNUMBER(C686),IF(C686&lt;1000,"금액 확인 ",""),"금액 확인 "))&amp;IF(AND(B686&lt;&gt;"",COUNTIFS($A$2:$A$1001,A686,$B$2:$B$1001,B686,$C$2:$C$1001,C686)&gt;1),"중복 의심",""))))</f>
        <v/>
      </c>
      <c r="G686" s="25">
        <f>IF(OR(COUNTA(A686:E686)=0,OR(ISNUMBER(SEARCH("소계",B686)),ISNUMBER(SEARCH("합계",B686)))),"",1+COUNTIF($B$1:B685,"*소계*"))</f>
        <v/>
      </c>
      <c r="H686">
        <f>IF(AND(A686&lt;&gt;"",A686=가족별!$B$1,G686&lt;&gt;""),COUNTIFS($A$2:A686,가족별!$B$1,$G$2:G686,"&gt;0"),"")</f>
        <v/>
      </c>
      <c r="I686">
        <f>IF(ISNUMBER(SEARCH("소계",B686)),COUNTIF($B$2:B686,"*소계*"),"")</f>
        <v/>
      </c>
      <c r="J686">
        <f>IF(F686="",0,1)</f>
        <v/>
      </c>
    </row>
    <row r="687">
      <c r="A687" s="41" t="n"/>
      <c r="B687" s="41" t="n"/>
      <c r="C687" s="24" t="n"/>
      <c r="D687" s="41" t="n"/>
      <c r="E687" s="41" t="n"/>
      <c r="F687" s="19">
        <f>IF(COUNTA(A687:E687)=0,"",IF(OR(ISNUMBER(SEARCH("소계",B687)),ISNUMBER(SEARCH("합계",B687))),"",TRIM(IF(B687="","이름 없음 ","")&amp;IF(A687="","받은 가족 없음 ","")&amp;IF(C687="","금액 없음 ",IF(ISNUMBER(C687),IF(C687&lt;1000,"금액 확인 ",""),"금액 확인 "))&amp;IF(AND(B687&lt;&gt;"",COUNTIFS($A$2:$A$1001,A687,$B$2:$B$1001,B687,$C$2:$C$1001,C687)&gt;1),"중복 의심",""))))</f>
        <v/>
      </c>
      <c r="G687" s="25">
        <f>IF(OR(COUNTA(A687:E687)=0,OR(ISNUMBER(SEARCH("소계",B687)),ISNUMBER(SEARCH("합계",B687)))),"",1+COUNTIF($B$1:B686,"*소계*"))</f>
        <v/>
      </c>
      <c r="H687">
        <f>IF(AND(A687&lt;&gt;"",A687=가족별!$B$1,G687&lt;&gt;""),COUNTIFS($A$2:A687,가족별!$B$1,$G$2:G687,"&gt;0"),"")</f>
        <v/>
      </c>
      <c r="I687">
        <f>IF(ISNUMBER(SEARCH("소계",B687)),COUNTIF($B$2:B687,"*소계*"),"")</f>
        <v/>
      </c>
      <c r="J687">
        <f>IF(F687="",0,1)</f>
        <v/>
      </c>
    </row>
    <row r="688">
      <c r="A688" s="41" t="n"/>
      <c r="B688" s="41" t="n"/>
      <c r="C688" s="24" t="n"/>
      <c r="D688" s="41" t="n"/>
      <c r="E688" s="41" t="n"/>
      <c r="F688" s="19">
        <f>IF(COUNTA(A688:E688)=0,"",IF(OR(ISNUMBER(SEARCH("소계",B688)),ISNUMBER(SEARCH("합계",B688))),"",TRIM(IF(B688="","이름 없음 ","")&amp;IF(A688="","받은 가족 없음 ","")&amp;IF(C688="","금액 없음 ",IF(ISNUMBER(C688),IF(C688&lt;1000,"금액 확인 ",""),"금액 확인 "))&amp;IF(AND(B688&lt;&gt;"",COUNTIFS($A$2:$A$1001,A688,$B$2:$B$1001,B688,$C$2:$C$1001,C688)&gt;1),"중복 의심",""))))</f>
        <v/>
      </c>
      <c r="G688" s="25">
        <f>IF(OR(COUNTA(A688:E688)=0,OR(ISNUMBER(SEARCH("소계",B688)),ISNUMBER(SEARCH("합계",B688)))),"",1+COUNTIF($B$1:B687,"*소계*"))</f>
        <v/>
      </c>
      <c r="H688">
        <f>IF(AND(A688&lt;&gt;"",A688=가족별!$B$1,G688&lt;&gt;""),COUNTIFS($A$2:A688,가족별!$B$1,$G$2:G688,"&gt;0"),"")</f>
        <v/>
      </c>
      <c r="I688">
        <f>IF(ISNUMBER(SEARCH("소계",B688)),COUNTIF($B$2:B688,"*소계*"),"")</f>
        <v/>
      </c>
      <c r="J688">
        <f>IF(F688="",0,1)</f>
        <v/>
      </c>
    </row>
    <row r="689">
      <c r="A689" s="41" t="n"/>
      <c r="B689" s="41" t="n"/>
      <c r="C689" s="24" t="n"/>
      <c r="D689" s="41" t="n"/>
      <c r="E689" s="41" t="n"/>
      <c r="F689" s="19">
        <f>IF(COUNTA(A689:E689)=0,"",IF(OR(ISNUMBER(SEARCH("소계",B689)),ISNUMBER(SEARCH("합계",B689))),"",TRIM(IF(B689="","이름 없음 ","")&amp;IF(A689="","받은 가족 없음 ","")&amp;IF(C689="","금액 없음 ",IF(ISNUMBER(C689),IF(C689&lt;1000,"금액 확인 ",""),"금액 확인 "))&amp;IF(AND(B689&lt;&gt;"",COUNTIFS($A$2:$A$1001,A689,$B$2:$B$1001,B689,$C$2:$C$1001,C689)&gt;1),"중복 의심",""))))</f>
        <v/>
      </c>
      <c r="G689" s="25">
        <f>IF(OR(COUNTA(A689:E689)=0,OR(ISNUMBER(SEARCH("소계",B689)),ISNUMBER(SEARCH("합계",B689)))),"",1+COUNTIF($B$1:B688,"*소계*"))</f>
        <v/>
      </c>
      <c r="H689">
        <f>IF(AND(A689&lt;&gt;"",A689=가족별!$B$1,G689&lt;&gt;""),COUNTIFS($A$2:A689,가족별!$B$1,$G$2:G689,"&gt;0"),"")</f>
        <v/>
      </c>
      <c r="I689">
        <f>IF(ISNUMBER(SEARCH("소계",B689)),COUNTIF($B$2:B689,"*소계*"),"")</f>
        <v/>
      </c>
      <c r="J689">
        <f>IF(F689="",0,1)</f>
        <v/>
      </c>
    </row>
    <row r="690">
      <c r="A690" s="41" t="n"/>
      <c r="B690" s="41" t="n"/>
      <c r="C690" s="24" t="n"/>
      <c r="D690" s="41" t="n"/>
      <c r="E690" s="41" t="n"/>
      <c r="F690" s="19">
        <f>IF(COUNTA(A690:E690)=0,"",IF(OR(ISNUMBER(SEARCH("소계",B690)),ISNUMBER(SEARCH("합계",B690))),"",TRIM(IF(B690="","이름 없음 ","")&amp;IF(A690="","받은 가족 없음 ","")&amp;IF(C690="","금액 없음 ",IF(ISNUMBER(C690),IF(C690&lt;1000,"금액 확인 ",""),"금액 확인 "))&amp;IF(AND(B690&lt;&gt;"",COUNTIFS($A$2:$A$1001,A690,$B$2:$B$1001,B690,$C$2:$C$1001,C690)&gt;1),"중복 의심",""))))</f>
        <v/>
      </c>
      <c r="G690" s="25">
        <f>IF(OR(COUNTA(A690:E690)=0,OR(ISNUMBER(SEARCH("소계",B690)),ISNUMBER(SEARCH("합계",B690)))),"",1+COUNTIF($B$1:B689,"*소계*"))</f>
        <v/>
      </c>
      <c r="H690">
        <f>IF(AND(A690&lt;&gt;"",A690=가족별!$B$1,G690&lt;&gt;""),COUNTIFS($A$2:A690,가족별!$B$1,$G$2:G690,"&gt;0"),"")</f>
        <v/>
      </c>
      <c r="I690">
        <f>IF(ISNUMBER(SEARCH("소계",B690)),COUNTIF($B$2:B690,"*소계*"),"")</f>
        <v/>
      </c>
      <c r="J690">
        <f>IF(F690="",0,1)</f>
        <v/>
      </c>
    </row>
    <row r="691">
      <c r="A691" s="41" t="n"/>
      <c r="B691" s="41" t="n"/>
      <c r="C691" s="24" t="n"/>
      <c r="D691" s="41" t="n"/>
      <c r="E691" s="41" t="n"/>
      <c r="F691" s="19">
        <f>IF(COUNTA(A691:E691)=0,"",IF(OR(ISNUMBER(SEARCH("소계",B691)),ISNUMBER(SEARCH("합계",B691))),"",TRIM(IF(B691="","이름 없음 ","")&amp;IF(A691="","받은 가족 없음 ","")&amp;IF(C691="","금액 없음 ",IF(ISNUMBER(C691),IF(C691&lt;1000,"금액 확인 ",""),"금액 확인 "))&amp;IF(AND(B691&lt;&gt;"",COUNTIFS($A$2:$A$1001,A691,$B$2:$B$1001,B691,$C$2:$C$1001,C691)&gt;1),"중복 의심",""))))</f>
        <v/>
      </c>
      <c r="G691" s="25">
        <f>IF(OR(COUNTA(A691:E691)=0,OR(ISNUMBER(SEARCH("소계",B691)),ISNUMBER(SEARCH("합계",B691)))),"",1+COUNTIF($B$1:B690,"*소계*"))</f>
        <v/>
      </c>
      <c r="H691">
        <f>IF(AND(A691&lt;&gt;"",A691=가족별!$B$1,G691&lt;&gt;""),COUNTIFS($A$2:A691,가족별!$B$1,$G$2:G691,"&gt;0"),"")</f>
        <v/>
      </c>
      <c r="I691">
        <f>IF(ISNUMBER(SEARCH("소계",B691)),COUNTIF($B$2:B691,"*소계*"),"")</f>
        <v/>
      </c>
      <c r="J691">
        <f>IF(F691="",0,1)</f>
        <v/>
      </c>
    </row>
    <row r="692">
      <c r="A692" s="41" t="n"/>
      <c r="B692" s="41" t="n"/>
      <c r="C692" s="24" t="n"/>
      <c r="D692" s="41" t="n"/>
      <c r="E692" s="41" t="n"/>
      <c r="F692" s="19">
        <f>IF(COUNTA(A692:E692)=0,"",IF(OR(ISNUMBER(SEARCH("소계",B692)),ISNUMBER(SEARCH("합계",B692))),"",TRIM(IF(B692="","이름 없음 ","")&amp;IF(A692="","받은 가족 없음 ","")&amp;IF(C692="","금액 없음 ",IF(ISNUMBER(C692),IF(C692&lt;1000,"금액 확인 ",""),"금액 확인 "))&amp;IF(AND(B692&lt;&gt;"",COUNTIFS($A$2:$A$1001,A692,$B$2:$B$1001,B692,$C$2:$C$1001,C692)&gt;1),"중복 의심",""))))</f>
        <v/>
      </c>
      <c r="G692" s="25">
        <f>IF(OR(COUNTA(A692:E692)=0,OR(ISNUMBER(SEARCH("소계",B692)),ISNUMBER(SEARCH("합계",B692)))),"",1+COUNTIF($B$1:B691,"*소계*"))</f>
        <v/>
      </c>
      <c r="H692">
        <f>IF(AND(A692&lt;&gt;"",A692=가족별!$B$1,G692&lt;&gt;""),COUNTIFS($A$2:A692,가족별!$B$1,$G$2:G692,"&gt;0"),"")</f>
        <v/>
      </c>
      <c r="I692">
        <f>IF(ISNUMBER(SEARCH("소계",B692)),COUNTIF($B$2:B692,"*소계*"),"")</f>
        <v/>
      </c>
      <c r="J692">
        <f>IF(F692="",0,1)</f>
        <v/>
      </c>
    </row>
    <row r="693">
      <c r="A693" s="41" t="n"/>
      <c r="B693" s="41" t="n"/>
      <c r="C693" s="24" t="n"/>
      <c r="D693" s="41" t="n"/>
      <c r="E693" s="41" t="n"/>
      <c r="F693" s="19">
        <f>IF(COUNTA(A693:E693)=0,"",IF(OR(ISNUMBER(SEARCH("소계",B693)),ISNUMBER(SEARCH("합계",B693))),"",TRIM(IF(B693="","이름 없음 ","")&amp;IF(A693="","받은 가족 없음 ","")&amp;IF(C693="","금액 없음 ",IF(ISNUMBER(C693),IF(C693&lt;1000,"금액 확인 ",""),"금액 확인 "))&amp;IF(AND(B693&lt;&gt;"",COUNTIFS($A$2:$A$1001,A693,$B$2:$B$1001,B693,$C$2:$C$1001,C693)&gt;1),"중복 의심",""))))</f>
        <v/>
      </c>
      <c r="G693" s="25">
        <f>IF(OR(COUNTA(A693:E693)=0,OR(ISNUMBER(SEARCH("소계",B693)),ISNUMBER(SEARCH("합계",B693)))),"",1+COUNTIF($B$1:B692,"*소계*"))</f>
        <v/>
      </c>
      <c r="H693">
        <f>IF(AND(A693&lt;&gt;"",A693=가족별!$B$1,G693&lt;&gt;""),COUNTIFS($A$2:A693,가족별!$B$1,$G$2:G693,"&gt;0"),"")</f>
        <v/>
      </c>
      <c r="I693">
        <f>IF(ISNUMBER(SEARCH("소계",B693)),COUNTIF($B$2:B693,"*소계*"),"")</f>
        <v/>
      </c>
      <c r="J693">
        <f>IF(F693="",0,1)</f>
        <v/>
      </c>
    </row>
    <row r="694">
      <c r="A694" s="41" t="n"/>
      <c r="B694" s="41" t="n"/>
      <c r="C694" s="24" t="n"/>
      <c r="D694" s="41" t="n"/>
      <c r="E694" s="41" t="n"/>
      <c r="F694" s="19">
        <f>IF(COUNTA(A694:E694)=0,"",IF(OR(ISNUMBER(SEARCH("소계",B694)),ISNUMBER(SEARCH("합계",B694))),"",TRIM(IF(B694="","이름 없음 ","")&amp;IF(A694="","받은 가족 없음 ","")&amp;IF(C694="","금액 없음 ",IF(ISNUMBER(C694),IF(C694&lt;1000,"금액 확인 ",""),"금액 확인 "))&amp;IF(AND(B694&lt;&gt;"",COUNTIFS($A$2:$A$1001,A694,$B$2:$B$1001,B694,$C$2:$C$1001,C694)&gt;1),"중복 의심",""))))</f>
        <v/>
      </c>
      <c r="G694" s="25">
        <f>IF(OR(COUNTA(A694:E694)=0,OR(ISNUMBER(SEARCH("소계",B694)),ISNUMBER(SEARCH("합계",B694)))),"",1+COUNTIF($B$1:B693,"*소계*"))</f>
        <v/>
      </c>
      <c r="H694">
        <f>IF(AND(A694&lt;&gt;"",A694=가족별!$B$1,G694&lt;&gt;""),COUNTIFS($A$2:A694,가족별!$B$1,$G$2:G694,"&gt;0"),"")</f>
        <v/>
      </c>
      <c r="I694">
        <f>IF(ISNUMBER(SEARCH("소계",B694)),COUNTIF($B$2:B694,"*소계*"),"")</f>
        <v/>
      </c>
      <c r="J694">
        <f>IF(F694="",0,1)</f>
        <v/>
      </c>
    </row>
    <row r="695">
      <c r="A695" s="41" t="n"/>
      <c r="B695" s="41" t="n"/>
      <c r="C695" s="24" t="n"/>
      <c r="D695" s="41" t="n"/>
      <c r="E695" s="41" t="n"/>
      <c r="F695" s="19">
        <f>IF(COUNTA(A695:E695)=0,"",IF(OR(ISNUMBER(SEARCH("소계",B695)),ISNUMBER(SEARCH("합계",B695))),"",TRIM(IF(B695="","이름 없음 ","")&amp;IF(A695="","받은 가족 없음 ","")&amp;IF(C695="","금액 없음 ",IF(ISNUMBER(C695),IF(C695&lt;1000,"금액 확인 ",""),"금액 확인 "))&amp;IF(AND(B695&lt;&gt;"",COUNTIFS($A$2:$A$1001,A695,$B$2:$B$1001,B695,$C$2:$C$1001,C695)&gt;1),"중복 의심",""))))</f>
        <v/>
      </c>
      <c r="G695" s="25">
        <f>IF(OR(COUNTA(A695:E695)=0,OR(ISNUMBER(SEARCH("소계",B695)),ISNUMBER(SEARCH("합계",B695)))),"",1+COUNTIF($B$1:B694,"*소계*"))</f>
        <v/>
      </c>
      <c r="H695">
        <f>IF(AND(A695&lt;&gt;"",A695=가족별!$B$1,G695&lt;&gt;""),COUNTIFS($A$2:A695,가족별!$B$1,$G$2:G695,"&gt;0"),"")</f>
        <v/>
      </c>
      <c r="I695">
        <f>IF(ISNUMBER(SEARCH("소계",B695)),COUNTIF($B$2:B695,"*소계*"),"")</f>
        <v/>
      </c>
      <c r="J695">
        <f>IF(F695="",0,1)</f>
        <v/>
      </c>
    </row>
    <row r="696">
      <c r="A696" s="41" t="n"/>
      <c r="B696" s="41" t="n"/>
      <c r="C696" s="24" t="n"/>
      <c r="D696" s="41" t="n"/>
      <c r="E696" s="41" t="n"/>
      <c r="F696" s="19">
        <f>IF(COUNTA(A696:E696)=0,"",IF(OR(ISNUMBER(SEARCH("소계",B696)),ISNUMBER(SEARCH("합계",B696))),"",TRIM(IF(B696="","이름 없음 ","")&amp;IF(A696="","받은 가족 없음 ","")&amp;IF(C696="","금액 없음 ",IF(ISNUMBER(C696),IF(C696&lt;1000,"금액 확인 ",""),"금액 확인 "))&amp;IF(AND(B696&lt;&gt;"",COUNTIFS($A$2:$A$1001,A696,$B$2:$B$1001,B696,$C$2:$C$1001,C696)&gt;1),"중복 의심",""))))</f>
        <v/>
      </c>
      <c r="G696" s="25">
        <f>IF(OR(COUNTA(A696:E696)=0,OR(ISNUMBER(SEARCH("소계",B696)),ISNUMBER(SEARCH("합계",B696)))),"",1+COUNTIF($B$1:B695,"*소계*"))</f>
        <v/>
      </c>
      <c r="H696">
        <f>IF(AND(A696&lt;&gt;"",A696=가족별!$B$1,G696&lt;&gt;""),COUNTIFS($A$2:A696,가족별!$B$1,$G$2:G696,"&gt;0"),"")</f>
        <v/>
      </c>
      <c r="I696">
        <f>IF(ISNUMBER(SEARCH("소계",B696)),COUNTIF($B$2:B696,"*소계*"),"")</f>
        <v/>
      </c>
      <c r="J696">
        <f>IF(F696="",0,1)</f>
        <v/>
      </c>
    </row>
    <row r="697">
      <c r="A697" s="41" t="n"/>
      <c r="B697" s="41" t="n"/>
      <c r="C697" s="24" t="n"/>
      <c r="D697" s="41" t="n"/>
      <c r="E697" s="41" t="n"/>
      <c r="F697" s="19">
        <f>IF(COUNTA(A697:E697)=0,"",IF(OR(ISNUMBER(SEARCH("소계",B697)),ISNUMBER(SEARCH("합계",B697))),"",TRIM(IF(B697="","이름 없음 ","")&amp;IF(A697="","받은 가족 없음 ","")&amp;IF(C697="","금액 없음 ",IF(ISNUMBER(C697),IF(C697&lt;1000,"금액 확인 ",""),"금액 확인 "))&amp;IF(AND(B697&lt;&gt;"",COUNTIFS($A$2:$A$1001,A697,$B$2:$B$1001,B697,$C$2:$C$1001,C697)&gt;1),"중복 의심",""))))</f>
        <v/>
      </c>
      <c r="G697" s="25">
        <f>IF(OR(COUNTA(A697:E697)=0,OR(ISNUMBER(SEARCH("소계",B697)),ISNUMBER(SEARCH("합계",B697)))),"",1+COUNTIF($B$1:B696,"*소계*"))</f>
        <v/>
      </c>
      <c r="H697">
        <f>IF(AND(A697&lt;&gt;"",A697=가족별!$B$1,G697&lt;&gt;""),COUNTIFS($A$2:A697,가족별!$B$1,$G$2:G697,"&gt;0"),"")</f>
        <v/>
      </c>
      <c r="I697">
        <f>IF(ISNUMBER(SEARCH("소계",B697)),COUNTIF($B$2:B697,"*소계*"),"")</f>
        <v/>
      </c>
      <c r="J697">
        <f>IF(F697="",0,1)</f>
        <v/>
      </c>
    </row>
    <row r="698">
      <c r="A698" s="41" t="n"/>
      <c r="B698" s="41" t="n"/>
      <c r="C698" s="24" t="n"/>
      <c r="D698" s="41" t="n"/>
      <c r="E698" s="41" t="n"/>
      <c r="F698" s="19">
        <f>IF(COUNTA(A698:E698)=0,"",IF(OR(ISNUMBER(SEARCH("소계",B698)),ISNUMBER(SEARCH("합계",B698))),"",TRIM(IF(B698="","이름 없음 ","")&amp;IF(A698="","받은 가족 없음 ","")&amp;IF(C698="","금액 없음 ",IF(ISNUMBER(C698),IF(C698&lt;1000,"금액 확인 ",""),"금액 확인 "))&amp;IF(AND(B698&lt;&gt;"",COUNTIFS($A$2:$A$1001,A698,$B$2:$B$1001,B698,$C$2:$C$1001,C698)&gt;1),"중복 의심",""))))</f>
        <v/>
      </c>
      <c r="G698" s="25">
        <f>IF(OR(COUNTA(A698:E698)=0,OR(ISNUMBER(SEARCH("소계",B698)),ISNUMBER(SEARCH("합계",B698)))),"",1+COUNTIF($B$1:B697,"*소계*"))</f>
        <v/>
      </c>
      <c r="H698">
        <f>IF(AND(A698&lt;&gt;"",A698=가족별!$B$1,G698&lt;&gt;""),COUNTIFS($A$2:A698,가족별!$B$1,$G$2:G698,"&gt;0"),"")</f>
        <v/>
      </c>
      <c r="I698">
        <f>IF(ISNUMBER(SEARCH("소계",B698)),COUNTIF($B$2:B698,"*소계*"),"")</f>
        <v/>
      </c>
      <c r="J698">
        <f>IF(F698="",0,1)</f>
        <v/>
      </c>
    </row>
    <row r="699">
      <c r="A699" s="41" t="n"/>
      <c r="B699" s="41" t="n"/>
      <c r="C699" s="24" t="n"/>
      <c r="D699" s="41" t="n"/>
      <c r="E699" s="41" t="n"/>
      <c r="F699" s="19">
        <f>IF(COUNTA(A699:E699)=0,"",IF(OR(ISNUMBER(SEARCH("소계",B699)),ISNUMBER(SEARCH("합계",B699))),"",TRIM(IF(B699="","이름 없음 ","")&amp;IF(A699="","받은 가족 없음 ","")&amp;IF(C699="","금액 없음 ",IF(ISNUMBER(C699),IF(C699&lt;1000,"금액 확인 ",""),"금액 확인 "))&amp;IF(AND(B699&lt;&gt;"",COUNTIFS($A$2:$A$1001,A699,$B$2:$B$1001,B699,$C$2:$C$1001,C699)&gt;1),"중복 의심",""))))</f>
        <v/>
      </c>
      <c r="G699" s="25">
        <f>IF(OR(COUNTA(A699:E699)=0,OR(ISNUMBER(SEARCH("소계",B699)),ISNUMBER(SEARCH("합계",B699)))),"",1+COUNTIF($B$1:B698,"*소계*"))</f>
        <v/>
      </c>
      <c r="H699">
        <f>IF(AND(A699&lt;&gt;"",A699=가족별!$B$1,G699&lt;&gt;""),COUNTIFS($A$2:A699,가족별!$B$1,$G$2:G699,"&gt;0"),"")</f>
        <v/>
      </c>
      <c r="I699">
        <f>IF(ISNUMBER(SEARCH("소계",B699)),COUNTIF($B$2:B699,"*소계*"),"")</f>
        <v/>
      </c>
      <c r="J699">
        <f>IF(F699="",0,1)</f>
        <v/>
      </c>
    </row>
    <row r="700">
      <c r="A700" s="41" t="n"/>
      <c r="B700" s="41" t="n"/>
      <c r="C700" s="24" t="n"/>
      <c r="D700" s="41" t="n"/>
      <c r="E700" s="41" t="n"/>
      <c r="F700" s="19">
        <f>IF(COUNTA(A700:E700)=0,"",IF(OR(ISNUMBER(SEARCH("소계",B700)),ISNUMBER(SEARCH("합계",B700))),"",TRIM(IF(B700="","이름 없음 ","")&amp;IF(A700="","받은 가족 없음 ","")&amp;IF(C700="","금액 없음 ",IF(ISNUMBER(C700),IF(C700&lt;1000,"금액 확인 ",""),"금액 확인 "))&amp;IF(AND(B700&lt;&gt;"",COUNTIFS($A$2:$A$1001,A700,$B$2:$B$1001,B700,$C$2:$C$1001,C700)&gt;1),"중복 의심",""))))</f>
        <v/>
      </c>
      <c r="G700" s="25">
        <f>IF(OR(COUNTA(A700:E700)=0,OR(ISNUMBER(SEARCH("소계",B700)),ISNUMBER(SEARCH("합계",B700)))),"",1+COUNTIF($B$1:B699,"*소계*"))</f>
        <v/>
      </c>
      <c r="H700">
        <f>IF(AND(A700&lt;&gt;"",A700=가족별!$B$1,G700&lt;&gt;""),COUNTIFS($A$2:A700,가족별!$B$1,$G$2:G700,"&gt;0"),"")</f>
        <v/>
      </c>
      <c r="I700">
        <f>IF(ISNUMBER(SEARCH("소계",B700)),COUNTIF($B$2:B700,"*소계*"),"")</f>
        <v/>
      </c>
      <c r="J700">
        <f>IF(F700="",0,1)</f>
        <v/>
      </c>
    </row>
    <row r="701">
      <c r="A701" s="41" t="n"/>
      <c r="B701" s="41" t="n"/>
      <c r="C701" s="24" t="n"/>
      <c r="D701" s="41" t="n"/>
      <c r="E701" s="41" t="n"/>
      <c r="F701" s="19">
        <f>IF(COUNTA(A701:E701)=0,"",IF(OR(ISNUMBER(SEARCH("소계",B701)),ISNUMBER(SEARCH("합계",B701))),"",TRIM(IF(B701="","이름 없음 ","")&amp;IF(A701="","받은 가족 없음 ","")&amp;IF(C701="","금액 없음 ",IF(ISNUMBER(C701),IF(C701&lt;1000,"금액 확인 ",""),"금액 확인 "))&amp;IF(AND(B701&lt;&gt;"",COUNTIFS($A$2:$A$1001,A701,$B$2:$B$1001,B701,$C$2:$C$1001,C701)&gt;1),"중복 의심",""))))</f>
        <v/>
      </c>
      <c r="G701" s="25">
        <f>IF(OR(COUNTA(A701:E701)=0,OR(ISNUMBER(SEARCH("소계",B701)),ISNUMBER(SEARCH("합계",B701)))),"",1+COUNTIF($B$1:B700,"*소계*"))</f>
        <v/>
      </c>
      <c r="H701">
        <f>IF(AND(A701&lt;&gt;"",A701=가족별!$B$1,G701&lt;&gt;""),COUNTIFS($A$2:A701,가족별!$B$1,$G$2:G701,"&gt;0"),"")</f>
        <v/>
      </c>
      <c r="I701">
        <f>IF(ISNUMBER(SEARCH("소계",B701)),COUNTIF($B$2:B701,"*소계*"),"")</f>
        <v/>
      </c>
      <c r="J701">
        <f>IF(F701="",0,1)</f>
        <v/>
      </c>
    </row>
    <row r="702">
      <c r="A702" s="41" t="n"/>
      <c r="B702" s="41" t="n"/>
      <c r="C702" s="24" t="n"/>
      <c r="D702" s="41" t="n"/>
      <c r="E702" s="41" t="n"/>
      <c r="F702" s="19">
        <f>IF(COUNTA(A702:E702)=0,"",IF(OR(ISNUMBER(SEARCH("소계",B702)),ISNUMBER(SEARCH("합계",B702))),"",TRIM(IF(B702="","이름 없음 ","")&amp;IF(A702="","받은 가족 없음 ","")&amp;IF(C702="","금액 없음 ",IF(ISNUMBER(C702),IF(C702&lt;1000,"금액 확인 ",""),"금액 확인 "))&amp;IF(AND(B702&lt;&gt;"",COUNTIFS($A$2:$A$1001,A702,$B$2:$B$1001,B702,$C$2:$C$1001,C702)&gt;1),"중복 의심",""))))</f>
        <v/>
      </c>
      <c r="G702" s="25">
        <f>IF(OR(COUNTA(A702:E702)=0,OR(ISNUMBER(SEARCH("소계",B702)),ISNUMBER(SEARCH("합계",B702)))),"",1+COUNTIF($B$1:B701,"*소계*"))</f>
        <v/>
      </c>
      <c r="H702">
        <f>IF(AND(A702&lt;&gt;"",A702=가족별!$B$1,G702&lt;&gt;""),COUNTIFS($A$2:A702,가족별!$B$1,$G$2:G702,"&gt;0"),"")</f>
        <v/>
      </c>
      <c r="I702">
        <f>IF(ISNUMBER(SEARCH("소계",B702)),COUNTIF($B$2:B702,"*소계*"),"")</f>
        <v/>
      </c>
      <c r="J702">
        <f>IF(F702="",0,1)</f>
        <v/>
      </c>
    </row>
    <row r="703">
      <c r="A703" s="41" t="n"/>
      <c r="B703" s="41" t="n"/>
      <c r="C703" s="24" t="n"/>
      <c r="D703" s="41" t="n"/>
      <c r="E703" s="41" t="n"/>
      <c r="F703" s="19">
        <f>IF(COUNTA(A703:E703)=0,"",IF(OR(ISNUMBER(SEARCH("소계",B703)),ISNUMBER(SEARCH("합계",B703))),"",TRIM(IF(B703="","이름 없음 ","")&amp;IF(A703="","받은 가족 없음 ","")&amp;IF(C703="","금액 없음 ",IF(ISNUMBER(C703),IF(C703&lt;1000,"금액 확인 ",""),"금액 확인 "))&amp;IF(AND(B703&lt;&gt;"",COUNTIFS($A$2:$A$1001,A703,$B$2:$B$1001,B703,$C$2:$C$1001,C703)&gt;1),"중복 의심",""))))</f>
        <v/>
      </c>
      <c r="G703" s="25">
        <f>IF(OR(COUNTA(A703:E703)=0,OR(ISNUMBER(SEARCH("소계",B703)),ISNUMBER(SEARCH("합계",B703)))),"",1+COUNTIF($B$1:B702,"*소계*"))</f>
        <v/>
      </c>
      <c r="H703">
        <f>IF(AND(A703&lt;&gt;"",A703=가족별!$B$1,G703&lt;&gt;""),COUNTIFS($A$2:A703,가족별!$B$1,$G$2:G703,"&gt;0"),"")</f>
        <v/>
      </c>
      <c r="I703">
        <f>IF(ISNUMBER(SEARCH("소계",B703)),COUNTIF($B$2:B703,"*소계*"),"")</f>
        <v/>
      </c>
      <c r="J703">
        <f>IF(F703="",0,1)</f>
        <v/>
      </c>
    </row>
    <row r="704">
      <c r="A704" s="41" t="n"/>
      <c r="B704" s="41" t="n"/>
      <c r="C704" s="24" t="n"/>
      <c r="D704" s="41" t="n"/>
      <c r="E704" s="41" t="n"/>
      <c r="F704" s="19">
        <f>IF(COUNTA(A704:E704)=0,"",IF(OR(ISNUMBER(SEARCH("소계",B704)),ISNUMBER(SEARCH("합계",B704))),"",TRIM(IF(B704="","이름 없음 ","")&amp;IF(A704="","받은 가족 없음 ","")&amp;IF(C704="","금액 없음 ",IF(ISNUMBER(C704),IF(C704&lt;1000,"금액 확인 ",""),"금액 확인 "))&amp;IF(AND(B704&lt;&gt;"",COUNTIFS($A$2:$A$1001,A704,$B$2:$B$1001,B704,$C$2:$C$1001,C704)&gt;1),"중복 의심",""))))</f>
        <v/>
      </c>
      <c r="G704" s="25">
        <f>IF(OR(COUNTA(A704:E704)=0,OR(ISNUMBER(SEARCH("소계",B704)),ISNUMBER(SEARCH("합계",B704)))),"",1+COUNTIF($B$1:B703,"*소계*"))</f>
        <v/>
      </c>
      <c r="H704">
        <f>IF(AND(A704&lt;&gt;"",A704=가족별!$B$1,G704&lt;&gt;""),COUNTIFS($A$2:A704,가족별!$B$1,$G$2:G704,"&gt;0"),"")</f>
        <v/>
      </c>
      <c r="I704">
        <f>IF(ISNUMBER(SEARCH("소계",B704)),COUNTIF($B$2:B704,"*소계*"),"")</f>
        <v/>
      </c>
      <c r="J704">
        <f>IF(F704="",0,1)</f>
        <v/>
      </c>
    </row>
    <row r="705">
      <c r="A705" s="41" t="n"/>
      <c r="B705" s="41" t="n"/>
      <c r="C705" s="24" t="n"/>
      <c r="D705" s="41" t="n"/>
      <c r="E705" s="41" t="n"/>
      <c r="F705" s="19">
        <f>IF(COUNTA(A705:E705)=0,"",IF(OR(ISNUMBER(SEARCH("소계",B705)),ISNUMBER(SEARCH("합계",B705))),"",TRIM(IF(B705="","이름 없음 ","")&amp;IF(A705="","받은 가족 없음 ","")&amp;IF(C705="","금액 없음 ",IF(ISNUMBER(C705),IF(C705&lt;1000,"금액 확인 ",""),"금액 확인 "))&amp;IF(AND(B705&lt;&gt;"",COUNTIFS($A$2:$A$1001,A705,$B$2:$B$1001,B705,$C$2:$C$1001,C705)&gt;1),"중복 의심",""))))</f>
        <v/>
      </c>
      <c r="G705" s="25">
        <f>IF(OR(COUNTA(A705:E705)=0,OR(ISNUMBER(SEARCH("소계",B705)),ISNUMBER(SEARCH("합계",B705)))),"",1+COUNTIF($B$1:B704,"*소계*"))</f>
        <v/>
      </c>
      <c r="H705">
        <f>IF(AND(A705&lt;&gt;"",A705=가족별!$B$1,G705&lt;&gt;""),COUNTIFS($A$2:A705,가족별!$B$1,$G$2:G705,"&gt;0"),"")</f>
        <v/>
      </c>
      <c r="I705">
        <f>IF(ISNUMBER(SEARCH("소계",B705)),COUNTIF($B$2:B705,"*소계*"),"")</f>
        <v/>
      </c>
      <c r="J705">
        <f>IF(F705="",0,1)</f>
        <v/>
      </c>
    </row>
    <row r="706">
      <c r="A706" s="41" t="n"/>
      <c r="B706" s="41" t="n"/>
      <c r="C706" s="24" t="n"/>
      <c r="D706" s="41" t="n"/>
      <c r="E706" s="41" t="n"/>
      <c r="F706" s="19">
        <f>IF(COUNTA(A706:E706)=0,"",IF(OR(ISNUMBER(SEARCH("소계",B706)),ISNUMBER(SEARCH("합계",B706))),"",TRIM(IF(B706="","이름 없음 ","")&amp;IF(A706="","받은 가족 없음 ","")&amp;IF(C706="","금액 없음 ",IF(ISNUMBER(C706),IF(C706&lt;1000,"금액 확인 ",""),"금액 확인 "))&amp;IF(AND(B706&lt;&gt;"",COUNTIFS($A$2:$A$1001,A706,$B$2:$B$1001,B706,$C$2:$C$1001,C706)&gt;1),"중복 의심",""))))</f>
        <v/>
      </c>
      <c r="G706" s="25">
        <f>IF(OR(COUNTA(A706:E706)=0,OR(ISNUMBER(SEARCH("소계",B706)),ISNUMBER(SEARCH("합계",B706)))),"",1+COUNTIF($B$1:B705,"*소계*"))</f>
        <v/>
      </c>
      <c r="H706">
        <f>IF(AND(A706&lt;&gt;"",A706=가족별!$B$1,G706&lt;&gt;""),COUNTIFS($A$2:A706,가족별!$B$1,$G$2:G706,"&gt;0"),"")</f>
        <v/>
      </c>
      <c r="I706">
        <f>IF(ISNUMBER(SEARCH("소계",B706)),COUNTIF($B$2:B706,"*소계*"),"")</f>
        <v/>
      </c>
      <c r="J706">
        <f>IF(F706="",0,1)</f>
        <v/>
      </c>
    </row>
    <row r="707">
      <c r="A707" s="41" t="n"/>
      <c r="B707" s="41" t="n"/>
      <c r="C707" s="24" t="n"/>
      <c r="D707" s="41" t="n"/>
      <c r="E707" s="41" t="n"/>
      <c r="F707" s="19">
        <f>IF(COUNTA(A707:E707)=0,"",IF(OR(ISNUMBER(SEARCH("소계",B707)),ISNUMBER(SEARCH("합계",B707))),"",TRIM(IF(B707="","이름 없음 ","")&amp;IF(A707="","받은 가족 없음 ","")&amp;IF(C707="","금액 없음 ",IF(ISNUMBER(C707),IF(C707&lt;1000,"금액 확인 ",""),"금액 확인 "))&amp;IF(AND(B707&lt;&gt;"",COUNTIFS($A$2:$A$1001,A707,$B$2:$B$1001,B707,$C$2:$C$1001,C707)&gt;1),"중복 의심",""))))</f>
        <v/>
      </c>
      <c r="G707" s="25">
        <f>IF(OR(COUNTA(A707:E707)=0,OR(ISNUMBER(SEARCH("소계",B707)),ISNUMBER(SEARCH("합계",B707)))),"",1+COUNTIF($B$1:B706,"*소계*"))</f>
        <v/>
      </c>
      <c r="H707">
        <f>IF(AND(A707&lt;&gt;"",A707=가족별!$B$1,G707&lt;&gt;""),COUNTIFS($A$2:A707,가족별!$B$1,$G$2:G707,"&gt;0"),"")</f>
        <v/>
      </c>
      <c r="I707">
        <f>IF(ISNUMBER(SEARCH("소계",B707)),COUNTIF($B$2:B707,"*소계*"),"")</f>
        <v/>
      </c>
      <c r="J707">
        <f>IF(F707="",0,1)</f>
        <v/>
      </c>
    </row>
    <row r="708">
      <c r="A708" s="41" t="n"/>
      <c r="B708" s="41" t="n"/>
      <c r="C708" s="24" t="n"/>
      <c r="D708" s="41" t="n"/>
      <c r="E708" s="41" t="n"/>
      <c r="F708" s="19">
        <f>IF(COUNTA(A708:E708)=0,"",IF(OR(ISNUMBER(SEARCH("소계",B708)),ISNUMBER(SEARCH("합계",B708))),"",TRIM(IF(B708="","이름 없음 ","")&amp;IF(A708="","받은 가족 없음 ","")&amp;IF(C708="","금액 없음 ",IF(ISNUMBER(C708),IF(C708&lt;1000,"금액 확인 ",""),"금액 확인 "))&amp;IF(AND(B708&lt;&gt;"",COUNTIFS($A$2:$A$1001,A708,$B$2:$B$1001,B708,$C$2:$C$1001,C708)&gt;1),"중복 의심",""))))</f>
        <v/>
      </c>
      <c r="G708" s="25">
        <f>IF(OR(COUNTA(A708:E708)=0,OR(ISNUMBER(SEARCH("소계",B708)),ISNUMBER(SEARCH("합계",B708)))),"",1+COUNTIF($B$1:B707,"*소계*"))</f>
        <v/>
      </c>
      <c r="H708">
        <f>IF(AND(A708&lt;&gt;"",A708=가족별!$B$1,G708&lt;&gt;""),COUNTIFS($A$2:A708,가족별!$B$1,$G$2:G708,"&gt;0"),"")</f>
        <v/>
      </c>
      <c r="I708">
        <f>IF(ISNUMBER(SEARCH("소계",B708)),COUNTIF($B$2:B708,"*소계*"),"")</f>
        <v/>
      </c>
      <c r="J708">
        <f>IF(F708="",0,1)</f>
        <v/>
      </c>
    </row>
    <row r="709">
      <c r="A709" s="41" t="n"/>
      <c r="B709" s="41" t="n"/>
      <c r="C709" s="24" t="n"/>
      <c r="D709" s="41" t="n"/>
      <c r="E709" s="41" t="n"/>
      <c r="F709" s="19">
        <f>IF(COUNTA(A709:E709)=0,"",IF(OR(ISNUMBER(SEARCH("소계",B709)),ISNUMBER(SEARCH("합계",B709))),"",TRIM(IF(B709="","이름 없음 ","")&amp;IF(A709="","받은 가족 없음 ","")&amp;IF(C709="","금액 없음 ",IF(ISNUMBER(C709),IF(C709&lt;1000,"금액 확인 ",""),"금액 확인 "))&amp;IF(AND(B709&lt;&gt;"",COUNTIFS($A$2:$A$1001,A709,$B$2:$B$1001,B709,$C$2:$C$1001,C709)&gt;1),"중복 의심",""))))</f>
        <v/>
      </c>
      <c r="G709" s="25">
        <f>IF(OR(COUNTA(A709:E709)=0,OR(ISNUMBER(SEARCH("소계",B709)),ISNUMBER(SEARCH("합계",B709)))),"",1+COUNTIF($B$1:B708,"*소계*"))</f>
        <v/>
      </c>
      <c r="H709">
        <f>IF(AND(A709&lt;&gt;"",A709=가족별!$B$1,G709&lt;&gt;""),COUNTIFS($A$2:A709,가족별!$B$1,$G$2:G709,"&gt;0"),"")</f>
        <v/>
      </c>
      <c r="I709">
        <f>IF(ISNUMBER(SEARCH("소계",B709)),COUNTIF($B$2:B709,"*소계*"),"")</f>
        <v/>
      </c>
      <c r="J709">
        <f>IF(F709="",0,1)</f>
        <v/>
      </c>
    </row>
    <row r="710">
      <c r="A710" s="41" t="n"/>
      <c r="B710" s="41" t="n"/>
      <c r="C710" s="24" t="n"/>
      <c r="D710" s="41" t="n"/>
      <c r="E710" s="41" t="n"/>
      <c r="F710" s="19">
        <f>IF(COUNTA(A710:E710)=0,"",IF(OR(ISNUMBER(SEARCH("소계",B710)),ISNUMBER(SEARCH("합계",B710))),"",TRIM(IF(B710="","이름 없음 ","")&amp;IF(A710="","받은 가족 없음 ","")&amp;IF(C710="","금액 없음 ",IF(ISNUMBER(C710),IF(C710&lt;1000,"금액 확인 ",""),"금액 확인 "))&amp;IF(AND(B710&lt;&gt;"",COUNTIFS($A$2:$A$1001,A710,$B$2:$B$1001,B710,$C$2:$C$1001,C710)&gt;1),"중복 의심",""))))</f>
        <v/>
      </c>
      <c r="G710" s="25">
        <f>IF(OR(COUNTA(A710:E710)=0,OR(ISNUMBER(SEARCH("소계",B710)),ISNUMBER(SEARCH("합계",B710)))),"",1+COUNTIF($B$1:B709,"*소계*"))</f>
        <v/>
      </c>
      <c r="H710">
        <f>IF(AND(A710&lt;&gt;"",A710=가족별!$B$1,G710&lt;&gt;""),COUNTIFS($A$2:A710,가족별!$B$1,$G$2:G710,"&gt;0"),"")</f>
        <v/>
      </c>
      <c r="I710">
        <f>IF(ISNUMBER(SEARCH("소계",B710)),COUNTIF($B$2:B710,"*소계*"),"")</f>
        <v/>
      </c>
      <c r="J710">
        <f>IF(F710="",0,1)</f>
        <v/>
      </c>
    </row>
    <row r="711">
      <c r="A711" s="41" t="n"/>
      <c r="B711" s="41" t="n"/>
      <c r="C711" s="24" t="n"/>
      <c r="D711" s="41" t="n"/>
      <c r="E711" s="41" t="n"/>
      <c r="F711" s="19">
        <f>IF(COUNTA(A711:E711)=0,"",IF(OR(ISNUMBER(SEARCH("소계",B711)),ISNUMBER(SEARCH("합계",B711))),"",TRIM(IF(B711="","이름 없음 ","")&amp;IF(A711="","받은 가족 없음 ","")&amp;IF(C711="","금액 없음 ",IF(ISNUMBER(C711),IF(C711&lt;1000,"금액 확인 ",""),"금액 확인 "))&amp;IF(AND(B711&lt;&gt;"",COUNTIFS($A$2:$A$1001,A711,$B$2:$B$1001,B711,$C$2:$C$1001,C711)&gt;1),"중복 의심",""))))</f>
        <v/>
      </c>
      <c r="G711" s="25">
        <f>IF(OR(COUNTA(A711:E711)=0,OR(ISNUMBER(SEARCH("소계",B711)),ISNUMBER(SEARCH("합계",B711)))),"",1+COUNTIF($B$1:B710,"*소계*"))</f>
        <v/>
      </c>
      <c r="H711">
        <f>IF(AND(A711&lt;&gt;"",A711=가족별!$B$1,G711&lt;&gt;""),COUNTIFS($A$2:A711,가족별!$B$1,$G$2:G711,"&gt;0"),"")</f>
        <v/>
      </c>
      <c r="I711">
        <f>IF(ISNUMBER(SEARCH("소계",B711)),COUNTIF($B$2:B711,"*소계*"),"")</f>
        <v/>
      </c>
      <c r="J711">
        <f>IF(F711="",0,1)</f>
        <v/>
      </c>
    </row>
    <row r="712">
      <c r="A712" s="41" t="n"/>
      <c r="B712" s="41" t="n"/>
      <c r="C712" s="24" t="n"/>
      <c r="D712" s="41" t="n"/>
      <c r="E712" s="41" t="n"/>
      <c r="F712" s="19">
        <f>IF(COUNTA(A712:E712)=0,"",IF(OR(ISNUMBER(SEARCH("소계",B712)),ISNUMBER(SEARCH("합계",B712))),"",TRIM(IF(B712="","이름 없음 ","")&amp;IF(A712="","받은 가족 없음 ","")&amp;IF(C712="","금액 없음 ",IF(ISNUMBER(C712),IF(C712&lt;1000,"금액 확인 ",""),"금액 확인 "))&amp;IF(AND(B712&lt;&gt;"",COUNTIFS($A$2:$A$1001,A712,$B$2:$B$1001,B712,$C$2:$C$1001,C712)&gt;1),"중복 의심",""))))</f>
        <v/>
      </c>
      <c r="G712" s="25">
        <f>IF(OR(COUNTA(A712:E712)=0,OR(ISNUMBER(SEARCH("소계",B712)),ISNUMBER(SEARCH("합계",B712)))),"",1+COUNTIF($B$1:B711,"*소계*"))</f>
        <v/>
      </c>
      <c r="H712">
        <f>IF(AND(A712&lt;&gt;"",A712=가족별!$B$1,G712&lt;&gt;""),COUNTIFS($A$2:A712,가족별!$B$1,$G$2:G712,"&gt;0"),"")</f>
        <v/>
      </c>
      <c r="I712">
        <f>IF(ISNUMBER(SEARCH("소계",B712)),COUNTIF($B$2:B712,"*소계*"),"")</f>
        <v/>
      </c>
      <c r="J712">
        <f>IF(F712="",0,1)</f>
        <v/>
      </c>
    </row>
    <row r="713">
      <c r="A713" s="41" t="n"/>
      <c r="B713" s="41" t="n"/>
      <c r="C713" s="24" t="n"/>
      <c r="D713" s="41" t="n"/>
      <c r="E713" s="41" t="n"/>
      <c r="F713" s="19">
        <f>IF(COUNTA(A713:E713)=0,"",IF(OR(ISNUMBER(SEARCH("소계",B713)),ISNUMBER(SEARCH("합계",B713))),"",TRIM(IF(B713="","이름 없음 ","")&amp;IF(A713="","받은 가족 없음 ","")&amp;IF(C713="","금액 없음 ",IF(ISNUMBER(C713),IF(C713&lt;1000,"금액 확인 ",""),"금액 확인 "))&amp;IF(AND(B713&lt;&gt;"",COUNTIFS($A$2:$A$1001,A713,$B$2:$B$1001,B713,$C$2:$C$1001,C713)&gt;1),"중복 의심",""))))</f>
        <v/>
      </c>
      <c r="G713" s="25">
        <f>IF(OR(COUNTA(A713:E713)=0,OR(ISNUMBER(SEARCH("소계",B713)),ISNUMBER(SEARCH("합계",B713)))),"",1+COUNTIF($B$1:B712,"*소계*"))</f>
        <v/>
      </c>
      <c r="H713">
        <f>IF(AND(A713&lt;&gt;"",A713=가족별!$B$1,G713&lt;&gt;""),COUNTIFS($A$2:A713,가족별!$B$1,$G$2:G713,"&gt;0"),"")</f>
        <v/>
      </c>
      <c r="I713">
        <f>IF(ISNUMBER(SEARCH("소계",B713)),COUNTIF($B$2:B713,"*소계*"),"")</f>
        <v/>
      </c>
      <c r="J713">
        <f>IF(F713="",0,1)</f>
        <v/>
      </c>
    </row>
    <row r="714">
      <c r="A714" s="41" t="n"/>
      <c r="B714" s="41" t="n"/>
      <c r="C714" s="24" t="n"/>
      <c r="D714" s="41" t="n"/>
      <c r="E714" s="41" t="n"/>
      <c r="F714" s="19">
        <f>IF(COUNTA(A714:E714)=0,"",IF(OR(ISNUMBER(SEARCH("소계",B714)),ISNUMBER(SEARCH("합계",B714))),"",TRIM(IF(B714="","이름 없음 ","")&amp;IF(A714="","받은 가족 없음 ","")&amp;IF(C714="","금액 없음 ",IF(ISNUMBER(C714),IF(C714&lt;1000,"금액 확인 ",""),"금액 확인 "))&amp;IF(AND(B714&lt;&gt;"",COUNTIFS($A$2:$A$1001,A714,$B$2:$B$1001,B714,$C$2:$C$1001,C714)&gt;1),"중복 의심",""))))</f>
        <v/>
      </c>
      <c r="G714" s="25">
        <f>IF(OR(COUNTA(A714:E714)=0,OR(ISNUMBER(SEARCH("소계",B714)),ISNUMBER(SEARCH("합계",B714)))),"",1+COUNTIF($B$1:B713,"*소계*"))</f>
        <v/>
      </c>
      <c r="H714">
        <f>IF(AND(A714&lt;&gt;"",A714=가족별!$B$1,G714&lt;&gt;""),COUNTIFS($A$2:A714,가족별!$B$1,$G$2:G714,"&gt;0"),"")</f>
        <v/>
      </c>
      <c r="I714">
        <f>IF(ISNUMBER(SEARCH("소계",B714)),COUNTIF($B$2:B714,"*소계*"),"")</f>
        <v/>
      </c>
      <c r="J714">
        <f>IF(F714="",0,1)</f>
        <v/>
      </c>
    </row>
    <row r="715">
      <c r="A715" s="41" t="n"/>
      <c r="B715" s="41" t="n"/>
      <c r="C715" s="24" t="n"/>
      <c r="D715" s="41" t="n"/>
      <c r="E715" s="41" t="n"/>
      <c r="F715" s="19">
        <f>IF(COUNTA(A715:E715)=0,"",IF(OR(ISNUMBER(SEARCH("소계",B715)),ISNUMBER(SEARCH("합계",B715))),"",TRIM(IF(B715="","이름 없음 ","")&amp;IF(A715="","받은 가족 없음 ","")&amp;IF(C715="","금액 없음 ",IF(ISNUMBER(C715),IF(C715&lt;1000,"금액 확인 ",""),"금액 확인 "))&amp;IF(AND(B715&lt;&gt;"",COUNTIFS($A$2:$A$1001,A715,$B$2:$B$1001,B715,$C$2:$C$1001,C715)&gt;1),"중복 의심",""))))</f>
        <v/>
      </c>
      <c r="G715" s="25">
        <f>IF(OR(COUNTA(A715:E715)=0,OR(ISNUMBER(SEARCH("소계",B715)),ISNUMBER(SEARCH("합계",B715)))),"",1+COUNTIF($B$1:B714,"*소계*"))</f>
        <v/>
      </c>
      <c r="H715">
        <f>IF(AND(A715&lt;&gt;"",A715=가족별!$B$1,G715&lt;&gt;""),COUNTIFS($A$2:A715,가족별!$B$1,$G$2:G715,"&gt;0"),"")</f>
        <v/>
      </c>
      <c r="I715">
        <f>IF(ISNUMBER(SEARCH("소계",B715)),COUNTIF($B$2:B715,"*소계*"),"")</f>
        <v/>
      </c>
      <c r="J715">
        <f>IF(F715="",0,1)</f>
        <v/>
      </c>
    </row>
    <row r="716">
      <c r="A716" s="41" t="n"/>
      <c r="B716" s="41" t="n"/>
      <c r="C716" s="24" t="n"/>
      <c r="D716" s="41" t="n"/>
      <c r="E716" s="41" t="n"/>
      <c r="F716" s="19">
        <f>IF(COUNTA(A716:E716)=0,"",IF(OR(ISNUMBER(SEARCH("소계",B716)),ISNUMBER(SEARCH("합계",B716))),"",TRIM(IF(B716="","이름 없음 ","")&amp;IF(A716="","받은 가족 없음 ","")&amp;IF(C716="","금액 없음 ",IF(ISNUMBER(C716),IF(C716&lt;1000,"금액 확인 ",""),"금액 확인 "))&amp;IF(AND(B716&lt;&gt;"",COUNTIFS($A$2:$A$1001,A716,$B$2:$B$1001,B716,$C$2:$C$1001,C716)&gt;1),"중복 의심",""))))</f>
        <v/>
      </c>
      <c r="G716" s="25">
        <f>IF(OR(COUNTA(A716:E716)=0,OR(ISNUMBER(SEARCH("소계",B716)),ISNUMBER(SEARCH("합계",B716)))),"",1+COUNTIF($B$1:B715,"*소계*"))</f>
        <v/>
      </c>
      <c r="H716">
        <f>IF(AND(A716&lt;&gt;"",A716=가족별!$B$1,G716&lt;&gt;""),COUNTIFS($A$2:A716,가족별!$B$1,$G$2:G716,"&gt;0"),"")</f>
        <v/>
      </c>
      <c r="I716">
        <f>IF(ISNUMBER(SEARCH("소계",B716)),COUNTIF($B$2:B716,"*소계*"),"")</f>
        <v/>
      </c>
      <c r="J716">
        <f>IF(F716="",0,1)</f>
        <v/>
      </c>
    </row>
    <row r="717">
      <c r="A717" s="41" t="n"/>
      <c r="B717" s="41" t="n"/>
      <c r="C717" s="24" t="n"/>
      <c r="D717" s="41" t="n"/>
      <c r="E717" s="41" t="n"/>
      <c r="F717" s="19">
        <f>IF(COUNTA(A717:E717)=0,"",IF(OR(ISNUMBER(SEARCH("소계",B717)),ISNUMBER(SEARCH("합계",B717))),"",TRIM(IF(B717="","이름 없음 ","")&amp;IF(A717="","받은 가족 없음 ","")&amp;IF(C717="","금액 없음 ",IF(ISNUMBER(C717),IF(C717&lt;1000,"금액 확인 ",""),"금액 확인 "))&amp;IF(AND(B717&lt;&gt;"",COUNTIFS($A$2:$A$1001,A717,$B$2:$B$1001,B717,$C$2:$C$1001,C717)&gt;1),"중복 의심",""))))</f>
        <v/>
      </c>
      <c r="G717" s="25">
        <f>IF(OR(COUNTA(A717:E717)=0,OR(ISNUMBER(SEARCH("소계",B717)),ISNUMBER(SEARCH("합계",B717)))),"",1+COUNTIF($B$1:B716,"*소계*"))</f>
        <v/>
      </c>
      <c r="H717">
        <f>IF(AND(A717&lt;&gt;"",A717=가족별!$B$1,G717&lt;&gt;""),COUNTIFS($A$2:A717,가족별!$B$1,$G$2:G717,"&gt;0"),"")</f>
        <v/>
      </c>
      <c r="I717">
        <f>IF(ISNUMBER(SEARCH("소계",B717)),COUNTIF($B$2:B717,"*소계*"),"")</f>
        <v/>
      </c>
      <c r="J717">
        <f>IF(F717="",0,1)</f>
        <v/>
      </c>
    </row>
    <row r="718">
      <c r="A718" s="41" t="n"/>
      <c r="B718" s="41" t="n"/>
      <c r="C718" s="24" t="n"/>
      <c r="D718" s="41" t="n"/>
      <c r="E718" s="41" t="n"/>
      <c r="F718" s="19">
        <f>IF(COUNTA(A718:E718)=0,"",IF(OR(ISNUMBER(SEARCH("소계",B718)),ISNUMBER(SEARCH("합계",B718))),"",TRIM(IF(B718="","이름 없음 ","")&amp;IF(A718="","받은 가족 없음 ","")&amp;IF(C718="","금액 없음 ",IF(ISNUMBER(C718),IF(C718&lt;1000,"금액 확인 ",""),"금액 확인 "))&amp;IF(AND(B718&lt;&gt;"",COUNTIFS($A$2:$A$1001,A718,$B$2:$B$1001,B718,$C$2:$C$1001,C718)&gt;1),"중복 의심",""))))</f>
        <v/>
      </c>
      <c r="G718" s="25">
        <f>IF(OR(COUNTA(A718:E718)=0,OR(ISNUMBER(SEARCH("소계",B718)),ISNUMBER(SEARCH("합계",B718)))),"",1+COUNTIF($B$1:B717,"*소계*"))</f>
        <v/>
      </c>
      <c r="H718">
        <f>IF(AND(A718&lt;&gt;"",A718=가족별!$B$1,G718&lt;&gt;""),COUNTIFS($A$2:A718,가족별!$B$1,$G$2:G718,"&gt;0"),"")</f>
        <v/>
      </c>
      <c r="I718">
        <f>IF(ISNUMBER(SEARCH("소계",B718)),COUNTIF($B$2:B718,"*소계*"),"")</f>
        <v/>
      </c>
      <c r="J718">
        <f>IF(F718="",0,1)</f>
        <v/>
      </c>
    </row>
    <row r="719">
      <c r="A719" s="41" t="n"/>
      <c r="B719" s="41" t="n"/>
      <c r="C719" s="24" t="n"/>
      <c r="D719" s="41" t="n"/>
      <c r="E719" s="41" t="n"/>
      <c r="F719" s="19">
        <f>IF(COUNTA(A719:E719)=0,"",IF(OR(ISNUMBER(SEARCH("소계",B719)),ISNUMBER(SEARCH("합계",B719))),"",TRIM(IF(B719="","이름 없음 ","")&amp;IF(A719="","받은 가족 없음 ","")&amp;IF(C719="","금액 없음 ",IF(ISNUMBER(C719),IF(C719&lt;1000,"금액 확인 ",""),"금액 확인 "))&amp;IF(AND(B719&lt;&gt;"",COUNTIFS($A$2:$A$1001,A719,$B$2:$B$1001,B719,$C$2:$C$1001,C719)&gt;1),"중복 의심",""))))</f>
        <v/>
      </c>
      <c r="G719" s="25">
        <f>IF(OR(COUNTA(A719:E719)=0,OR(ISNUMBER(SEARCH("소계",B719)),ISNUMBER(SEARCH("합계",B719)))),"",1+COUNTIF($B$1:B718,"*소계*"))</f>
        <v/>
      </c>
      <c r="H719">
        <f>IF(AND(A719&lt;&gt;"",A719=가족별!$B$1,G719&lt;&gt;""),COUNTIFS($A$2:A719,가족별!$B$1,$G$2:G719,"&gt;0"),"")</f>
        <v/>
      </c>
      <c r="I719">
        <f>IF(ISNUMBER(SEARCH("소계",B719)),COUNTIF($B$2:B719,"*소계*"),"")</f>
        <v/>
      </c>
      <c r="J719">
        <f>IF(F719="",0,1)</f>
        <v/>
      </c>
    </row>
    <row r="720">
      <c r="A720" s="41" t="n"/>
      <c r="B720" s="41" t="n"/>
      <c r="C720" s="24" t="n"/>
      <c r="D720" s="41" t="n"/>
      <c r="E720" s="41" t="n"/>
      <c r="F720" s="19">
        <f>IF(COUNTA(A720:E720)=0,"",IF(OR(ISNUMBER(SEARCH("소계",B720)),ISNUMBER(SEARCH("합계",B720))),"",TRIM(IF(B720="","이름 없음 ","")&amp;IF(A720="","받은 가족 없음 ","")&amp;IF(C720="","금액 없음 ",IF(ISNUMBER(C720),IF(C720&lt;1000,"금액 확인 ",""),"금액 확인 "))&amp;IF(AND(B720&lt;&gt;"",COUNTIFS($A$2:$A$1001,A720,$B$2:$B$1001,B720,$C$2:$C$1001,C720)&gt;1),"중복 의심",""))))</f>
        <v/>
      </c>
      <c r="G720" s="25">
        <f>IF(OR(COUNTA(A720:E720)=0,OR(ISNUMBER(SEARCH("소계",B720)),ISNUMBER(SEARCH("합계",B720)))),"",1+COUNTIF($B$1:B719,"*소계*"))</f>
        <v/>
      </c>
      <c r="H720">
        <f>IF(AND(A720&lt;&gt;"",A720=가족별!$B$1,G720&lt;&gt;""),COUNTIFS($A$2:A720,가족별!$B$1,$G$2:G720,"&gt;0"),"")</f>
        <v/>
      </c>
      <c r="I720">
        <f>IF(ISNUMBER(SEARCH("소계",B720)),COUNTIF($B$2:B720,"*소계*"),"")</f>
        <v/>
      </c>
      <c r="J720">
        <f>IF(F720="",0,1)</f>
        <v/>
      </c>
    </row>
    <row r="721">
      <c r="A721" s="41" t="n"/>
      <c r="B721" s="41" t="n"/>
      <c r="C721" s="24" t="n"/>
      <c r="D721" s="41" t="n"/>
      <c r="E721" s="41" t="n"/>
      <c r="F721" s="19">
        <f>IF(COUNTA(A721:E721)=0,"",IF(OR(ISNUMBER(SEARCH("소계",B721)),ISNUMBER(SEARCH("합계",B721))),"",TRIM(IF(B721="","이름 없음 ","")&amp;IF(A721="","받은 가족 없음 ","")&amp;IF(C721="","금액 없음 ",IF(ISNUMBER(C721),IF(C721&lt;1000,"금액 확인 ",""),"금액 확인 "))&amp;IF(AND(B721&lt;&gt;"",COUNTIFS($A$2:$A$1001,A721,$B$2:$B$1001,B721,$C$2:$C$1001,C721)&gt;1),"중복 의심",""))))</f>
        <v/>
      </c>
      <c r="G721" s="25">
        <f>IF(OR(COUNTA(A721:E721)=0,OR(ISNUMBER(SEARCH("소계",B721)),ISNUMBER(SEARCH("합계",B721)))),"",1+COUNTIF($B$1:B720,"*소계*"))</f>
        <v/>
      </c>
      <c r="H721">
        <f>IF(AND(A721&lt;&gt;"",A721=가족별!$B$1,G721&lt;&gt;""),COUNTIFS($A$2:A721,가족별!$B$1,$G$2:G721,"&gt;0"),"")</f>
        <v/>
      </c>
      <c r="I721">
        <f>IF(ISNUMBER(SEARCH("소계",B721)),COUNTIF($B$2:B721,"*소계*"),"")</f>
        <v/>
      </c>
      <c r="J721">
        <f>IF(F721="",0,1)</f>
        <v/>
      </c>
    </row>
    <row r="722">
      <c r="A722" s="41" t="n"/>
      <c r="B722" s="41" t="n"/>
      <c r="C722" s="24" t="n"/>
      <c r="D722" s="41" t="n"/>
      <c r="E722" s="41" t="n"/>
      <c r="F722" s="19">
        <f>IF(COUNTA(A722:E722)=0,"",IF(OR(ISNUMBER(SEARCH("소계",B722)),ISNUMBER(SEARCH("합계",B722))),"",TRIM(IF(B722="","이름 없음 ","")&amp;IF(A722="","받은 가족 없음 ","")&amp;IF(C722="","금액 없음 ",IF(ISNUMBER(C722),IF(C722&lt;1000,"금액 확인 ",""),"금액 확인 "))&amp;IF(AND(B722&lt;&gt;"",COUNTIFS($A$2:$A$1001,A722,$B$2:$B$1001,B722,$C$2:$C$1001,C722)&gt;1),"중복 의심",""))))</f>
        <v/>
      </c>
      <c r="G722" s="25">
        <f>IF(OR(COUNTA(A722:E722)=0,OR(ISNUMBER(SEARCH("소계",B722)),ISNUMBER(SEARCH("합계",B722)))),"",1+COUNTIF($B$1:B721,"*소계*"))</f>
        <v/>
      </c>
      <c r="H722">
        <f>IF(AND(A722&lt;&gt;"",A722=가족별!$B$1,G722&lt;&gt;""),COUNTIFS($A$2:A722,가족별!$B$1,$G$2:G722,"&gt;0"),"")</f>
        <v/>
      </c>
      <c r="I722">
        <f>IF(ISNUMBER(SEARCH("소계",B722)),COUNTIF($B$2:B722,"*소계*"),"")</f>
        <v/>
      </c>
      <c r="J722">
        <f>IF(F722="",0,1)</f>
        <v/>
      </c>
    </row>
    <row r="723">
      <c r="A723" s="41" t="n"/>
      <c r="B723" s="41" t="n"/>
      <c r="C723" s="24" t="n"/>
      <c r="D723" s="41" t="n"/>
      <c r="E723" s="41" t="n"/>
      <c r="F723" s="19">
        <f>IF(COUNTA(A723:E723)=0,"",IF(OR(ISNUMBER(SEARCH("소계",B723)),ISNUMBER(SEARCH("합계",B723))),"",TRIM(IF(B723="","이름 없음 ","")&amp;IF(A723="","받은 가족 없음 ","")&amp;IF(C723="","금액 없음 ",IF(ISNUMBER(C723),IF(C723&lt;1000,"금액 확인 ",""),"금액 확인 "))&amp;IF(AND(B723&lt;&gt;"",COUNTIFS($A$2:$A$1001,A723,$B$2:$B$1001,B723,$C$2:$C$1001,C723)&gt;1),"중복 의심",""))))</f>
        <v/>
      </c>
      <c r="G723" s="25">
        <f>IF(OR(COUNTA(A723:E723)=0,OR(ISNUMBER(SEARCH("소계",B723)),ISNUMBER(SEARCH("합계",B723)))),"",1+COUNTIF($B$1:B722,"*소계*"))</f>
        <v/>
      </c>
      <c r="H723">
        <f>IF(AND(A723&lt;&gt;"",A723=가족별!$B$1,G723&lt;&gt;""),COUNTIFS($A$2:A723,가족별!$B$1,$G$2:G723,"&gt;0"),"")</f>
        <v/>
      </c>
      <c r="I723">
        <f>IF(ISNUMBER(SEARCH("소계",B723)),COUNTIF($B$2:B723,"*소계*"),"")</f>
        <v/>
      </c>
      <c r="J723">
        <f>IF(F723="",0,1)</f>
        <v/>
      </c>
    </row>
    <row r="724">
      <c r="A724" s="41" t="n"/>
      <c r="B724" s="41" t="n"/>
      <c r="C724" s="24" t="n"/>
      <c r="D724" s="41" t="n"/>
      <c r="E724" s="41" t="n"/>
      <c r="F724" s="19">
        <f>IF(COUNTA(A724:E724)=0,"",IF(OR(ISNUMBER(SEARCH("소계",B724)),ISNUMBER(SEARCH("합계",B724))),"",TRIM(IF(B724="","이름 없음 ","")&amp;IF(A724="","받은 가족 없음 ","")&amp;IF(C724="","금액 없음 ",IF(ISNUMBER(C724),IF(C724&lt;1000,"금액 확인 ",""),"금액 확인 "))&amp;IF(AND(B724&lt;&gt;"",COUNTIFS($A$2:$A$1001,A724,$B$2:$B$1001,B724,$C$2:$C$1001,C724)&gt;1),"중복 의심",""))))</f>
        <v/>
      </c>
      <c r="G724" s="25">
        <f>IF(OR(COUNTA(A724:E724)=0,OR(ISNUMBER(SEARCH("소계",B724)),ISNUMBER(SEARCH("합계",B724)))),"",1+COUNTIF($B$1:B723,"*소계*"))</f>
        <v/>
      </c>
      <c r="H724">
        <f>IF(AND(A724&lt;&gt;"",A724=가족별!$B$1,G724&lt;&gt;""),COUNTIFS($A$2:A724,가족별!$B$1,$G$2:G724,"&gt;0"),"")</f>
        <v/>
      </c>
      <c r="I724">
        <f>IF(ISNUMBER(SEARCH("소계",B724)),COUNTIF($B$2:B724,"*소계*"),"")</f>
        <v/>
      </c>
      <c r="J724">
        <f>IF(F724="",0,1)</f>
        <v/>
      </c>
    </row>
    <row r="725">
      <c r="A725" s="41" t="n"/>
      <c r="B725" s="41" t="n"/>
      <c r="C725" s="24" t="n"/>
      <c r="D725" s="41" t="n"/>
      <c r="E725" s="41" t="n"/>
      <c r="F725" s="19">
        <f>IF(COUNTA(A725:E725)=0,"",IF(OR(ISNUMBER(SEARCH("소계",B725)),ISNUMBER(SEARCH("합계",B725))),"",TRIM(IF(B725="","이름 없음 ","")&amp;IF(A725="","받은 가족 없음 ","")&amp;IF(C725="","금액 없음 ",IF(ISNUMBER(C725),IF(C725&lt;1000,"금액 확인 ",""),"금액 확인 "))&amp;IF(AND(B725&lt;&gt;"",COUNTIFS($A$2:$A$1001,A725,$B$2:$B$1001,B725,$C$2:$C$1001,C725)&gt;1),"중복 의심",""))))</f>
        <v/>
      </c>
      <c r="G725" s="25">
        <f>IF(OR(COUNTA(A725:E725)=0,OR(ISNUMBER(SEARCH("소계",B725)),ISNUMBER(SEARCH("합계",B725)))),"",1+COUNTIF($B$1:B724,"*소계*"))</f>
        <v/>
      </c>
      <c r="H725">
        <f>IF(AND(A725&lt;&gt;"",A725=가족별!$B$1,G725&lt;&gt;""),COUNTIFS($A$2:A725,가족별!$B$1,$G$2:G725,"&gt;0"),"")</f>
        <v/>
      </c>
      <c r="I725">
        <f>IF(ISNUMBER(SEARCH("소계",B725)),COUNTIF($B$2:B725,"*소계*"),"")</f>
        <v/>
      </c>
      <c r="J725">
        <f>IF(F725="",0,1)</f>
        <v/>
      </c>
    </row>
    <row r="726">
      <c r="A726" s="41" t="n"/>
      <c r="B726" s="41" t="n"/>
      <c r="C726" s="24" t="n"/>
      <c r="D726" s="41" t="n"/>
      <c r="E726" s="41" t="n"/>
      <c r="F726" s="19">
        <f>IF(COUNTA(A726:E726)=0,"",IF(OR(ISNUMBER(SEARCH("소계",B726)),ISNUMBER(SEARCH("합계",B726))),"",TRIM(IF(B726="","이름 없음 ","")&amp;IF(A726="","받은 가족 없음 ","")&amp;IF(C726="","금액 없음 ",IF(ISNUMBER(C726),IF(C726&lt;1000,"금액 확인 ",""),"금액 확인 "))&amp;IF(AND(B726&lt;&gt;"",COUNTIFS($A$2:$A$1001,A726,$B$2:$B$1001,B726,$C$2:$C$1001,C726)&gt;1),"중복 의심",""))))</f>
        <v/>
      </c>
      <c r="G726" s="25">
        <f>IF(OR(COUNTA(A726:E726)=0,OR(ISNUMBER(SEARCH("소계",B726)),ISNUMBER(SEARCH("합계",B726)))),"",1+COUNTIF($B$1:B725,"*소계*"))</f>
        <v/>
      </c>
      <c r="H726">
        <f>IF(AND(A726&lt;&gt;"",A726=가족별!$B$1,G726&lt;&gt;""),COUNTIFS($A$2:A726,가족별!$B$1,$G$2:G726,"&gt;0"),"")</f>
        <v/>
      </c>
      <c r="I726">
        <f>IF(ISNUMBER(SEARCH("소계",B726)),COUNTIF($B$2:B726,"*소계*"),"")</f>
        <v/>
      </c>
      <c r="J726">
        <f>IF(F726="",0,1)</f>
        <v/>
      </c>
    </row>
    <row r="727">
      <c r="A727" s="41" t="n"/>
      <c r="B727" s="41" t="n"/>
      <c r="C727" s="24" t="n"/>
      <c r="D727" s="41" t="n"/>
      <c r="E727" s="41" t="n"/>
      <c r="F727" s="19">
        <f>IF(COUNTA(A727:E727)=0,"",IF(OR(ISNUMBER(SEARCH("소계",B727)),ISNUMBER(SEARCH("합계",B727))),"",TRIM(IF(B727="","이름 없음 ","")&amp;IF(A727="","받은 가족 없음 ","")&amp;IF(C727="","금액 없음 ",IF(ISNUMBER(C727),IF(C727&lt;1000,"금액 확인 ",""),"금액 확인 "))&amp;IF(AND(B727&lt;&gt;"",COUNTIFS($A$2:$A$1001,A727,$B$2:$B$1001,B727,$C$2:$C$1001,C727)&gt;1),"중복 의심",""))))</f>
        <v/>
      </c>
      <c r="G727" s="25">
        <f>IF(OR(COUNTA(A727:E727)=0,OR(ISNUMBER(SEARCH("소계",B727)),ISNUMBER(SEARCH("합계",B727)))),"",1+COUNTIF($B$1:B726,"*소계*"))</f>
        <v/>
      </c>
      <c r="H727">
        <f>IF(AND(A727&lt;&gt;"",A727=가족별!$B$1,G727&lt;&gt;""),COUNTIFS($A$2:A727,가족별!$B$1,$G$2:G727,"&gt;0"),"")</f>
        <v/>
      </c>
      <c r="I727">
        <f>IF(ISNUMBER(SEARCH("소계",B727)),COUNTIF($B$2:B727,"*소계*"),"")</f>
        <v/>
      </c>
      <c r="J727">
        <f>IF(F727="",0,1)</f>
        <v/>
      </c>
    </row>
    <row r="728">
      <c r="A728" s="41" t="n"/>
      <c r="B728" s="41" t="n"/>
      <c r="C728" s="24" t="n"/>
      <c r="D728" s="41" t="n"/>
      <c r="E728" s="41" t="n"/>
      <c r="F728" s="19">
        <f>IF(COUNTA(A728:E728)=0,"",IF(OR(ISNUMBER(SEARCH("소계",B728)),ISNUMBER(SEARCH("합계",B728))),"",TRIM(IF(B728="","이름 없음 ","")&amp;IF(A728="","받은 가족 없음 ","")&amp;IF(C728="","금액 없음 ",IF(ISNUMBER(C728),IF(C728&lt;1000,"금액 확인 ",""),"금액 확인 "))&amp;IF(AND(B728&lt;&gt;"",COUNTIFS($A$2:$A$1001,A728,$B$2:$B$1001,B728,$C$2:$C$1001,C728)&gt;1),"중복 의심",""))))</f>
        <v/>
      </c>
      <c r="G728" s="25">
        <f>IF(OR(COUNTA(A728:E728)=0,OR(ISNUMBER(SEARCH("소계",B728)),ISNUMBER(SEARCH("합계",B728)))),"",1+COUNTIF($B$1:B727,"*소계*"))</f>
        <v/>
      </c>
      <c r="H728">
        <f>IF(AND(A728&lt;&gt;"",A728=가족별!$B$1,G728&lt;&gt;""),COUNTIFS($A$2:A728,가족별!$B$1,$G$2:G728,"&gt;0"),"")</f>
        <v/>
      </c>
      <c r="I728">
        <f>IF(ISNUMBER(SEARCH("소계",B728)),COUNTIF($B$2:B728,"*소계*"),"")</f>
        <v/>
      </c>
      <c r="J728">
        <f>IF(F728="",0,1)</f>
        <v/>
      </c>
    </row>
    <row r="729">
      <c r="A729" s="41" t="n"/>
      <c r="B729" s="41" t="n"/>
      <c r="C729" s="24" t="n"/>
      <c r="D729" s="41" t="n"/>
      <c r="E729" s="41" t="n"/>
      <c r="F729" s="19">
        <f>IF(COUNTA(A729:E729)=0,"",IF(OR(ISNUMBER(SEARCH("소계",B729)),ISNUMBER(SEARCH("합계",B729))),"",TRIM(IF(B729="","이름 없음 ","")&amp;IF(A729="","받은 가족 없음 ","")&amp;IF(C729="","금액 없음 ",IF(ISNUMBER(C729),IF(C729&lt;1000,"금액 확인 ",""),"금액 확인 "))&amp;IF(AND(B729&lt;&gt;"",COUNTIFS($A$2:$A$1001,A729,$B$2:$B$1001,B729,$C$2:$C$1001,C729)&gt;1),"중복 의심",""))))</f>
        <v/>
      </c>
      <c r="G729" s="25">
        <f>IF(OR(COUNTA(A729:E729)=0,OR(ISNUMBER(SEARCH("소계",B729)),ISNUMBER(SEARCH("합계",B729)))),"",1+COUNTIF($B$1:B728,"*소계*"))</f>
        <v/>
      </c>
      <c r="H729">
        <f>IF(AND(A729&lt;&gt;"",A729=가족별!$B$1,G729&lt;&gt;""),COUNTIFS($A$2:A729,가족별!$B$1,$G$2:G729,"&gt;0"),"")</f>
        <v/>
      </c>
      <c r="I729">
        <f>IF(ISNUMBER(SEARCH("소계",B729)),COUNTIF($B$2:B729,"*소계*"),"")</f>
        <v/>
      </c>
      <c r="J729">
        <f>IF(F729="",0,1)</f>
        <v/>
      </c>
    </row>
    <row r="730">
      <c r="A730" s="41" t="n"/>
      <c r="B730" s="41" t="n"/>
      <c r="C730" s="24" t="n"/>
      <c r="D730" s="41" t="n"/>
      <c r="E730" s="41" t="n"/>
      <c r="F730" s="19">
        <f>IF(COUNTA(A730:E730)=0,"",IF(OR(ISNUMBER(SEARCH("소계",B730)),ISNUMBER(SEARCH("합계",B730))),"",TRIM(IF(B730="","이름 없음 ","")&amp;IF(A730="","받은 가족 없음 ","")&amp;IF(C730="","금액 없음 ",IF(ISNUMBER(C730),IF(C730&lt;1000,"금액 확인 ",""),"금액 확인 "))&amp;IF(AND(B730&lt;&gt;"",COUNTIFS($A$2:$A$1001,A730,$B$2:$B$1001,B730,$C$2:$C$1001,C730)&gt;1),"중복 의심",""))))</f>
        <v/>
      </c>
      <c r="G730" s="25">
        <f>IF(OR(COUNTA(A730:E730)=0,OR(ISNUMBER(SEARCH("소계",B730)),ISNUMBER(SEARCH("합계",B730)))),"",1+COUNTIF($B$1:B729,"*소계*"))</f>
        <v/>
      </c>
      <c r="H730">
        <f>IF(AND(A730&lt;&gt;"",A730=가족별!$B$1,G730&lt;&gt;""),COUNTIFS($A$2:A730,가족별!$B$1,$G$2:G730,"&gt;0"),"")</f>
        <v/>
      </c>
      <c r="I730">
        <f>IF(ISNUMBER(SEARCH("소계",B730)),COUNTIF($B$2:B730,"*소계*"),"")</f>
        <v/>
      </c>
      <c r="J730">
        <f>IF(F730="",0,1)</f>
        <v/>
      </c>
    </row>
    <row r="731">
      <c r="A731" s="41" t="n"/>
      <c r="B731" s="41" t="n"/>
      <c r="C731" s="24" t="n"/>
      <c r="D731" s="41" t="n"/>
      <c r="E731" s="41" t="n"/>
      <c r="F731" s="19">
        <f>IF(COUNTA(A731:E731)=0,"",IF(OR(ISNUMBER(SEARCH("소계",B731)),ISNUMBER(SEARCH("합계",B731))),"",TRIM(IF(B731="","이름 없음 ","")&amp;IF(A731="","받은 가족 없음 ","")&amp;IF(C731="","금액 없음 ",IF(ISNUMBER(C731),IF(C731&lt;1000,"금액 확인 ",""),"금액 확인 "))&amp;IF(AND(B731&lt;&gt;"",COUNTIFS($A$2:$A$1001,A731,$B$2:$B$1001,B731,$C$2:$C$1001,C731)&gt;1),"중복 의심",""))))</f>
        <v/>
      </c>
      <c r="G731" s="25">
        <f>IF(OR(COUNTA(A731:E731)=0,OR(ISNUMBER(SEARCH("소계",B731)),ISNUMBER(SEARCH("합계",B731)))),"",1+COUNTIF($B$1:B730,"*소계*"))</f>
        <v/>
      </c>
      <c r="H731">
        <f>IF(AND(A731&lt;&gt;"",A731=가족별!$B$1,G731&lt;&gt;""),COUNTIFS($A$2:A731,가족별!$B$1,$G$2:G731,"&gt;0"),"")</f>
        <v/>
      </c>
      <c r="I731">
        <f>IF(ISNUMBER(SEARCH("소계",B731)),COUNTIF($B$2:B731,"*소계*"),"")</f>
        <v/>
      </c>
      <c r="J731">
        <f>IF(F731="",0,1)</f>
        <v/>
      </c>
    </row>
    <row r="732">
      <c r="A732" s="41" t="n"/>
      <c r="B732" s="41" t="n"/>
      <c r="C732" s="24" t="n"/>
      <c r="D732" s="41" t="n"/>
      <c r="E732" s="41" t="n"/>
      <c r="F732" s="19">
        <f>IF(COUNTA(A732:E732)=0,"",IF(OR(ISNUMBER(SEARCH("소계",B732)),ISNUMBER(SEARCH("합계",B732))),"",TRIM(IF(B732="","이름 없음 ","")&amp;IF(A732="","받은 가족 없음 ","")&amp;IF(C732="","금액 없음 ",IF(ISNUMBER(C732),IF(C732&lt;1000,"금액 확인 ",""),"금액 확인 "))&amp;IF(AND(B732&lt;&gt;"",COUNTIFS($A$2:$A$1001,A732,$B$2:$B$1001,B732,$C$2:$C$1001,C732)&gt;1),"중복 의심",""))))</f>
        <v/>
      </c>
      <c r="G732" s="25">
        <f>IF(OR(COUNTA(A732:E732)=0,OR(ISNUMBER(SEARCH("소계",B732)),ISNUMBER(SEARCH("합계",B732)))),"",1+COUNTIF($B$1:B731,"*소계*"))</f>
        <v/>
      </c>
      <c r="H732">
        <f>IF(AND(A732&lt;&gt;"",A732=가족별!$B$1,G732&lt;&gt;""),COUNTIFS($A$2:A732,가족별!$B$1,$G$2:G732,"&gt;0"),"")</f>
        <v/>
      </c>
      <c r="I732">
        <f>IF(ISNUMBER(SEARCH("소계",B732)),COUNTIF($B$2:B732,"*소계*"),"")</f>
        <v/>
      </c>
      <c r="J732">
        <f>IF(F732="",0,1)</f>
        <v/>
      </c>
    </row>
    <row r="733">
      <c r="A733" s="41" t="n"/>
      <c r="B733" s="41" t="n"/>
      <c r="C733" s="24" t="n"/>
      <c r="D733" s="41" t="n"/>
      <c r="E733" s="41" t="n"/>
      <c r="F733" s="19">
        <f>IF(COUNTA(A733:E733)=0,"",IF(OR(ISNUMBER(SEARCH("소계",B733)),ISNUMBER(SEARCH("합계",B733))),"",TRIM(IF(B733="","이름 없음 ","")&amp;IF(A733="","받은 가족 없음 ","")&amp;IF(C733="","금액 없음 ",IF(ISNUMBER(C733),IF(C733&lt;1000,"금액 확인 ",""),"금액 확인 "))&amp;IF(AND(B733&lt;&gt;"",COUNTIFS($A$2:$A$1001,A733,$B$2:$B$1001,B733,$C$2:$C$1001,C733)&gt;1),"중복 의심",""))))</f>
        <v/>
      </c>
      <c r="G733" s="25">
        <f>IF(OR(COUNTA(A733:E733)=0,OR(ISNUMBER(SEARCH("소계",B733)),ISNUMBER(SEARCH("합계",B733)))),"",1+COUNTIF($B$1:B732,"*소계*"))</f>
        <v/>
      </c>
      <c r="H733">
        <f>IF(AND(A733&lt;&gt;"",A733=가족별!$B$1,G733&lt;&gt;""),COUNTIFS($A$2:A733,가족별!$B$1,$G$2:G733,"&gt;0"),"")</f>
        <v/>
      </c>
      <c r="I733">
        <f>IF(ISNUMBER(SEARCH("소계",B733)),COUNTIF($B$2:B733,"*소계*"),"")</f>
        <v/>
      </c>
      <c r="J733">
        <f>IF(F733="",0,1)</f>
        <v/>
      </c>
    </row>
    <row r="734">
      <c r="A734" s="41" t="n"/>
      <c r="B734" s="41" t="n"/>
      <c r="C734" s="24" t="n"/>
      <c r="D734" s="41" t="n"/>
      <c r="E734" s="41" t="n"/>
      <c r="F734" s="19">
        <f>IF(COUNTA(A734:E734)=0,"",IF(OR(ISNUMBER(SEARCH("소계",B734)),ISNUMBER(SEARCH("합계",B734))),"",TRIM(IF(B734="","이름 없음 ","")&amp;IF(A734="","받은 가족 없음 ","")&amp;IF(C734="","금액 없음 ",IF(ISNUMBER(C734),IF(C734&lt;1000,"금액 확인 ",""),"금액 확인 "))&amp;IF(AND(B734&lt;&gt;"",COUNTIFS($A$2:$A$1001,A734,$B$2:$B$1001,B734,$C$2:$C$1001,C734)&gt;1),"중복 의심",""))))</f>
        <v/>
      </c>
      <c r="G734" s="25">
        <f>IF(OR(COUNTA(A734:E734)=0,OR(ISNUMBER(SEARCH("소계",B734)),ISNUMBER(SEARCH("합계",B734)))),"",1+COUNTIF($B$1:B733,"*소계*"))</f>
        <v/>
      </c>
      <c r="H734">
        <f>IF(AND(A734&lt;&gt;"",A734=가족별!$B$1,G734&lt;&gt;""),COUNTIFS($A$2:A734,가족별!$B$1,$G$2:G734,"&gt;0"),"")</f>
        <v/>
      </c>
      <c r="I734">
        <f>IF(ISNUMBER(SEARCH("소계",B734)),COUNTIF($B$2:B734,"*소계*"),"")</f>
        <v/>
      </c>
      <c r="J734">
        <f>IF(F734="",0,1)</f>
        <v/>
      </c>
    </row>
    <row r="735">
      <c r="A735" s="41" t="n"/>
      <c r="B735" s="41" t="n"/>
      <c r="C735" s="24" t="n"/>
      <c r="D735" s="41" t="n"/>
      <c r="E735" s="41" t="n"/>
      <c r="F735" s="19">
        <f>IF(COUNTA(A735:E735)=0,"",IF(OR(ISNUMBER(SEARCH("소계",B735)),ISNUMBER(SEARCH("합계",B735))),"",TRIM(IF(B735="","이름 없음 ","")&amp;IF(A735="","받은 가족 없음 ","")&amp;IF(C735="","금액 없음 ",IF(ISNUMBER(C735),IF(C735&lt;1000,"금액 확인 ",""),"금액 확인 "))&amp;IF(AND(B735&lt;&gt;"",COUNTIFS($A$2:$A$1001,A735,$B$2:$B$1001,B735,$C$2:$C$1001,C735)&gt;1),"중복 의심",""))))</f>
        <v/>
      </c>
      <c r="G735" s="25">
        <f>IF(OR(COUNTA(A735:E735)=0,OR(ISNUMBER(SEARCH("소계",B735)),ISNUMBER(SEARCH("합계",B735)))),"",1+COUNTIF($B$1:B734,"*소계*"))</f>
        <v/>
      </c>
      <c r="H735">
        <f>IF(AND(A735&lt;&gt;"",A735=가족별!$B$1,G735&lt;&gt;""),COUNTIFS($A$2:A735,가족별!$B$1,$G$2:G735,"&gt;0"),"")</f>
        <v/>
      </c>
      <c r="I735">
        <f>IF(ISNUMBER(SEARCH("소계",B735)),COUNTIF($B$2:B735,"*소계*"),"")</f>
        <v/>
      </c>
      <c r="J735">
        <f>IF(F735="",0,1)</f>
        <v/>
      </c>
    </row>
    <row r="736">
      <c r="A736" s="41" t="n"/>
      <c r="B736" s="41" t="n"/>
      <c r="C736" s="24" t="n"/>
      <c r="D736" s="41" t="n"/>
      <c r="E736" s="41" t="n"/>
      <c r="F736" s="19">
        <f>IF(COUNTA(A736:E736)=0,"",IF(OR(ISNUMBER(SEARCH("소계",B736)),ISNUMBER(SEARCH("합계",B736))),"",TRIM(IF(B736="","이름 없음 ","")&amp;IF(A736="","받은 가족 없음 ","")&amp;IF(C736="","금액 없음 ",IF(ISNUMBER(C736),IF(C736&lt;1000,"금액 확인 ",""),"금액 확인 "))&amp;IF(AND(B736&lt;&gt;"",COUNTIFS($A$2:$A$1001,A736,$B$2:$B$1001,B736,$C$2:$C$1001,C736)&gt;1),"중복 의심",""))))</f>
        <v/>
      </c>
      <c r="G736" s="25">
        <f>IF(OR(COUNTA(A736:E736)=0,OR(ISNUMBER(SEARCH("소계",B736)),ISNUMBER(SEARCH("합계",B736)))),"",1+COUNTIF($B$1:B735,"*소계*"))</f>
        <v/>
      </c>
      <c r="H736">
        <f>IF(AND(A736&lt;&gt;"",A736=가족별!$B$1,G736&lt;&gt;""),COUNTIFS($A$2:A736,가족별!$B$1,$G$2:G736,"&gt;0"),"")</f>
        <v/>
      </c>
      <c r="I736">
        <f>IF(ISNUMBER(SEARCH("소계",B736)),COUNTIF($B$2:B736,"*소계*"),"")</f>
        <v/>
      </c>
      <c r="J736">
        <f>IF(F736="",0,1)</f>
        <v/>
      </c>
    </row>
    <row r="737">
      <c r="A737" s="41" t="n"/>
      <c r="B737" s="41" t="n"/>
      <c r="C737" s="24" t="n"/>
      <c r="D737" s="41" t="n"/>
      <c r="E737" s="41" t="n"/>
      <c r="F737" s="19">
        <f>IF(COUNTA(A737:E737)=0,"",IF(OR(ISNUMBER(SEARCH("소계",B737)),ISNUMBER(SEARCH("합계",B737))),"",TRIM(IF(B737="","이름 없음 ","")&amp;IF(A737="","받은 가족 없음 ","")&amp;IF(C737="","금액 없음 ",IF(ISNUMBER(C737),IF(C737&lt;1000,"금액 확인 ",""),"금액 확인 "))&amp;IF(AND(B737&lt;&gt;"",COUNTIFS($A$2:$A$1001,A737,$B$2:$B$1001,B737,$C$2:$C$1001,C737)&gt;1),"중복 의심",""))))</f>
        <v/>
      </c>
      <c r="G737" s="25">
        <f>IF(OR(COUNTA(A737:E737)=0,OR(ISNUMBER(SEARCH("소계",B737)),ISNUMBER(SEARCH("합계",B737)))),"",1+COUNTIF($B$1:B736,"*소계*"))</f>
        <v/>
      </c>
      <c r="H737">
        <f>IF(AND(A737&lt;&gt;"",A737=가족별!$B$1,G737&lt;&gt;""),COUNTIFS($A$2:A737,가족별!$B$1,$G$2:G737,"&gt;0"),"")</f>
        <v/>
      </c>
      <c r="I737">
        <f>IF(ISNUMBER(SEARCH("소계",B737)),COUNTIF($B$2:B737,"*소계*"),"")</f>
        <v/>
      </c>
      <c r="J737">
        <f>IF(F737="",0,1)</f>
        <v/>
      </c>
    </row>
    <row r="738">
      <c r="A738" s="41" t="n"/>
      <c r="B738" s="41" t="n"/>
      <c r="C738" s="24" t="n"/>
      <c r="D738" s="41" t="n"/>
      <c r="E738" s="41" t="n"/>
      <c r="F738" s="19">
        <f>IF(COUNTA(A738:E738)=0,"",IF(OR(ISNUMBER(SEARCH("소계",B738)),ISNUMBER(SEARCH("합계",B738))),"",TRIM(IF(B738="","이름 없음 ","")&amp;IF(A738="","받은 가족 없음 ","")&amp;IF(C738="","금액 없음 ",IF(ISNUMBER(C738),IF(C738&lt;1000,"금액 확인 ",""),"금액 확인 "))&amp;IF(AND(B738&lt;&gt;"",COUNTIFS($A$2:$A$1001,A738,$B$2:$B$1001,B738,$C$2:$C$1001,C738)&gt;1),"중복 의심",""))))</f>
        <v/>
      </c>
      <c r="G738" s="25">
        <f>IF(OR(COUNTA(A738:E738)=0,OR(ISNUMBER(SEARCH("소계",B738)),ISNUMBER(SEARCH("합계",B738)))),"",1+COUNTIF($B$1:B737,"*소계*"))</f>
        <v/>
      </c>
      <c r="H738">
        <f>IF(AND(A738&lt;&gt;"",A738=가족별!$B$1,G738&lt;&gt;""),COUNTIFS($A$2:A738,가족별!$B$1,$G$2:G738,"&gt;0"),"")</f>
        <v/>
      </c>
      <c r="I738">
        <f>IF(ISNUMBER(SEARCH("소계",B738)),COUNTIF($B$2:B738,"*소계*"),"")</f>
        <v/>
      </c>
      <c r="J738">
        <f>IF(F738="",0,1)</f>
        <v/>
      </c>
    </row>
    <row r="739">
      <c r="A739" s="41" t="n"/>
      <c r="B739" s="41" t="n"/>
      <c r="C739" s="24" t="n"/>
      <c r="D739" s="41" t="n"/>
      <c r="E739" s="41" t="n"/>
      <c r="F739" s="19">
        <f>IF(COUNTA(A739:E739)=0,"",IF(OR(ISNUMBER(SEARCH("소계",B739)),ISNUMBER(SEARCH("합계",B739))),"",TRIM(IF(B739="","이름 없음 ","")&amp;IF(A739="","받은 가족 없음 ","")&amp;IF(C739="","금액 없음 ",IF(ISNUMBER(C739),IF(C739&lt;1000,"금액 확인 ",""),"금액 확인 "))&amp;IF(AND(B739&lt;&gt;"",COUNTIFS($A$2:$A$1001,A739,$B$2:$B$1001,B739,$C$2:$C$1001,C739)&gt;1),"중복 의심",""))))</f>
        <v/>
      </c>
      <c r="G739" s="25">
        <f>IF(OR(COUNTA(A739:E739)=0,OR(ISNUMBER(SEARCH("소계",B739)),ISNUMBER(SEARCH("합계",B739)))),"",1+COUNTIF($B$1:B738,"*소계*"))</f>
        <v/>
      </c>
      <c r="H739">
        <f>IF(AND(A739&lt;&gt;"",A739=가족별!$B$1,G739&lt;&gt;""),COUNTIFS($A$2:A739,가족별!$B$1,$G$2:G739,"&gt;0"),"")</f>
        <v/>
      </c>
      <c r="I739">
        <f>IF(ISNUMBER(SEARCH("소계",B739)),COUNTIF($B$2:B739,"*소계*"),"")</f>
        <v/>
      </c>
      <c r="J739">
        <f>IF(F739="",0,1)</f>
        <v/>
      </c>
    </row>
    <row r="740">
      <c r="A740" s="41" t="n"/>
      <c r="B740" s="41" t="n"/>
      <c r="C740" s="24" t="n"/>
      <c r="D740" s="41" t="n"/>
      <c r="E740" s="41" t="n"/>
      <c r="F740" s="19">
        <f>IF(COUNTA(A740:E740)=0,"",IF(OR(ISNUMBER(SEARCH("소계",B740)),ISNUMBER(SEARCH("합계",B740))),"",TRIM(IF(B740="","이름 없음 ","")&amp;IF(A740="","받은 가족 없음 ","")&amp;IF(C740="","금액 없음 ",IF(ISNUMBER(C740),IF(C740&lt;1000,"금액 확인 ",""),"금액 확인 "))&amp;IF(AND(B740&lt;&gt;"",COUNTIFS($A$2:$A$1001,A740,$B$2:$B$1001,B740,$C$2:$C$1001,C740)&gt;1),"중복 의심",""))))</f>
        <v/>
      </c>
      <c r="G740" s="25">
        <f>IF(OR(COUNTA(A740:E740)=0,OR(ISNUMBER(SEARCH("소계",B740)),ISNUMBER(SEARCH("합계",B740)))),"",1+COUNTIF($B$1:B739,"*소계*"))</f>
        <v/>
      </c>
      <c r="H740">
        <f>IF(AND(A740&lt;&gt;"",A740=가족별!$B$1,G740&lt;&gt;""),COUNTIFS($A$2:A740,가족별!$B$1,$G$2:G740,"&gt;0"),"")</f>
        <v/>
      </c>
      <c r="I740">
        <f>IF(ISNUMBER(SEARCH("소계",B740)),COUNTIF($B$2:B740,"*소계*"),"")</f>
        <v/>
      </c>
      <c r="J740">
        <f>IF(F740="",0,1)</f>
        <v/>
      </c>
    </row>
    <row r="741">
      <c r="A741" s="41" t="n"/>
      <c r="B741" s="41" t="n"/>
      <c r="C741" s="24" t="n"/>
      <c r="D741" s="41" t="n"/>
      <c r="E741" s="41" t="n"/>
      <c r="F741" s="19">
        <f>IF(COUNTA(A741:E741)=0,"",IF(OR(ISNUMBER(SEARCH("소계",B741)),ISNUMBER(SEARCH("합계",B741))),"",TRIM(IF(B741="","이름 없음 ","")&amp;IF(A741="","받은 가족 없음 ","")&amp;IF(C741="","금액 없음 ",IF(ISNUMBER(C741),IF(C741&lt;1000,"금액 확인 ",""),"금액 확인 "))&amp;IF(AND(B741&lt;&gt;"",COUNTIFS($A$2:$A$1001,A741,$B$2:$B$1001,B741,$C$2:$C$1001,C741)&gt;1),"중복 의심",""))))</f>
        <v/>
      </c>
      <c r="G741" s="25">
        <f>IF(OR(COUNTA(A741:E741)=0,OR(ISNUMBER(SEARCH("소계",B741)),ISNUMBER(SEARCH("합계",B741)))),"",1+COUNTIF($B$1:B740,"*소계*"))</f>
        <v/>
      </c>
      <c r="H741">
        <f>IF(AND(A741&lt;&gt;"",A741=가족별!$B$1,G741&lt;&gt;""),COUNTIFS($A$2:A741,가족별!$B$1,$G$2:G741,"&gt;0"),"")</f>
        <v/>
      </c>
      <c r="I741">
        <f>IF(ISNUMBER(SEARCH("소계",B741)),COUNTIF($B$2:B741,"*소계*"),"")</f>
        <v/>
      </c>
      <c r="J741">
        <f>IF(F741="",0,1)</f>
        <v/>
      </c>
    </row>
    <row r="742">
      <c r="A742" s="41" t="n"/>
      <c r="B742" s="41" t="n"/>
      <c r="C742" s="24" t="n"/>
      <c r="D742" s="41" t="n"/>
      <c r="E742" s="41" t="n"/>
      <c r="F742" s="19">
        <f>IF(COUNTA(A742:E742)=0,"",IF(OR(ISNUMBER(SEARCH("소계",B742)),ISNUMBER(SEARCH("합계",B742))),"",TRIM(IF(B742="","이름 없음 ","")&amp;IF(A742="","받은 가족 없음 ","")&amp;IF(C742="","금액 없음 ",IF(ISNUMBER(C742),IF(C742&lt;1000,"금액 확인 ",""),"금액 확인 "))&amp;IF(AND(B742&lt;&gt;"",COUNTIFS($A$2:$A$1001,A742,$B$2:$B$1001,B742,$C$2:$C$1001,C742)&gt;1),"중복 의심",""))))</f>
        <v/>
      </c>
      <c r="G742" s="25">
        <f>IF(OR(COUNTA(A742:E742)=0,OR(ISNUMBER(SEARCH("소계",B742)),ISNUMBER(SEARCH("합계",B742)))),"",1+COUNTIF($B$1:B741,"*소계*"))</f>
        <v/>
      </c>
      <c r="H742">
        <f>IF(AND(A742&lt;&gt;"",A742=가족별!$B$1,G742&lt;&gt;""),COUNTIFS($A$2:A742,가족별!$B$1,$G$2:G742,"&gt;0"),"")</f>
        <v/>
      </c>
      <c r="I742">
        <f>IF(ISNUMBER(SEARCH("소계",B742)),COUNTIF($B$2:B742,"*소계*"),"")</f>
        <v/>
      </c>
      <c r="J742">
        <f>IF(F742="",0,1)</f>
        <v/>
      </c>
    </row>
    <row r="743">
      <c r="A743" s="41" t="n"/>
      <c r="B743" s="41" t="n"/>
      <c r="C743" s="24" t="n"/>
      <c r="D743" s="41" t="n"/>
      <c r="E743" s="41" t="n"/>
      <c r="F743" s="19">
        <f>IF(COUNTA(A743:E743)=0,"",IF(OR(ISNUMBER(SEARCH("소계",B743)),ISNUMBER(SEARCH("합계",B743))),"",TRIM(IF(B743="","이름 없음 ","")&amp;IF(A743="","받은 가족 없음 ","")&amp;IF(C743="","금액 없음 ",IF(ISNUMBER(C743),IF(C743&lt;1000,"금액 확인 ",""),"금액 확인 "))&amp;IF(AND(B743&lt;&gt;"",COUNTIFS($A$2:$A$1001,A743,$B$2:$B$1001,B743,$C$2:$C$1001,C743)&gt;1),"중복 의심",""))))</f>
        <v/>
      </c>
      <c r="G743" s="25">
        <f>IF(OR(COUNTA(A743:E743)=0,OR(ISNUMBER(SEARCH("소계",B743)),ISNUMBER(SEARCH("합계",B743)))),"",1+COUNTIF($B$1:B742,"*소계*"))</f>
        <v/>
      </c>
      <c r="H743">
        <f>IF(AND(A743&lt;&gt;"",A743=가족별!$B$1,G743&lt;&gt;""),COUNTIFS($A$2:A743,가족별!$B$1,$G$2:G743,"&gt;0"),"")</f>
        <v/>
      </c>
      <c r="I743">
        <f>IF(ISNUMBER(SEARCH("소계",B743)),COUNTIF($B$2:B743,"*소계*"),"")</f>
        <v/>
      </c>
      <c r="J743">
        <f>IF(F743="",0,1)</f>
        <v/>
      </c>
    </row>
    <row r="744">
      <c r="A744" s="41" t="n"/>
      <c r="B744" s="41" t="n"/>
      <c r="C744" s="24" t="n"/>
      <c r="D744" s="41" t="n"/>
      <c r="E744" s="41" t="n"/>
      <c r="F744" s="19">
        <f>IF(COUNTA(A744:E744)=0,"",IF(OR(ISNUMBER(SEARCH("소계",B744)),ISNUMBER(SEARCH("합계",B744))),"",TRIM(IF(B744="","이름 없음 ","")&amp;IF(A744="","받은 가족 없음 ","")&amp;IF(C744="","금액 없음 ",IF(ISNUMBER(C744),IF(C744&lt;1000,"금액 확인 ",""),"금액 확인 "))&amp;IF(AND(B744&lt;&gt;"",COUNTIFS($A$2:$A$1001,A744,$B$2:$B$1001,B744,$C$2:$C$1001,C744)&gt;1),"중복 의심",""))))</f>
        <v/>
      </c>
      <c r="G744" s="25">
        <f>IF(OR(COUNTA(A744:E744)=0,OR(ISNUMBER(SEARCH("소계",B744)),ISNUMBER(SEARCH("합계",B744)))),"",1+COUNTIF($B$1:B743,"*소계*"))</f>
        <v/>
      </c>
      <c r="H744">
        <f>IF(AND(A744&lt;&gt;"",A744=가족별!$B$1,G744&lt;&gt;""),COUNTIFS($A$2:A744,가족별!$B$1,$G$2:G744,"&gt;0"),"")</f>
        <v/>
      </c>
      <c r="I744">
        <f>IF(ISNUMBER(SEARCH("소계",B744)),COUNTIF($B$2:B744,"*소계*"),"")</f>
        <v/>
      </c>
      <c r="J744">
        <f>IF(F744="",0,1)</f>
        <v/>
      </c>
    </row>
    <row r="745">
      <c r="A745" s="41" t="n"/>
      <c r="B745" s="41" t="n"/>
      <c r="C745" s="24" t="n"/>
      <c r="D745" s="41" t="n"/>
      <c r="E745" s="41" t="n"/>
      <c r="F745" s="19">
        <f>IF(COUNTA(A745:E745)=0,"",IF(OR(ISNUMBER(SEARCH("소계",B745)),ISNUMBER(SEARCH("합계",B745))),"",TRIM(IF(B745="","이름 없음 ","")&amp;IF(A745="","받은 가족 없음 ","")&amp;IF(C745="","금액 없음 ",IF(ISNUMBER(C745),IF(C745&lt;1000,"금액 확인 ",""),"금액 확인 "))&amp;IF(AND(B745&lt;&gt;"",COUNTIFS($A$2:$A$1001,A745,$B$2:$B$1001,B745,$C$2:$C$1001,C745)&gt;1),"중복 의심",""))))</f>
        <v/>
      </c>
      <c r="G745" s="25">
        <f>IF(OR(COUNTA(A745:E745)=0,OR(ISNUMBER(SEARCH("소계",B745)),ISNUMBER(SEARCH("합계",B745)))),"",1+COUNTIF($B$1:B744,"*소계*"))</f>
        <v/>
      </c>
      <c r="H745">
        <f>IF(AND(A745&lt;&gt;"",A745=가족별!$B$1,G745&lt;&gt;""),COUNTIFS($A$2:A745,가족별!$B$1,$G$2:G745,"&gt;0"),"")</f>
        <v/>
      </c>
      <c r="I745">
        <f>IF(ISNUMBER(SEARCH("소계",B745)),COUNTIF($B$2:B745,"*소계*"),"")</f>
        <v/>
      </c>
      <c r="J745">
        <f>IF(F745="",0,1)</f>
        <v/>
      </c>
    </row>
    <row r="746">
      <c r="A746" s="41" t="n"/>
      <c r="B746" s="41" t="n"/>
      <c r="C746" s="24" t="n"/>
      <c r="D746" s="41" t="n"/>
      <c r="E746" s="41" t="n"/>
      <c r="F746" s="19">
        <f>IF(COUNTA(A746:E746)=0,"",IF(OR(ISNUMBER(SEARCH("소계",B746)),ISNUMBER(SEARCH("합계",B746))),"",TRIM(IF(B746="","이름 없음 ","")&amp;IF(A746="","받은 가족 없음 ","")&amp;IF(C746="","금액 없음 ",IF(ISNUMBER(C746),IF(C746&lt;1000,"금액 확인 ",""),"금액 확인 "))&amp;IF(AND(B746&lt;&gt;"",COUNTIFS($A$2:$A$1001,A746,$B$2:$B$1001,B746,$C$2:$C$1001,C746)&gt;1),"중복 의심",""))))</f>
        <v/>
      </c>
      <c r="G746" s="25">
        <f>IF(OR(COUNTA(A746:E746)=0,OR(ISNUMBER(SEARCH("소계",B746)),ISNUMBER(SEARCH("합계",B746)))),"",1+COUNTIF($B$1:B745,"*소계*"))</f>
        <v/>
      </c>
      <c r="H746">
        <f>IF(AND(A746&lt;&gt;"",A746=가족별!$B$1,G746&lt;&gt;""),COUNTIFS($A$2:A746,가족별!$B$1,$G$2:G746,"&gt;0"),"")</f>
        <v/>
      </c>
      <c r="I746">
        <f>IF(ISNUMBER(SEARCH("소계",B746)),COUNTIF($B$2:B746,"*소계*"),"")</f>
        <v/>
      </c>
      <c r="J746">
        <f>IF(F746="",0,1)</f>
        <v/>
      </c>
    </row>
    <row r="747">
      <c r="A747" s="41" t="n"/>
      <c r="B747" s="41" t="n"/>
      <c r="C747" s="24" t="n"/>
      <c r="D747" s="41" t="n"/>
      <c r="E747" s="41" t="n"/>
      <c r="F747" s="19">
        <f>IF(COUNTA(A747:E747)=0,"",IF(OR(ISNUMBER(SEARCH("소계",B747)),ISNUMBER(SEARCH("합계",B747))),"",TRIM(IF(B747="","이름 없음 ","")&amp;IF(A747="","받은 가족 없음 ","")&amp;IF(C747="","금액 없음 ",IF(ISNUMBER(C747),IF(C747&lt;1000,"금액 확인 ",""),"금액 확인 "))&amp;IF(AND(B747&lt;&gt;"",COUNTIFS($A$2:$A$1001,A747,$B$2:$B$1001,B747,$C$2:$C$1001,C747)&gt;1),"중복 의심",""))))</f>
        <v/>
      </c>
      <c r="G747" s="25">
        <f>IF(OR(COUNTA(A747:E747)=0,OR(ISNUMBER(SEARCH("소계",B747)),ISNUMBER(SEARCH("합계",B747)))),"",1+COUNTIF($B$1:B746,"*소계*"))</f>
        <v/>
      </c>
      <c r="H747">
        <f>IF(AND(A747&lt;&gt;"",A747=가족별!$B$1,G747&lt;&gt;""),COUNTIFS($A$2:A747,가족별!$B$1,$G$2:G747,"&gt;0"),"")</f>
        <v/>
      </c>
      <c r="I747">
        <f>IF(ISNUMBER(SEARCH("소계",B747)),COUNTIF($B$2:B747,"*소계*"),"")</f>
        <v/>
      </c>
      <c r="J747">
        <f>IF(F747="",0,1)</f>
        <v/>
      </c>
    </row>
    <row r="748">
      <c r="A748" s="41" t="n"/>
      <c r="B748" s="41" t="n"/>
      <c r="C748" s="24" t="n"/>
      <c r="D748" s="41" t="n"/>
      <c r="E748" s="41" t="n"/>
      <c r="F748" s="19">
        <f>IF(COUNTA(A748:E748)=0,"",IF(OR(ISNUMBER(SEARCH("소계",B748)),ISNUMBER(SEARCH("합계",B748))),"",TRIM(IF(B748="","이름 없음 ","")&amp;IF(A748="","받은 가족 없음 ","")&amp;IF(C748="","금액 없음 ",IF(ISNUMBER(C748),IF(C748&lt;1000,"금액 확인 ",""),"금액 확인 "))&amp;IF(AND(B748&lt;&gt;"",COUNTIFS($A$2:$A$1001,A748,$B$2:$B$1001,B748,$C$2:$C$1001,C748)&gt;1),"중복 의심",""))))</f>
        <v/>
      </c>
      <c r="G748" s="25">
        <f>IF(OR(COUNTA(A748:E748)=0,OR(ISNUMBER(SEARCH("소계",B748)),ISNUMBER(SEARCH("합계",B748)))),"",1+COUNTIF($B$1:B747,"*소계*"))</f>
        <v/>
      </c>
      <c r="H748">
        <f>IF(AND(A748&lt;&gt;"",A748=가족별!$B$1,G748&lt;&gt;""),COUNTIFS($A$2:A748,가족별!$B$1,$G$2:G748,"&gt;0"),"")</f>
        <v/>
      </c>
      <c r="I748">
        <f>IF(ISNUMBER(SEARCH("소계",B748)),COUNTIF($B$2:B748,"*소계*"),"")</f>
        <v/>
      </c>
      <c r="J748">
        <f>IF(F748="",0,1)</f>
        <v/>
      </c>
    </row>
    <row r="749">
      <c r="A749" s="41" t="n"/>
      <c r="B749" s="41" t="n"/>
      <c r="C749" s="24" t="n"/>
      <c r="D749" s="41" t="n"/>
      <c r="E749" s="41" t="n"/>
      <c r="F749" s="19">
        <f>IF(COUNTA(A749:E749)=0,"",IF(OR(ISNUMBER(SEARCH("소계",B749)),ISNUMBER(SEARCH("합계",B749))),"",TRIM(IF(B749="","이름 없음 ","")&amp;IF(A749="","받은 가족 없음 ","")&amp;IF(C749="","금액 없음 ",IF(ISNUMBER(C749),IF(C749&lt;1000,"금액 확인 ",""),"금액 확인 "))&amp;IF(AND(B749&lt;&gt;"",COUNTIFS($A$2:$A$1001,A749,$B$2:$B$1001,B749,$C$2:$C$1001,C749)&gt;1),"중복 의심",""))))</f>
        <v/>
      </c>
      <c r="G749" s="25">
        <f>IF(OR(COUNTA(A749:E749)=0,OR(ISNUMBER(SEARCH("소계",B749)),ISNUMBER(SEARCH("합계",B749)))),"",1+COUNTIF($B$1:B748,"*소계*"))</f>
        <v/>
      </c>
      <c r="H749">
        <f>IF(AND(A749&lt;&gt;"",A749=가족별!$B$1,G749&lt;&gt;""),COUNTIFS($A$2:A749,가족별!$B$1,$G$2:G749,"&gt;0"),"")</f>
        <v/>
      </c>
      <c r="I749">
        <f>IF(ISNUMBER(SEARCH("소계",B749)),COUNTIF($B$2:B749,"*소계*"),"")</f>
        <v/>
      </c>
      <c r="J749">
        <f>IF(F749="",0,1)</f>
        <v/>
      </c>
    </row>
    <row r="750">
      <c r="A750" s="41" t="n"/>
      <c r="B750" s="41" t="n"/>
      <c r="C750" s="24" t="n"/>
      <c r="D750" s="41" t="n"/>
      <c r="E750" s="41" t="n"/>
      <c r="F750" s="19">
        <f>IF(COUNTA(A750:E750)=0,"",IF(OR(ISNUMBER(SEARCH("소계",B750)),ISNUMBER(SEARCH("합계",B750))),"",TRIM(IF(B750="","이름 없음 ","")&amp;IF(A750="","받은 가족 없음 ","")&amp;IF(C750="","금액 없음 ",IF(ISNUMBER(C750),IF(C750&lt;1000,"금액 확인 ",""),"금액 확인 "))&amp;IF(AND(B750&lt;&gt;"",COUNTIFS($A$2:$A$1001,A750,$B$2:$B$1001,B750,$C$2:$C$1001,C750)&gt;1),"중복 의심",""))))</f>
        <v/>
      </c>
      <c r="G750" s="25">
        <f>IF(OR(COUNTA(A750:E750)=0,OR(ISNUMBER(SEARCH("소계",B750)),ISNUMBER(SEARCH("합계",B750)))),"",1+COUNTIF($B$1:B749,"*소계*"))</f>
        <v/>
      </c>
      <c r="H750">
        <f>IF(AND(A750&lt;&gt;"",A750=가족별!$B$1,G750&lt;&gt;""),COUNTIFS($A$2:A750,가족별!$B$1,$G$2:G750,"&gt;0"),"")</f>
        <v/>
      </c>
      <c r="I750">
        <f>IF(ISNUMBER(SEARCH("소계",B750)),COUNTIF($B$2:B750,"*소계*"),"")</f>
        <v/>
      </c>
      <c r="J750">
        <f>IF(F750="",0,1)</f>
        <v/>
      </c>
    </row>
    <row r="751">
      <c r="A751" s="41" t="n"/>
      <c r="B751" s="41" t="n"/>
      <c r="C751" s="24" t="n"/>
      <c r="D751" s="41" t="n"/>
      <c r="E751" s="41" t="n"/>
      <c r="F751" s="19">
        <f>IF(COUNTA(A751:E751)=0,"",IF(OR(ISNUMBER(SEARCH("소계",B751)),ISNUMBER(SEARCH("합계",B751))),"",TRIM(IF(B751="","이름 없음 ","")&amp;IF(A751="","받은 가족 없음 ","")&amp;IF(C751="","금액 없음 ",IF(ISNUMBER(C751),IF(C751&lt;1000,"금액 확인 ",""),"금액 확인 "))&amp;IF(AND(B751&lt;&gt;"",COUNTIFS($A$2:$A$1001,A751,$B$2:$B$1001,B751,$C$2:$C$1001,C751)&gt;1),"중복 의심",""))))</f>
        <v/>
      </c>
      <c r="G751" s="25">
        <f>IF(OR(COUNTA(A751:E751)=0,OR(ISNUMBER(SEARCH("소계",B751)),ISNUMBER(SEARCH("합계",B751)))),"",1+COUNTIF($B$1:B750,"*소계*"))</f>
        <v/>
      </c>
      <c r="H751">
        <f>IF(AND(A751&lt;&gt;"",A751=가족별!$B$1,G751&lt;&gt;""),COUNTIFS($A$2:A751,가족별!$B$1,$G$2:G751,"&gt;0"),"")</f>
        <v/>
      </c>
      <c r="I751">
        <f>IF(ISNUMBER(SEARCH("소계",B751)),COUNTIF($B$2:B751,"*소계*"),"")</f>
        <v/>
      </c>
      <c r="J751">
        <f>IF(F751="",0,1)</f>
        <v/>
      </c>
    </row>
    <row r="752">
      <c r="A752" s="41" t="n"/>
      <c r="B752" s="41" t="n"/>
      <c r="C752" s="24" t="n"/>
      <c r="D752" s="41" t="n"/>
      <c r="E752" s="41" t="n"/>
      <c r="F752" s="19">
        <f>IF(COUNTA(A752:E752)=0,"",IF(OR(ISNUMBER(SEARCH("소계",B752)),ISNUMBER(SEARCH("합계",B752))),"",TRIM(IF(B752="","이름 없음 ","")&amp;IF(A752="","받은 가족 없음 ","")&amp;IF(C752="","금액 없음 ",IF(ISNUMBER(C752),IF(C752&lt;1000,"금액 확인 ",""),"금액 확인 "))&amp;IF(AND(B752&lt;&gt;"",COUNTIFS($A$2:$A$1001,A752,$B$2:$B$1001,B752,$C$2:$C$1001,C752)&gt;1),"중복 의심",""))))</f>
        <v/>
      </c>
      <c r="G752" s="25">
        <f>IF(OR(COUNTA(A752:E752)=0,OR(ISNUMBER(SEARCH("소계",B752)),ISNUMBER(SEARCH("합계",B752)))),"",1+COUNTIF($B$1:B751,"*소계*"))</f>
        <v/>
      </c>
      <c r="H752">
        <f>IF(AND(A752&lt;&gt;"",A752=가족별!$B$1,G752&lt;&gt;""),COUNTIFS($A$2:A752,가족별!$B$1,$G$2:G752,"&gt;0"),"")</f>
        <v/>
      </c>
      <c r="I752">
        <f>IF(ISNUMBER(SEARCH("소계",B752)),COUNTIF($B$2:B752,"*소계*"),"")</f>
        <v/>
      </c>
      <c r="J752">
        <f>IF(F752="",0,1)</f>
        <v/>
      </c>
    </row>
    <row r="753">
      <c r="A753" s="41" t="n"/>
      <c r="B753" s="41" t="n"/>
      <c r="C753" s="24" t="n"/>
      <c r="D753" s="41" t="n"/>
      <c r="E753" s="41" t="n"/>
      <c r="F753" s="19">
        <f>IF(COUNTA(A753:E753)=0,"",IF(OR(ISNUMBER(SEARCH("소계",B753)),ISNUMBER(SEARCH("합계",B753))),"",TRIM(IF(B753="","이름 없음 ","")&amp;IF(A753="","받은 가족 없음 ","")&amp;IF(C753="","금액 없음 ",IF(ISNUMBER(C753),IF(C753&lt;1000,"금액 확인 ",""),"금액 확인 "))&amp;IF(AND(B753&lt;&gt;"",COUNTIFS($A$2:$A$1001,A753,$B$2:$B$1001,B753,$C$2:$C$1001,C753)&gt;1),"중복 의심",""))))</f>
        <v/>
      </c>
      <c r="G753" s="25">
        <f>IF(OR(COUNTA(A753:E753)=0,OR(ISNUMBER(SEARCH("소계",B753)),ISNUMBER(SEARCH("합계",B753)))),"",1+COUNTIF($B$1:B752,"*소계*"))</f>
        <v/>
      </c>
      <c r="H753">
        <f>IF(AND(A753&lt;&gt;"",A753=가족별!$B$1,G753&lt;&gt;""),COUNTIFS($A$2:A753,가족별!$B$1,$G$2:G753,"&gt;0"),"")</f>
        <v/>
      </c>
      <c r="I753">
        <f>IF(ISNUMBER(SEARCH("소계",B753)),COUNTIF($B$2:B753,"*소계*"),"")</f>
        <v/>
      </c>
      <c r="J753">
        <f>IF(F753="",0,1)</f>
        <v/>
      </c>
    </row>
    <row r="754">
      <c r="A754" s="41" t="n"/>
      <c r="B754" s="41" t="n"/>
      <c r="C754" s="24" t="n"/>
      <c r="D754" s="41" t="n"/>
      <c r="E754" s="41" t="n"/>
      <c r="F754" s="19">
        <f>IF(COUNTA(A754:E754)=0,"",IF(OR(ISNUMBER(SEARCH("소계",B754)),ISNUMBER(SEARCH("합계",B754))),"",TRIM(IF(B754="","이름 없음 ","")&amp;IF(A754="","받은 가족 없음 ","")&amp;IF(C754="","금액 없음 ",IF(ISNUMBER(C754),IF(C754&lt;1000,"금액 확인 ",""),"금액 확인 "))&amp;IF(AND(B754&lt;&gt;"",COUNTIFS($A$2:$A$1001,A754,$B$2:$B$1001,B754,$C$2:$C$1001,C754)&gt;1),"중복 의심",""))))</f>
        <v/>
      </c>
      <c r="G754" s="25">
        <f>IF(OR(COUNTA(A754:E754)=0,OR(ISNUMBER(SEARCH("소계",B754)),ISNUMBER(SEARCH("합계",B754)))),"",1+COUNTIF($B$1:B753,"*소계*"))</f>
        <v/>
      </c>
      <c r="H754">
        <f>IF(AND(A754&lt;&gt;"",A754=가족별!$B$1,G754&lt;&gt;""),COUNTIFS($A$2:A754,가족별!$B$1,$G$2:G754,"&gt;0"),"")</f>
        <v/>
      </c>
      <c r="I754">
        <f>IF(ISNUMBER(SEARCH("소계",B754)),COUNTIF($B$2:B754,"*소계*"),"")</f>
        <v/>
      </c>
      <c r="J754">
        <f>IF(F754="",0,1)</f>
        <v/>
      </c>
    </row>
    <row r="755">
      <c r="A755" s="41" t="n"/>
      <c r="B755" s="41" t="n"/>
      <c r="C755" s="24" t="n"/>
      <c r="D755" s="41" t="n"/>
      <c r="E755" s="41" t="n"/>
      <c r="F755" s="19">
        <f>IF(COUNTA(A755:E755)=0,"",IF(OR(ISNUMBER(SEARCH("소계",B755)),ISNUMBER(SEARCH("합계",B755))),"",TRIM(IF(B755="","이름 없음 ","")&amp;IF(A755="","받은 가족 없음 ","")&amp;IF(C755="","금액 없음 ",IF(ISNUMBER(C755),IF(C755&lt;1000,"금액 확인 ",""),"금액 확인 "))&amp;IF(AND(B755&lt;&gt;"",COUNTIFS($A$2:$A$1001,A755,$B$2:$B$1001,B755,$C$2:$C$1001,C755)&gt;1),"중복 의심",""))))</f>
        <v/>
      </c>
      <c r="G755" s="25">
        <f>IF(OR(COUNTA(A755:E755)=0,OR(ISNUMBER(SEARCH("소계",B755)),ISNUMBER(SEARCH("합계",B755)))),"",1+COUNTIF($B$1:B754,"*소계*"))</f>
        <v/>
      </c>
      <c r="H755">
        <f>IF(AND(A755&lt;&gt;"",A755=가족별!$B$1,G755&lt;&gt;""),COUNTIFS($A$2:A755,가족별!$B$1,$G$2:G755,"&gt;0"),"")</f>
        <v/>
      </c>
      <c r="I755">
        <f>IF(ISNUMBER(SEARCH("소계",B755)),COUNTIF($B$2:B755,"*소계*"),"")</f>
        <v/>
      </c>
      <c r="J755">
        <f>IF(F755="",0,1)</f>
        <v/>
      </c>
    </row>
    <row r="756">
      <c r="A756" s="41" t="n"/>
      <c r="B756" s="41" t="n"/>
      <c r="C756" s="24" t="n"/>
      <c r="D756" s="41" t="n"/>
      <c r="E756" s="41" t="n"/>
      <c r="F756" s="19">
        <f>IF(COUNTA(A756:E756)=0,"",IF(OR(ISNUMBER(SEARCH("소계",B756)),ISNUMBER(SEARCH("합계",B756))),"",TRIM(IF(B756="","이름 없음 ","")&amp;IF(A756="","받은 가족 없음 ","")&amp;IF(C756="","금액 없음 ",IF(ISNUMBER(C756),IF(C756&lt;1000,"금액 확인 ",""),"금액 확인 "))&amp;IF(AND(B756&lt;&gt;"",COUNTIFS($A$2:$A$1001,A756,$B$2:$B$1001,B756,$C$2:$C$1001,C756)&gt;1),"중복 의심",""))))</f>
        <v/>
      </c>
      <c r="G756" s="25">
        <f>IF(OR(COUNTA(A756:E756)=0,OR(ISNUMBER(SEARCH("소계",B756)),ISNUMBER(SEARCH("합계",B756)))),"",1+COUNTIF($B$1:B755,"*소계*"))</f>
        <v/>
      </c>
      <c r="H756">
        <f>IF(AND(A756&lt;&gt;"",A756=가족별!$B$1,G756&lt;&gt;""),COUNTIFS($A$2:A756,가족별!$B$1,$G$2:G756,"&gt;0"),"")</f>
        <v/>
      </c>
      <c r="I756">
        <f>IF(ISNUMBER(SEARCH("소계",B756)),COUNTIF($B$2:B756,"*소계*"),"")</f>
        <v/>
      </c>
      <c r="J756">
        <f>IF(F756="",0,1)</f>
        <v/>
      </c>
    </row>
    <row r="757">
      <c r="A757" s="41" t="n"/>
      <c r="B757" s="41" t="n"/>
      <c r="C757" s="24" t="n"/>
      <c r="D757" s="41" t="n"/>
      <c r="E757" s="41" t="n"/>
      <c r="F757" s="19">
        <f>IF(COUNTA(A757:E757)=0,"",IF(OR(ISNUMBER(SEARCH("소계",B757)),ISNUMBER(SEARCH("합계",B757))),"",TRIM(IF(B757="","이름 없음 ","")&amp;IF(A757="","받은 가족 없음 ","")&amp;IF(C757="","금액 없음 ",IF(ISNUMBER(C757),IF(C757&lt;1000,"금액 확인 ",""),"금액 확인 "))&amp;IF(AND(B757&lt;&gt;"",COUNTIFS($A$2:$A$1001,A757,$B$2:$B$1001,B757,$C$2:$C$1001,C757)&gt;1),"중복 의심",""))))</f>
        <v/>
      </c>
      <c r="G757" s="25">
        <f>IF(OR(COUNTA(A757:E757)=0,OR(ISNUMBER(SEARCH("소계",B757)),ISNUMBER(SEARCH("합계",B757)))),"",1+COUNTIF($B$1:B756,"*소계*"))</f>
        <v/>
      </c>
      <c r="H757">
        <f>IF(AND(A757&lt;&gt;"",A757=가족별!$B$1,G757&lt;&gt;""),COUNTIFS($A$2:A757,가족별!$B$1,$G$2:G757,"&gt;0"),"")</f>
        <v/>
      </c>
      <c r="I757">
        <f>IF(ISNUMBER(SEARCH("소계",B757)),COUNTIF($B$2:B757,"*소계*"),"")</f>
        <v/>
      </c>
      <c r="J757">
        <f>IF(F757="",0,1)</f>
        <v/>
      </c>
    </row>
    <row r="758">
      <c r="A758" s="41" t="n"/>
      <c r="B758" s="41" t="n"/>
      <c r="C758" s="24" t="n"/>
      <c r="D758" s="41" t="n"/>
      <c r="E758" s="41" t="n"/>
      <c r="F758" s="19">
        <f>IF(COUNTA(A758:E758)=0,"",IF(OR(ISNUMBER(SEARCH("소계",B758)),ISNUMBER(SEARCH("합계",B758))),"",TRIM(IF(B758="","이름 없음 ","")&amp;IF(A758="","받은 가족 없음 ","")&amp;IF(C758="","금액 없음 ",IF(ISNUMBER(C758),IF(C758&lt;1000,"금액 확인 ",""),"금액 확인 "))&amp;IF(AND(B758&lt;&gt;"",COUNTIFS($A$2:$A$1001,A758,$B$2:$B$1001,B758,$C$2:$C$1001,C758)&gt;1),"중복 의심",""))))</f>
        <v/>
      </c>
      <c r="G758" s="25">
        <f>IF(OR(COUNTA(A758:E758)=0,OR(ISNUMBER(SEARCH("소계",B758)),ISNUMBER(SEARCH("합계",B758)))),"",1+COUNTIF($B$1:B757,"*소계*"))</f>
        <v/>
      </c>
      <c r="H758">
        <f>IF(AND(A758&lt;&gt;"",A758=가족별!$B$1,G758&lt;&gt;""),COUNTIFS($A$2:A758,가족별!$B$1,$G$2:G758,"&gt;0"),"")</f>
        <v/>
      </c>
      <c r="I758">
        <f>IF(ISNUMBER(SEARCH("소계",B758)),COUNTIF($B$2:B758,"*소계*"),"")</f>
        <v/>
      </c>
      <c r="J758">
        <f>IF(F758="",0,1)</f>
        <v/>
      </c>
    </row>
    <row r="759">
      <c r="A759" s="41" t="n"/>
      <c r="B759" s="41" t="n"/>
      <c r="C759" s="24" t="n"/>
      <c r="D759" s="41" t="n"/>
      <c r="E759" s="41" t="n"/>
      <c r="F759" s="19">
        <f>IF(COUNTA(A759:E759)=0,"",IF(OR(ISNUMBER(SEARCH("소계",B759)),ISNUMBER(SEARCH("합계",B759))),"",TRIM(IF(B759="","이름 없음 ","")&amp;IF(A759="","받은 가족 없음 ","")&amp;IF(C759="","금액 없음 ",IF(ISNUMBER(C759),IF(C759&lt;1000,"금액 확인 ",""),"금액 확인 "))&amp;IF(AND(B759&lt;&gt;"",COUNTIFS($A$2:$A$1001,A759,$B$2:$B$1001,B759,$C$2:$C$1001,C759)&gt;1),"중복 의심",""))))</f>
        <v/>
      </c>
      <c r="G759" s="25">
        <f>IF(OR(COUNTA(A759:E759)=0,OR(ISNUMBER(SEARCH("소계",B759)),ISNUMBER(SEARCH("합계",B759)))),"",1+COUNTIF($B$1:B758,"*소계*"))</f>
        <v/>
      </c>
      <c r="H759">
        <f>IF(AND(A759&lt;&gt;"",A759=가족별!$B$1,G759&lt;&gt;""),COUNTIFS($A$2:A759,가족별!$B$1,$G$2:G759,"&gt;0"),"")</f>
        <v/>
      </c>
      <c r="I759">
        <f>IF(ISNUMBER(SEARCH("소계",B759)),COUNTIF($B$2:B759,"*소계*"),"")</f>
        <v/>
      </c>
      <c r="J759">
        <f>IF(F759="",0,1)</f>
        <v/>
      </c>
    </row>
    <row r="760">
      <c r="A760" s="41" t="n"/>
      <c r="B760" s="41" t="n"/>
      <c r="C760" s="24" t="n"/>
      <c r="D760" s="41" t="n"/>
      <c r="E760" s="41" t="n"/>
      <c r="F760" s="19">
        <f>IF(COUNTA(A760:E760)=0,"",IF(OR(ISNUMBER(SEARCH("소계",B760)),ISNUMBER(SEARCH("합계",B760))),"",TRIM(IF(B760="","이름 없음 ","")&amp;IF(A760="","받은 가족 없음 ","")&amp;IF(C760="","금액 없음 ",IF(ISNUMBER(C760),IF(C760&lt;1000,"금액 확인 ",""),"금액 확인 "))&amp;IF(AND(B760&lt;&gt;"",COUNTIFS($A$2:$A$1001,A760,$B$2:$B$1001,B760,$C$2:$C$1001,C760)&gt;1),"중복 의심",""))))</f>
        <v/>
      </c>
      <c r="G760" s="25">
        <f>IF(OR(COUNTA(A760:E760)=0,OR(ISNUMBER(SEARCH("소계",B760)),ISNUMBER(SEARCH("합계",B760)))),"",1+COUNTIF($B$1:B759,"*소계*"))</f>
        <v/>
      </c>
      <c r="H760">
        <f>IF(AND(A760&lt;&gt;"",A760=가족별!$B$1,G760&lt;&gt;""),COUNTIFS($A$2:A760,가족별!$B$1,$G$2:G760,"&gt;0"),"")</f>
        <v/>
      </c>
      <c r="I760">
        <f>IF(ISNUMBER(SEARCH("소계",B760)),COUNTIF($B$2:B760,"*소계*"),"")</f>
        <v/>
      </c>
      <c r="J760">
        <f>IF(F760="",0,1)</f>
        <v/>
      </c>
    </row>
    <row r="761">
      <c r="A761" s="41" t="n"/>
      <c r="B761" s="41" t="n"/>
      <c r="C761" s="24" t="n"/>
      <c r="D761" s="41" t="n"/>
      <c r="E761" s="41" t="n"/>
      <c r="F761" s="19">
        <f>IF(COUNTA(A761:E761)=0,"",IF(OR(ISNUMBER(SEARCH("소계",B761)),ISNUMBER(SEARCH("합계",B761))),"",TRIM(IF(B761="","이름 없음 ","")&amp;IF(A761="","받은 가족 없음 ","")&amp;IF(C761="","금액 없음 ",IF(ISNUMBER(C761),IF(C761&lt;1000,"금액 확인 ",""),"금액 확인 "))&amp;IF(AND(B761&lt;&gt;"",COUNTIFS($A$2:$A$1001,A761,$B$2:$B$1001,B761,$C$2:$C$1001,C761)&gt;1),"중복 의심",""))))</f>
        <v/>
      </c>
      <c r="G761" s="25">
        <f>IF(OR(COUNTA(A761:E761)=0,OR(ISNUMBER(SEARCH("소계",B761)),ISNUMBER(SEARCH("합계",B761)))),"",1+COUNTIF($B$1:B760,"*소계*"))</f>
        <v/>
      </c>
      <c r="H761">
        <f>IF(AND(A761&lt;&gt;"",A761=가족별!$B$1,G761&lt;&gt;""),COUNTIFS($A$2:A761,가족별!$B$1,$G$2:G761,"&gt;0"),"")</f>
        <v/>
      </c>
      <c r="I761">
        <f>IF(ISNUMBER(SEARCH("소계",B761)),COUNTIF($B$2:B761,"*소계*"),"")</f>
        <v/>
      </c>
      <c r="J761">
        <f>IF(F761="",0,1)</f>
        <v/>
      </c>
    </row>
    <row r="762">
      <c r="A762" s="41" t="n"/>
      <c r="B762" s="41" t="n"/>
      <c r="C762" s="24" t="n"/>
      <c r="D762" s="41" t="n"/>
      <c r="E762" s="41" t="n"/>
      <c r="F762" s="19">
        <f>IF(COUNTA(A762:E762)=0,"",IF(OR(ISNUMBER(SEARCH("소계",B762)),ISNUMBER(SEARCH("합계",B762))),"",TRIM(IF(B762="","이름 없음 ","")&amp;IF(A762="","받은 가족 없음 ","")&amp;IF(C762="","금액 없음 ",IF(ISNUMBER(C762),IF(C762&lt;1000,"금액 확인 ",""),"금액 확인 "))&amp;IF(AND(B762&lt;&gt;"",COUNTIFS($A$2:$A$1001,A762,$B$2:$B$1001,B762,$C$2:$C$1001,C762)&gt;1),"중복 의심",""))))</f>
        <v/>
      </c>
      <c r="G762" s="25">
        <f>IF(OR(COUNTA(A762:E762)=0,OR(ISNUMBER(SEARCH("소계",B762)),ISNUMBER(SEARCH("합계",B762)))),"",1+COUNTIF($B$1:B761,"*소계*"))</f>
        <v/>
      </c>
      <c r="H762">
        <f>IF(AND(A762&lt;&gt;"",A762=가족별!$B$1,G762&lt;&gt;""),COUNTIFS($A$2:A762,가족별!$B$1,$G$2:G762,"&gt;0"),"")</f>
        <v/>
      </c>
      <c r="I762">
        <f>IF(ISNUMBER(SEARCH("소계",B762)),COUNTIF($B$2:B762,"*소계*"),"")</f>
        <v/>
      </c>
      <c r="J762">
        <f>IF(F762="",0,1)</f>
        <v/>
      </c>
    </row>
    <row r="763">
      <c r="A763" s="41" t="n"/>
      <c r="B763" s="41" t="n"/>
      <c r="C763" s="24" t="n"/>
      <c r="D763" s="41" t="n"/>
      <c r="E763" s="41" t="n"/>
      <c r="F763" s="19">
        <f>IF(COUNTA(A763:E763)=0,"",IF(OR(ISNUMBER(SEARCH("소계",B763)),ISNUMBER(SEARCH("합계",B763))),"",TRIM(IF(B763="","이름 없음 ","")&amp;IF(A763="","받은 가족 없음 ","")&amp;IF(C763="","금액 없음 ",IF(ISNUMBER(C763),IF(C763&lt;1000,"금액 확인 ",""),"금액 확인 "))&amp;IF(AND(B763&lt;&gt;"",COUNTIFS($A$2:$A$1001,A763,$B$2:$B$1001,B763,$C$2:$C$1001,C763)&gt;1),"중복 의심",""))))</f>
        <v/>
      </c>
      <c r="G763" s="25">
        <f>IF(OR(COUNTA(A763:E763)=0,OR(ISNUMBER(SEARCH("소계",B763)),ISNUMBER(SEARCH("합계",B763)))),"",1+COUNTIF($B$1:B762,"*소계*"))</f>
        <v/>
      </c>
      <c r="H763">
        <f>IF(AND(A763&lt;&gt;"",A763=가족별!$B$1,G763&lt;&gt;""),COUNTIFS($A$2:A763,가족별!$B$1,$G$2:G763,"&gt;0"),"")</f>
        <v/>
      </c>
      <c r="I763">
        <f>IF(ISNUMBER(SEARCH("소계",B763)),COUNTIF($B$2:B763,"*소계*"),"")</f>
        <v/>
      </c>
      <c r="J763">
        <f>IF(F763="",0,1)</f>
        <v/>
      </c>
    </row>
    <row r="764">
      <c r="A764" s="41" t="n"/>
      <c r="B764" s="41" t="n"/>
      <c r="C764" s="24" t="n"/>
      <c r="D764" s="41" t="n"/>
      <c r="E764" s="41" t="n"/>
      <c r="F764" s="19">
        <f>IF(COUNTA(A764:E764)=0,"",IF(OR(ISNUMBER(SEARCH("소계",B764)),ISNUMBER(SEARCH("합계",B764))),"",TRIM(IF(B764="","이름 없음 ","")&amp;IF(A764="","받은 가족 없음 ","")&amp;IF(C764="","금액 없음 ",IF(ISNUMBER(C764),IF(C764&lt;1000,"금액 확인 ",""),"금액 확인 "))&amp;IF(AND(B764&lt;&gt;"",COUNTIFS($A$2:$A$1001,A764,$B$2:$B$1001,B764,$C$2:$C$1001,C764)&gt;1),"중복 의심",""))))</f>
        <v/>
      </c>
      <c r="G764" s="25">
        <f>IF(OR(COUNTA(A764:E764)=0,OR(ISNUMBER(SEARCH("소계",B764)),ISNUMBER(SEARCH("합계",B764)))),"",1+COUNTIF($B$1:B763,"*소계*"))</f>
        <v/>
      </c>
      <c r="H764">
        <f>IF(AND(A764&lt;&gt;"",A764=가족별!$B$1,G764&lt;&gt;""),COUNTIFS($A$2:A764,가족별!$B$1,$G$2:G764,"&gt;0"),"")</f>
        <v/>
      </c>
      <c r="I764">
        <f>IF(ISNUMBER(SEARCH("소계",B764)),COUNTIF($B$2:B764,"*소계*"),"")</f>
        <v/>
      </c>
      <c r="J764">
        <f>IF(F764="",0,1)</f>
        <v/>
      </c>
    </row>
    <row r="765">
      <c r="A765" s="41" t="n"/>
      <c r="B765" s="41" t="n"/>
      <c r="C765" s="24" t="n"/>
      <c r="D765" s="41" t="n"/>
      <c r="E765" s="41" t="n"/>
      <c r="F765" s="19">
        <f>IF(COUNTA(A765:E765)=0,"",IF(OR(ISNUMBER(SEARCH("소계",B765)),ISNUMBER(SEARCH("합계",B765))),"",TRIM(IF(B765="","이름 없음 ","")&amp;IF(A765="","받은 가족 없음 ","")&amp;IF(C765="","금액 없음 ",IF(ISNUMBER(C765),IF(C765&lt;1000,"금액 확인 ",""),"금액 확인 "))&amp;IF(AND(B765&lt;&gt;"",COUNTIFS($A$2:$A$1001,A765,$B$2:$B$1001,B765,$C$2:$C$1001,C765)&gt;1),"중복 의심",""))))</f>
        <v/>
      </c>
      <c r="G765" s="25">
        <f>IF(OR(COUNTA(A765:E765)=0,OR(ISNUMBER(SEARCH("소계",B765)),ISNUMBER(SEARCH("합계",B765)))),"",1+COUNTIF($B$1:B764,"*소계*"))</f>
        <v/>
      </c>
      <c r="H765">
        <f>IF(AND(A765&lt;&gt;"",A765=가족별!$B$1,G765&lt;&gt;""),COUNTIFS($A$2:A765,가족별!$B$1,$G$2:G765,"&gt;0"),"")</f>
        <v/>
      </c>
      <c r="I765">
        <f>IF(ISNUMBER(SEARCH("소계",B765)),COUNTIF($B$2:B765,"*소계*"),"")</f>
        <v/>
      </c>
      <c r="J765">
        <f>IF(F765="",0,1)</f>
        <v/>
      </c>
    </row>
    <row r="766">
      <c r="A766" s="41" t="n"/>
      <c r="B766" s="41" t="n"/>
      <c r="C766" s="24" t="n"/>
      <c r="D766" s="41" t="n"/>
      <c r="E766" s="41" t="n"/>
      <c r="F766" s="19">
        <f>IF(COUNTA(A766:E766)=0,"",IF(OR(ISNUMBER(SEARCH("소계",B766)),ISNUMBER(SEARCH("합계",B766))),"",TRIM(IF(B766="","이름 없음 ","")&amp;IF(A766="","받은 가족 없음 ","")&amp;IF(C766="","금액 없음 ",IF(ISNUMBER(C766),IF(C766&lt;1000,"금액 확인 ",""),"금액 확인 "))&amp;IF(AND(B766&lt;&gt;"",COUNTIFS($A$2:$A$1001,A766,$B$2:$B$1001,B766,$C$2:$C$1001,C766)&gt;1),"중복 의심",""))))</f>
        <v/>
      </c>
      <c r="G766" s="25">
        <f>IF(OR(COUNTA(A766:E766)=0,OR(ISNUMBER(SEARCH("소계",B766)),ISNUMBER(SEARCH("합계",B766)))),"",1+COUNTIF($B$1:B765,"*소계*"))</f>
        <v/>
      </c>
      <c r="H766">
        <f>IF(AND(A766&lt;&gt;"",A766=가족별!$B$1,G766&lt;&gt;""),COUNTIFS($A$2:A766,가족별!$B$1,$G$2:G766,"&gt;0"),"")</f>
        <v/>
      </c>
      <c r="I766">
        <f>IF(ISNUMBER(SEARCH("소계",B766)),COUNTIF($B$2:B766,"*소계*"),"")</f>
        <v/>
      </c>
      <c r="J766">
        <f>IF(F766="",0,1)</f>
        <v/>
      </c>
    </row>
    <row r="767">
      <c r="A767" s="41" t="n"/>
      <c r="B767" s="41" t="n"/>
      <c r="C767" s="24" t="n"/>
      <c r="D767" s="41" t="n"/>
      <c r="E767" s="41" t="n"/>
      <c r="F767" s="19">
        <f>IF(COUNTA(A767:E767)=0,"",IF(OR(ISNUMBER(SEARCH("소계",B767)),ISNUMBER(SEARCH("합계",B767))),"",TRIM(IF(B767="","이름 없음 ","")&amp;IF(A767="","받은 가족 없음 ","")&amp;IF(C767="","금액 없음 ",IF(ISNUMBER(C767),IF(C767&lt;1000,"금액 확인 ",""),"금액 확인 "))&amp;IF(AND(B767&lt;&gt;"",COUNTIFS($A$2:$A$1001,A767,$B$2:$B$1001,B767,$C$2:$C$1001,C767)&gt;1),"중복 의심",""))))</f>
        <v/>
      </c>
      <c r="G767" s="25">
        <f>IF(OR(COUNTA(A767:E767)=0,OR(ISNUMBER(SEARCH("소계",B767)),ISNUMBER(SEARCH("합계",B767)))),"",1+COUNTIF($B$1:B766,"*소계*"))</f>
        <v/>
      </c>
      <c r="H767">
        <f>IF(AND(A767&lt;&gt;"",A767=가족별!$B$1,G767&lt;&gt;""),COUNTIFS($A$2:A767,가족별!$B$1,$G$2:G767,"&gt;0"),"")</f>
        <v/>
      </c>
      <c r="I767">
        <f>IF(ISNUMBER(SEARCH("소계",B767)),COUNTIF($B$2:B767,"*소계*"),"")</f>
        <v/>
      </c>
      <c r="J767">
        <f>IF(F767="",0,1)</f>
        <v/>
      </c>
    </row>
    <row r="768">
      <c r="A768" s="41" t="n"/>
      <c r="B768" s="41" t="n"/>
      <c r="C768" s="24" t="n"/>
      <c r="D768" s="41" t="n"/>
      <c r="E768" s="41" t="n"/>
      <c r="F768" s="19">
        <f>IF(COUNTA(A768:E768)=0,"",IF(OR(ISNUMBER(SEARCH("소계",B768)),ISNUMBER(SEARCH("합계",B768))),"",TRIM(IF(B768="","이름 없음 ","")&amp;IF(A768="","받은 가족 없음 ","")&amp;IF(C768="","금액 없음 ",IF(ISNUMBER(C768),IF(C768&lt;1000,"금액 확인 ",""),"금액 확인 "))&amp;IF(AND(B768&lt;&gt;"",COUNTIFS($A$2:$A$1001,A768,$B$2:$B$1001,B768,$C$2:$C$1001,C768)&gt;1),"중복 의심",""))))</f>
        <v/>
      </c>
      <c r="G768" s="25">
        <f>IF(OR(COUNTA(A768:E768)=0,OR(ISNUMBER(SEARCH("소계",B768)),ISNUMBER(SEARCH("합계",B768)))),"",1+COUNTIF($B$1:B767,"*소계*"))</f>
        <v/>
      </c>
      <c r="H768">
        <f>IF(AND(A768&lt;&gt;"",A768=가족별!$B$1,G768&lt;&gt;""),COUNTIFS($A$2:A768,가족별!$B$1,$G$2:G768,"&gt;0"),"")</f>
        <v/>
      </c>
      <c r="I768">
        <f>IF(ISNUMBER(SEARCH("소계",B768)),COUNTIF($B$2:B768,"*소계*"),"")</f>
        <v/>
      </c>
      <c r="J768">
        <f>IF(F768="",0,1)</f>
        <v/>
      </c>
    </row>
    <row r="769">
      <c r="A769" s="41" t="n"/>
      <c r="B769" s="41" t="n"/>
      <c r="C769" s="24" t="n"/>
      <c r="D769" s="41" t="n"/>
      <c r="E769" s="41" t="n"/>
      <c r="F769" s="19">
        <f>IF(COUNTA(A769:E769)=0,"",IF(OR(ISNUMBER(SEARCH("소계",B769)),ISNUMBER(SEARCH("합계",B769))),"",TRIM(IF(B769="","이름 없음 ","")&amp;IF(A769="","받은 가족 없음 ","")&amp;IF(C769="","금액 없음 ",IF(ISNUMBER(C769),IF(C769&lt;1000,"금액 확인 ",""),"금액 확인 "))&amp;IF(AND(B769&lt;&gt;"",COUNTIFS($A$2:$A$1001,A769,$B$2:$B$1001,B769,$C$2:$C$1001,C769)&gt;1),"중복 의심",""))))</f>
        <v/>
      </c>
      <c r="G769" s="25">
        <f>IF(OR(COUNTA(A769:E769)=0,OR(ISNUMBER(SEARCH("소계",B769)),ISNUMBER(SEARCH("합계",B769)))),"",1+COUNTIF($B$1:B768,"*소계*"))</f>
        <v/>
      </c>
      <c r="H769">
        <f>IF(AND(A769&lt;&gt;"",A769=가족별!$B$1,G769&lt;&gt;""),COUNTIFS($A$2:A769,가족별!$B$1,$G$2:G769,"&gt;0"),"")</f>
        <v/>
      </c>
      <c r="I769">
        <f>IF(ISNUMBER(SEARCH("소계",B769)),COUNTIF($B$2:B769,"*소계*"),"")</f>
        <v/>
      </c>
      <c r="J769">
        <f>IF(F769="",0,1)</f>
        <v/>
      </c>
    </row>
    <row r="770">
      <c r="A770" s="41" t="n"/>
      <c r="B770" s="41" t="n"/>
      <c r="C770" s="24" t="n"/>
      <c r="D770" s="41" t="n"/>
      <c r="E770" s="41" t="n"/>
      <c r="F770" s="19">
        <f>IF(COUNTA(A770:E770)=0,"",IF(OR(ISNUMBER(SEARCH("소계",B770)),ISNUMBER(SEARCH("합계",B770))),"",TRIM(IF(B770="","이름 없음 ","")&amp;IF(A770="","받은 가족 없음 ","")&amp;IF(C770="","금액 없음 ",IF(ISNUMBER(C770),IF(C770&lt;1000,"금액 확인 ",""),"금액 확인 "))&amp;IF(AND(B770&lt;&gt;"",COUNTIFS($A$2:$A$1001,A770,$B$2:$B$1001,B770,$C$2:$C$1001,C770)&gt;1),"중복 의심",""))))</f>
        <v/>
      </c>
      <c r="G770" s="25">
        <f>IF(OR(COUNTA(A770:E770)=0,OR(ISNUMBER(SEARCH("소계",B770)),ISNUMBER(SEARCH("합계",B770)))),"",1+COUNTIF($B$1:B769,"*소계*"))</f>
        <v/>
      </c>
      <c r="H770">
        <f>IF(AND(A770&lt;&gt;"",A770=가족별!$B$1,G770&lt;&gt;""),COUNTIFS($A$2:A770,가족별!$B$1,$G$2:G770,"&gt;0"),"")</f>
        <v/>
      </c>
      <c r="I770">
        <f>IF(ISNUMBER(SEARCH("소계",B770)),COUNTIF($B$2:B770,"*소계*"),"")</f>
        <v/>
      </c>
      <c r="J770">
        <f>IF(F770="",0,1)</f>
        <v/>
      </c>
    </row>
    <row r="771">
      <c r="A771" s="41" t="n"/>
      <c r="B771" s="41" t="n"/>
      <c r="C771" s="24" t="n"/>
      <c r="D771" s="41" t="n"/>
      <c r="E771" s="41" t="n"/>
      <c r="F771" s="19">
        <f>IF(COUNTA(A771:E771)=0,"",IF(OR(ISNUMBER(SEARCH("소계",B771)),ISNUMBER(SEARCH("합계",B771))),"",TRIM(IF(B771="","이름 없음 ","")&amp;IF(A771="","받은 가족 없음 ","")&amp;IF(C771="","금액 없음 ",IF(ISNUMBER(C771),IF(C771&lt;1000,"금액 확인 ",""),"금액 확인 "))&amp;IF(AND(B771&lt;&gt;"",COUNTIFS($A$2:$A$1001,A771,$B$2:$B$1001,B771,$C$2:$C$1001,C771)&gt;1),"중복 의심",""))))</f>
        <v/>
      </c>
      <c r="G771" s="25">
        <f>IF(OR(COUNTA(A771:E771)=0,OR(ISNUMBER(SEARCH("소계",B771)),ISNUMBER(SEARCH("합계",B771)))),"",1+COUNTIF($B$1:B770,"*소계*"))</f>
        <v/>
      </c>
      <c r="H771">
        <f>IF(AND(A771&lt;&gt;"",A771=가족별!$B$1,G771&lt;&gt;""),COUNTIFS($A$2:A771,가족별!$B$1,$G$2:G771,"&gt;0"),"")</f>
        <v/>
      </c>
      <c r="I771">
        <f>IF(ISNUMBER(SEARCH("소계",B771)),COUNTIF($B$2:B771,"*소계*"),"")</f>
        <v/>
      </c>
      <c r="J771">
        <f>IF(F771="",0,1)</f>
        <v/>
      </c>
    </row>
    <row r="772">
      <c r="A772" s="41" t="n"/>
      <c r="B772" s="41" t="n"/>
      <c r="C772" s="24" t="n"/>
      <c r="D772" s="41" t="n"/>
      <c r="E772" s="41" t="n"/>
      <c r="F772" s="19">
        <f>IF(COUNTA(A772:E772)=0,"",IF(OR(ISNUMBER(SEARCH("소계",B772)),ISNUMBER(SEARCH("합계",B772))),"",TRIM(IF(B772="","이름 없음 ","")&amp;IF(A772="","받은 가족 없음 ","")&amp;IF(C772="","금액 없음 ",IF(ISNUMBER(C772),IF(C772&lt;1000,"금액 확인 ",""),"금액 확인 "))&amp;IF(AND(B772&lt;&gt;"",COUNTIFS($A$2:$A$1001,A772,$B$2:$B$1001,B772,$C$2:$C$1001,C772)&gt;1),"중복 의심",""))))</f>
        <v/>
      </c>
      <c r="G772" s="25">
        <f>IF(OR(COUNTA(A772:E772)=0,OR(ISNUMBER(SEARCH("소계",B772)),ISNUMBER(SEARCH("합계",B772)))),"",1+COUNTIF($B$1:B771,"*소계*"))</f>
        <v/>
      </c>
      <c r="H772">
        <f>IF(AND(A772&lt;&gt;"",A772=가족별!$B$1,G772&lt;&gt;""),COUNTIFS($A$2:A772,가족별!$B$1,$G$2:G772,"&gt;0"),"")</f>
        <v/>
      </c>
      <c r="I772">
        <f>IF(ISNUMBER(SEARCH("소계",B772)),COUNTIF($B$2:B772,"*소계*"),"")</f>
        <v/>
      </c>
      <c r="J772">
        <f>IF(F772="",0,1)</f>
        <v/>
      </c>
    </row>
    <row r="773">
      <c r="A773" s="41" t="n"/>
      <c r="B773" s="41" t="n"/>
      <c r="C773" s="24" t="n"/>
      <c r="D773" s="41" t="n"/>
      <c r="E773" s="41" t="n"/>
      <c r="F773" s="19">
        <f>IF(COUNTA(A773:E773)=0,"",IF(OR(ISNUMBER(SEARCH("소계",B773)),ISNUMBER(SEARCH("합계",B773))),"",TRIM(IF(B773="","이름 없음 ","")&amp;IF(A773="","받은 가족 없음 ","")&amp;IF(C773="","금액 없음 ",IF(ISNUMBER(C773),IF(C773&lt;1000,"금액 확인 ",""),"금액 확인 "))&amp;IF(AND(B773&lt;&gt;"",COUNTIFS($A$2:$A$1001,A773,$B$2:$B$1001,B773,$C$2:$C$1001,C773)&gt;1),"중복 의심",""))))</f>
        <v/>
      </c>
      <c r="G773" s="25">
        <f>IF(OR(COUNTA(A773:E773)=0,OR(ISNUMBER(SEARCH("소계",B773)),ISNUMBER(SEARCH("합계",B773)))),"",1+COUNTIF($B$1:B772,"*소계*"))</f>
        <v/>
      </c>
      <c r="H773">
        <f>IF(AND(A773&lt;&gt;"",A773=가족별!$B$1,G773&lt;&gt;""),COUNTIFS($A$2:A773,가족별!$B$1,$G$2:G773,"&gt;0"),"")</f>
        <v/>
      </c>
      <c r="I773">
        <f>IF(ISNUMBER(SEARCH("소계",B773)),COUNTIF($B$2:B773,"*소계*"),"")</f>
        <v/>
      </c>
      <c r="J773">
        <f>IF(F773="",0,1)</f>
        <v/>
      </c>
    </row>
    <row r="774">
      <c r="A774" s="41" t="n"/>
      <c r="B774" s="41" t="n"/>
      <c r="C774" s="24" t="n"/>
      <c r="D774" s="41" t="n"/>
      <c r="E774" s="41" t="n"/>
      <c r="F774" s="19">
        <f>IF(COUNTA(A774:E774)=0,"",IF(OR(ISNUMBER(SEARCH("소계",B774)),ISNUMBER(SEARCH("합계",B774))),"",TRIM(IF(B774="","이름 없음 ","")&amp;IF(A774="","받은 가족 없음 ","")&amp;IF(C774="","금액 없음 ",IF(ISNUMBER(C774),IF(C774&lt;1000,"금액 확인 ",""),"금액 확인 "))&amp;IF(AND(B774&lt;&gt;"",COUNTIFS($A$2:$A$1001,A774,$B$2:$B$1001,B774,$C$2:$C$1001,C774)&gt;1),"중복 의심",""))))</f>
        <v/>
      </c>
      <c r="G774" s="25">
        <f>IF(OR(COUNTA(A774:E774)=0,OR(ISNUMBER(SEARCH("소계",B774)),ISNUMBER(SEARCH("합계",B774)))),"",1+COUNTIF($B$1:B773,"*소계*"))</f>
        <v/>
      </c>
      <c r="H774">
        <f>IF(AND(A774&lt;&gt;"",A774=가족별!$B$1,G774&lt;&gt;""),COUNTIFS($A$2:A774,가족별!$B$1,$G$2:G774,"&gt;0"),"")</f>
        <v/>
      </c>
      <c r="I774">
        <f>IF(ISNUMBER(SEARCH("소계",B774)),COUNTIF($B$2:B774,"*소계*"),"")</f>
        <v/>
      </c>
      <c r="J774">
        <f>IF(F774="",0,1)</f>
        <v/>
      </c>
    </row>
    <row r="775">
      <c r="A775" s="41" t="n"/>
      <c r="B775" s="41" t="n"/>
      <c r="C775" s="24" t="n"/>
      <c r="D775" s="41" t="n"/>
      <c r="E775" s="41" t="n"/>
      <c r="F775" s="19">
        <f>IF(COUNTA(A775:E775)=0,"",IF(OR(ISNUMBER(SEARCH("소계",B775)),ISNUMBER(SEARCH("합계",B775))),"",TRIM(IF(B775="","이름 없음 ","")&amp;IF(A775="","받은 가족 없음 ","")&amp;IF(C775="","금액 없음 ",IF(ISNUMBER(C775),IF(C775&lt;1000,"금액 확인 ",""),"금액 확인 "))&amp;IF(AND(B775&lt;&gt;"",COUNTIFS($A$2:$A$1001,A775,$B$2:$B$1001,B775,$C$2:$C$1001,C775)&gt;1),"중복 의심",""))))</f>
        <v/>
      </c>
      <c r="G775" s="25">
        <f>IF(OR(COUNTA(A775:E775)=0,OR(ISNUMBER(SEARCH("소계",B775)),ISNUMBER(SEARCH("합계",B775)))),"",1+COUNTIF($B$1:B774,"*소계*"))</f>
        <v/>
      </c>
      <c r="H775">
        <f>IF(AND(A775&lt;&gt;"",A775=가족별!$B$1,G775&lt;&gt;""),COUNTIFS($A$2:A775,가족별!$B$1,$G$2:G775,"&gt;0"),"")</f>
        <v/>
      </c>
      <c r="I775">
        <f>IF(ISNUMBER(SEARCH("소계",B775)),COUNTIF($B$2:B775,"*소계*"),"")</f>
        <v/>
      </c>
      <c r="J775">
        <f>IF(F775="",0,1)</f>
        <v/>
      </c>
    </row>
    <row r="776">
      <c r="A776" s="41" t="n"/>
      <c r="B776" s="41" t="n"/>
      <c r="C776" s="24" t="n"/>
      <c r="D776" s="41" t="n"/>
      <c r="E776" s="41" t="n"/>
      <c r="F776" s="19">
        <f>IF(COUNTA(A776:E776)=0,"",IF(OR(ISNUMBER(SEARCH("소계",B776)),ISNUMBER(SEARCH("합계",B776))),"",TRIM(IF(B776="","이름 없음 ","")&amp;IF(A776="","받은 가족 없음 ","")&amp;IF(C776="","금액 없음 ",IF(ISNUMBER(C776),IF(C776&lt;1000,"금액 확인 ",""),"금액 확인 "))&amp;IF(AND(B776&lt;&gt;"",COUNTIFS($A$2:$A$1001,A776,$B$2:$B$1001,B776,$C$2:$C$1001,C776)&gt;1),"중복 의심",""))))</f>
        <v/>
      </c>
      <c r="G776" s="25">
        <f>IF(OR(COUNTA(A776:E776)=0,OR(ISNUMBER(SEARCH("소계",B776)),ISNUMBER(SEARCH("합계",B776)))),"",1+COUNTIF($B$1:B775,"*소계*"))</f>
        <v/>
      </c>
      <c r="H776">
        <f>IF(AND(A776&lt;&gt;"",A776=가족별!$B$1,G776&lt;&gt;""),COUNTIFS($A$2:A776,가족별!$B$1,$G$2:G776,"&gt;0"),"")</f>
        <v/>
      </c>
      <c r="I776">
        <f>IF(ISNUMBER(SEARCH("소계",B776)),COUNTIF($B$2:B776,"*소계*"),"")</f>
        <v/>
      </c>
      <c r="J776">
        <f>IF(F776="",0,1)</f>
        <v/>
      </c>
    </row>
    <row r="777">
      <c r="A777" s="41" t="n"/>
      <c r="B777" s="41" t="n"/>
      <c r="C777" s="24" t="n"/>
      <c r="D777" s="41" t="n"/>
      <c r="E777" s="41" t="n"/>
      <c r="F777" s="19">
        <f>IF(COUNTA(A777:E777)=0,"",IF(OR(ISNUMBER(SEARCH("소계",B777)),ISNUMBER(SEARCH("합계",B777))),"",TRIM(IF(B777="","이름 없음 ","")&amp;IF(A777="","받은 가족 없음 ","")&amp;IF(C777="","금액 없음 ",IF(ISNUMBER(C777),IF(C777&lt;1000,"금액 확인 ",""),"금액 확인 "))&amp;IF(AND(B777&lt;&gt;"",COUNTIFS($A$2:$A$1001,A777,$B$2:$B$1001,B777,$C$2:$C$1001,C777)&gt;1),"중복 의심",""))))</f>
        <v/>
      </c>
      <c r="G777" s="25">
        <f>IF(OR(COUNTA(A777:E777)=0,OR(ISNUMBER(SEARCH("소계",B777)),ISNUMBER(SEARCH("합계",B777)))),"",1+COUNTIF($B$1:B776,"*소계*"))</f>
        <v/>
      </c>
      <c r="H777">
        <f>IF(AND(A777&lt;&gt;"",A777=가족별!$B$1,G777&lt;&gt;""),COUNTIFS($A$2:A777,가족별!$B$1,$G$2:G777,"&gt;0"),"")</f>
        <v/>
      </c>
      <c r="I777">
        <f>IF(ISNUMBER(SEARCH("소계",B777)),COUNTIF($B$2:B777,"*소계*"),"")</f>
        <v/>
      </c>
      <c r="J777">
        <f>IF(F777="",0,1)</f>
        <v/>
      </c>
    </row>
    <row r="778">
      <c r="A778" s="41" t="n"/>
      <c r="B778" s="41" t="n"/>
      <c r="C778" s="24" t="n"/>
      <c r="D778" s="41" t="n"/>
      <c r="E778" s="41" t="n"/>
      <c r="F778" s="19">
        <f>IF(COUNTA(A778:E778)=0,"",IF(OR(ISNUMBER(SEARCH("소계",B778)),ISNUMBER(SEARCH("합계",B778))),"",TRIM(IF(B778="","이름 없음 ","")&amp;IF(A778="","받은 가족 없음 ","")&amp;IF(C778="","금액 없음 ",IF(ISNUMBER(C778),IF(C778&lt;1000,"금액 확인 ",""),"금액 확인 "))&amp;IF(AND(B778&lt;&gt;"",COUNTIFS($A$2:$A$1001,A778,$B$2:$B$1001,B778,$C$2:$C$1001,C778)&gt;1),"중복 의심",""))))</f>
        <v/>
      </c>
      <c r="G778" s="25">
        <f>IF(OR(COUNTA(A778:E778)=0,OR(ISNUMBER(SEARCH("소계",B778)),ISNUMBER(SEARCH("합계",B778)))),"",1+COUNTIF($B$1:B777,"*소계*"))</f>
        <v/>
      </c>
      <c r="H778">
        <f>IF(AND(A778&lt;&gt;"",A778=가족별!$B$1,G778&lt;&gt;""),COUNTIFS($A$2:A778,가족별!$B$1,$G$2:G778,"&gt;0"),"")</f>
        <v/>
      </c>
      <c r="I778">
        <f>IF(ISNUMBER(SEARCH("소계",B778)),COUNTIF($B$2:B778,"*소계*"),"")</f>
        <v/>
      </c>
      <c r="J778">
        <f>IF(F778="",0,1)</f>
        <v/>
      </c>
    </row>
    <row r="779">
      <c r="A779" s="41" t="n"/>
      <c r="B779" s="41" t="n"/>
      <c r="C779" s="24" t="n"/>
      <c r="D779" s="41" t="n"/>
      <c r="E779" s="41" t="n"/>
      <c r="F779" s="19">
        <f>IF(COUNTA(A779:E779)=0,"",IF(OR(ISNUMBER(SEARCH("소계",B779)),ISNUMBER(SEARCH("합계",B779))),"",TRIM(IF(B779="","이름 없음 ","")&amp;IF(A779="","받은 가족 없음 ","")&amp;IF(C779="","금액 없음 ",IF(ISNUMBER(C779),IF(C779&lt;1000,"금액 확인 ",""),"금액 확인 "))&amp;IF(AND(B779&lt;&gt;"",COUNTIFS($A$2:$A$1001,A779,$B$2:$B$1001,B779,$C$2:$C$1001,C779)&gt;1),"중복 의심",""))))</f>
        <v/>
      </c>
      <c r="G779" s="25">
        <f>IF(OR(COUNTA(A779:E779)=0,OR(ISNUMBER(SEARCH("소계",B779)),ISNUMBER(SEARCH("합계",B779)))),"",1+COUNTIF($B$1:B778,"*소계*"))</f>
        <v/>
      </c>
      <c r="H779">
        <f>IF(AND(A779&lt;&gt;"",A779=가족별!$B$1,G779&lt;&gt;""),COUNTIFS($A$2:A779,가족별!$B$1,$G$2:G779,"&gt;0"),"")</f>
        <v/>
      </c>
      <c r="I779">
        <f>IF(ISNUMBER(SEARCH("소계",B779)),COUNTIF($B$2:B779,"*소계*"),"")</f>
        <v/>
      </c>
      <c r="J779">
        <f>IF(F779="",0,1)</f>
        <v/>
      </c>
    </row>
    <row r="780">
      <c r="A780" s="41" t="n"/>
      <c r="B780" s="41" t="n"/>
      <c r="C780" s="24" t="n"/>
      <c r="D780" s="41" t="n"/>
      <c r="E780" s="41" t="n"/>
      <c r="F780" s="19">
        <f>IF(COUNTA(A780:E780)=0,"",IF(OR(ISNUMBER(SEARCH("소계",B780)),ISNUMBER(SEARCH("합계",B780))),"",TRIM(IF(B780="","이름 없음 ","")&amp;IF(A780="","받은 가족 없음 ","")&amp;IF(C780="","금액 없음 ",IF(ISNUMBER(C780),IF(C780&lt;1000,"금액 확인 ",""),"금액 확인 "))&amp;IF(AND(B780&lt;&gt;"",COUNTIFS($A$2:$A$1001,A780,$B$2:$B$1001,B780,$C$2:$C$1001,C780)&gt;1),"중복 의심",""))))</f>
        <v/>
      </c>
      <c r="G780" s="25">
        <f>IF(OR(COUNTA(A780:E780)=0,OR(ISNUMBER(SEARCH("소계",B780)),ISNUMBER(SEARCH("합계",B780)))),"",1+COUNTIF($B$1:B779,"*소계*"))</f>
        <v/>
      </c>
      <c r="H780">
        <f>IF(AND(A780&lt;&gt;"",A780=가족별!$B$1,G780&lt;&gt;""),COUNTIFS($A$2:A780,가족별!$B$1,$G$2:G780,"&gt;0"),"")</f>
        <v/>
      </c>
      <c r="I780">
        <f>IF(ISNUMBER(SEARCH("소계",B780)),COUNTIF($B$2:B780,"*소계*"),"")</f>
        <v/>
      </c>
      <c r="J780">
        <f>IF(F780="",0,1)</f>
        <v/>
      </c>
    </row>
    <row r="781">
      <c r="A781" s="41" t="n"/>
      <c r="B781" s="41" t="n"/>
      <c r="C781" s="24" t="n"/>
      <c r="D781" s="41" t="n"/>
      <c r="E781" s="41" t="n"/>
      <c r="F781" s="19">
        <f>IF(COUNTA(A781:E781)=0,"",IF(OR(ISNUMBER(SEARCH("소계",B781)),ISNUMBER(SEARCH("합계",B781))),"",TRIM(IF(B781="","이름 없음 ","")&amp;IF(A781="","받은 가족 없음 ","")&amp;IF(C781="","금액 없음 ",IF(ISNUMBER(C781),IF(C781&lt;1000,"금액 확인 ",""),"금액 확인 "))&amp;IF(AND(B781&lt;&gt;"",COUNTIFS($A$2:$A$1001,A781,$B$2:$B$1001,B781,$C$2:$C$1001,C781)&gt;1),"중복 의심",""))))</f>
        <v/>
      </c>
      <c r="G781" s="25">
        <f>IF(OR(COUNTA(A781:E781)=0,OR(ISNUMBER(SEARCH("소계",B781)),ISNUMBER(SEARCH("합계",B781)))),"",1+COUNTIF($B$1:B780,"*소계*"))</f>
        <v/>
      </c>
      <c r="H781">
        <f>IF(AND(A781&lt;&gt;"",A781=가족별!$B$1,G781&lt;&gt;""),COUNTIFS($A$2:A781,가족별!$B$1,$G$2:G781,"&gt;0"),"")</f>
        <v/>
      </c>
      <c r="I781">
        <f>IF(ISNUMBER(SEARCH("소계",B781)),COUNTIF($B$2:B781,"*소계*"),"")</f>
        <v/>
      </c>
      <c r="J781">
        <f>IF(F781="",0,1)</f>
        <v/>
      </c>
    </row>
    <row r="782">
      <c r="A782" s="41" t="n"/>
      <c r="B782" s="41" t="n"/>
      <c r="C782" s="24" t="n"/>
      <c r="D782" s="41" t="n"/>
      <c r="E782" s="41" t="n"/>
      <c r="F782" s="19">
        <f>IF(COUNTA(A782:E782)=0,"",IF(OR(ISNUMBER(SEARCH("소계",B782)),ISNUMBER(SEARCH("합계",B782))),"",TRIM(IF(B782="","이름 없음 ","")&amp;IF(A782="","받은 가족 없음 ","")&amp;IF(C782="","금액 없음 ",IF(ISNUMBER(C782),IF(C782&lt;1000,"금액 확인 ",""),"금액 확인 "))&amp;IF(AND(B782&lt;&gt;"",COUNTIFS($A$2:$A$1001,A782,$B$2:$B$1001,B782,$C$2:$C$1001,C782)&gt;1),"중복 의심",""))))</f>
        <v/>
      </c>
      <c r="G782" s="25">
        <f>IF(OR(COUNTA(A782:E782)=0,OR(ISNUMBER(SEARCH("소계",B782)),ISNUMBER(SEARCH("합계",B782)))),"",1+COUNTIF($B$1:B781,"*소계*"))</f>
        <v/>
      </c>
      <c r="H782">
        <f>IF(AND(A782&lt;&gt;"",A782=가족별!$B$1,G782&lt;&gt;""),COUNTIFS($A$2:A782,가족별!$B$1,$G$2:G782,"&gt;0"),"")</f>
        <v/>
      </c>
      <c r="I782">
        <f>IF(ISNUMBER(SEARCH("소계",B782)),COUNTIF($B$2:B782,"*소계*"),"")</f>
        <v/>
      </c>
      <c r="J782">
        <f>IF(F782="",0,1)</f>
        <v/>
      </c>
    </row>
    <row r="783">
      <c r="A783" s="41" t="n"/>
      <c r="B783" s="41" t="n"/>
      <c r="C783" s="24" t="n"/>
      <c r="D783" s="41" t="n"/>
      <c r="E783" s="41" t="n"/>
      <c r="F783" s="19">
        <f>IF(COUNTA(A783:E783)=0,"",IF(OR(ISNUMBER(SEARCH("소계",B783)),ISNUMBER(SEARCH("합계",B783))),"",TRIM(IF(B783="","이름 없음 ","")&amp;IF(A783="","받은 가족 없음 ","")&amp;IF(C783="","금액 없음 ",IF(ISNUMBER(C783),IF(C783&lt;1000,"금액 확인 ",""),"금액 확인 "))&amp;IF(AND(B783&lt;&gt;"",COUNTIFS($A$2:$A$1001,A783,$B$2:$B$1001,B783,$C$2:$C$1001,C783)&gt;1),"중복 의심",""))))</f>
        <v/>
      </c>
      <c r="G783" s="25">
        <f>IF(OR(COUNTA(A783:E783)=0,OR(ISNUMBER(SEARCH("소계",B783)),ISNUMBER(SEARCH("합계",B783)))),"",1+COUNTIF($B$1:B782,"*소계*"))</f>
        <v/>
      </c>
      <c r="H783">
        <f>IF(AND(A783&lt;&gt;"",A783=가족별!$B$1,G783&lt;&gt;""),COUNTIFS($A$2:A783,가족별!$B$1,$G$2:G783,"&gt;0"),"")</f>
        <v/>
      </c>
      <c r="I783">
        <f>IF(ISNUMBER(SEARCH("소계",B783)),COUNTIF($B$2:B783,"*소계*"),"")</f>
        <v/>
      </c>
      <c r="J783">
        <f>IF(F783="",0,1)</f>
        <v/>
      </c>
    </row>
    <row r="784">
      <c r="A784" s="41" t="n"/>
      <c r="B784" s="41" t="n"/>
      <c r="C784" s="24" t="n"/>
      <c r="D784" s="41" t="n"/>
      <c r="E784" s="41" t="n"/>
      <c r="F784" s="19">
        <f>IF(COUNTA(A784:E784)=0,"",IF(OR(ISNUMBER(SEARCH("소계",B784)),ISNUMBER(SEARCH("합계",B784))),"",TRIM(IF(B784="","이름 없음 ","")&amp;IF(A784="","받은 가족 없음 ","")&amp;IF(C784="","금액 없음 ",IF(ISNUMBER(C784),IF(C784&lt;1000,"금액 확인 ",""),"금액 확인 "))&amp;IF(AND(B784&lt;&gt;"",COUNTIFS($A$2:$A$1001,A784,$B$2:$B$1001,B784,$C$2:$C$1001,C784)&gt;1),"중복 의심",""))))</f>
        <v/>
      </c>
      <c r="G784" s="25">
        <f>IF(OR(COUNTA(A784:E784)=0,OR(ISNUMBER(SEARCH("소계",B784)),ISNUMBER(SEARCH("합계",B784)))),"",1+COUNTIF($B$1:B783,"*소계*"))</f>
        <v/>
      </c>
      <c r="H784">
        <f>IF(AND(A784&lt;&gt;"",A784=가족별!$B$1,G784&lt;&gt;""),COUNTIFS($A$2:A784,가족별!$B$1,$G$2:G784,"&gt;0"),"")</f>
        <v/>
      </c>
      <c r="I784">
        <f>IF(ISNUMBER(SEARCH("소계",B784)),COUNTIF($B$2:B784,"*소계*"),"")</f>
        <v/>
      </c>
      <c r="J784">
        <f>IF(F784="",0,1)</f>
        <v/>
      </c>
    </row>
    <row r="785">
      <c r="A785" s="41" t="n"/>
      <c r="B785" s="41" t="n"/>
      <c r="C785" s="24" t="n"/>
      <c r="D785" s="41" t="n"/>
      <c r="E785" s="41" t="n"/>
      <c r="F785" s="19">
        <f>IF(COUNTA(A785:E785)=0,"",IF(OR(ISNUMBER(SEARCH("소계",B785)),ISNUMBER(SEARCH("합계",B785))),"",TRIM(IF(B785="","이름 없음 ","")&amp;IF(A785="","받은 가족 없음 ","")&amp;IF(C785="","금액 없음 ",IF(ISNUMBER(C785),IF(C785&lt;1000,"금액 확인 ",""),"금액 확인 "))&amp;IF(AND(B785&lt;&gt;"",COUNTIFS($A$2:$A$1001,A785,$B$2:$B$1001,B785,$C$2:$C$1001,C785)&gt;1),"중복 의심",""))))</f>
        <v/>
      </c>
      <c r="G785" s="25">
        <f>IF(OR(COUNTA(A785:E785)=0,OR(ISNUMBER(SEARCH("소계",B785)),ISNUMBER(SEARCH("합계",B785)))),"",1+COUNTIF($B$1:B784,"*소계*"))</f>
        <v/>
      </c>
      <c r="H785">
        <f>IF(AND(A785&lt;&gt;"",A785=가족별!$B$1,G785&lt;&gt;""),COUNTIFS($A$2:A785,가족별!$B$1,$G$2:G785,"&gt;0"),"")</f>
        <v/>
      </c>
      <c r="I785">
        <f>IF(ISNUMBER(SEARCH("소계",B785)),COUNTIF($B$2:B785,"*소계*"),"")</f>
        <v/>
      </c>
      <c r="J785">
        <f>IF(F785="",0,1)</f>
        <v/>
      </c>
    </row>
    <row r="786">
      <c r="A786" s="41" t="n"/>
      <c r="B786" s="41" t="n"/>
      <c r="C786" s="24" t="n"/>
      <c r="D786" s="41" t="n"/>
      <c r="E786" s="41" t="n"/>
      <c r="F786" s="19">
        <f>IF(COUNTA(A786:E786)=0,"",IF(OR(ISNUMBER(SEARCH("소계",B786)),ISNUMBER(SEARCH("합계",B786))),"",TRIM(IF(B786="","이름 없음 ","")&amp;IF(A786="","받은 가족 없음 ","")&amp;IF(C786="","금액 없음 ",IF(ISNUMBER(C786),IF(C786&lt;1000,"금액 확인 ",""),"금액 확인 "))&amp;IF(AND(B786&lt;&gt;"",COUNTIFS($A$2:$A$1001,A786,$B$2:$B$1001,B786,$C$2:$C$1001,C786)&gt;1),"중복 의심",""))))</f>
        <v/>
      </c>
      <c r="G786" s="25">
        <f>IF(OR(COUNTA(A786:E786)=0,OR(ISNUMBER(SEARCH("소계",B786)),ISNUMBER(SEARCH("합계",B786)))),"",1+COUNTIF($B$1:B785,"*소계*"))</f>
        <v/>
      </c>
      <c r="H786">
        <f>IF(AND(A786&lt;&gt;"",A786=가족별!$B$1,G786&lt;&gt;""),COUNTIFS($A$2:A786,가족별!$B$1,$G$2:G786,"&gt;0"),"")</f>
        <v/>
      </c>
      <c r="I786">
        <f>IF(ISNUMBER(SEARCH("소계",B786)),COUNTIF($B$2:B786,"*소계*"),"")</f>
        <v/>
      </c>
      <c r="J786">
        <f>IF(F786="",0,1)</f>
        <v/>
      </c>
    </row>
    <row r="787">
      <c r="A787" s="41" t="n"/>
      <c r="B787" s="41" t="n"/>
      <c r="C787" s="24" t="n"/>
      <c r="D787" s="41" t="n"/>
      <c r="E787" s="41" t="n"/>
      <c r="F787" s="19">
        <f>IF(COUNTA(A787:E787)=0,"",IF(OR(ISNUMBER(SEARCH("소계",B787)),ISNUMBER(SEARCH("합계",B787))),"",TRIM(IF(B787="","이름 없음 ","")&amp;IF(A787="","받은 가족 없음 ","")&amp;IF(C787="","금액 없음 ",IF(ISNUMBER(C787),IF(C787&lt;1000,"금액 확인 ",""),"금액 확인 "))&amp;IF(AND(B787&lt;&gt;"",COUNTIFS($A$2:$A$1001,A787,$B$2:$B$1001,B787,$C$2:$C$1001,C787)&gt;1),"중복 의심",""))))</f>
        <v/>
      </c>
      <c r="G787" s="25">
        <f>IF(OR(COUNTA(A787:E787)=0,OR(ISNUMBER(SEARCH("소계",B787)),ISNUMBER(SEARCH("합계",B787)))),"",1+COUNTIF($B$1:B786,"*소계*"))</f>
        <v/>
      </c>
      <c r="H787">
        <f>IF(AND(A787&lt;&gt;"",A787=가족별!$B$1,G787&lt;&gt;""),COUNTIFS($A$2:A787,가족별!$B$1,$G$2:G787,"&gt;0"),"")</f>
        <v/>
      </c>
      <c r="I787">
        <f>IF(ISNUMBER(SEARCH("소계",B787)),COUNTIF($B$2:B787,"*소계*"),"")</f>
        <v/>
      </c>
      <c r="J787">
        <f>IF(F787="",0,1)</f>
        <v/>
      </c>
    </row>
    <row r="788">
      <c r="A788" s="41" t="n"/>
      <c r="B788" s="41" t="n"/>
      <c r="C788" s="24" t="n"/>
      <c r="D788" s="41" t="n"/>
      <c r="E788" s="41" t="n"/>
      <c r="F788" s="19">
        <f>IF(COUNTA(A788:E788)=0,"",IF(OR(ISNUMBER(SEARCH("소계",B788)),ISNUMBER(SEARCH("합계",B788))),"",TRIM(IF(B788="","이름 없음 ","")&amp;IF(A788="","받은 가족 없음 ","")&amp;IF(C788="","금액 없음 ",IF(ISNUMBER(C788),IF(C788&lt;1000,"금액 확인 ",""),"금액 확인 "))&amp;IF(AND(B788&lt;&gt;"",COUNTIFS($A$2:$A$1001,A788,$B$2:$B$1001,B788,$C$2:$C$1001,C788)&gt;1),"중복 의심",""))))</f>
        <v/>
      </c>
      <c r="G788" s="25">
        <f>IF(OR(COUNTA(A788:E788)=0,OR(ISNUMBER(SEARCH("소계",B788)),ISNUMBER(SEARCH("합계",B788)))),"",1+COUNTIF($B$1:B787,"*소계*"))</f>
        <v/>
      </c>
      <c r="H788">
        <f>IF(AND(A788&lt;&gt;"",A788=가족별!$B$1,G788&lt;&gt;""),COUNTIFS($A$2:A788,가족별!$B$1,$G$2:G788,"&gt;0"),"")</f>
        <v/>
      </c>
      <c r="I788">
        <f>IF(ISNUMBER(SEARCH("소계",B788)),COUNTIF($B$2:B788,"*소계*"),"")</f>
        <v/>
      </c>
      <c r="J788">
        <f>IF(F788="",0,1)</f>
        <v/>
      </c>
    </row>
    <row r="789">
      <c r="A789" s="41" t="n"/>
      <c r="B789" s="41" t="n"/>
      <c r="C789" s="24" t="n"/>
      <c r="D789" s="41" t="n"/>
      <c r="E789" s="41" t="n"/>
      <c r="F789" s="19">
        <f>IF(COUNTA(A789:E789)=0,"",IF(OR(ISNUMBER(SEARCH("소계",B789)),ISNUMBER(SEARCH("합계",B789))),"",TRIM(IF(B789="","이름 없음 ","")&amp;IF(A789="","받은 가족 없음 ","")&amp;IF(C789="","금액 없음 ",IF(ISNUMBER(C789),IF(C789&lt;1000,"금액 확인 ",""),"금액 확인 "))&amp;IF(AND(B789&lt;&gt;"",COUNTIFS($A$2:$A$1001,A789,$B$2:$B$1001,B789,$C$2:$C$1001,C789)&gt;1),"중복 의심",""))))</f>
        <v/>
      </c>
      <c r="G789" s="25">
        <f>IF(OR(COUNTA(A789:E789)=0,OR(ISNUMBER(SEARCH("소계",B789)),ISNUMBER(SEARCH("합계",B789)))),"",1+COUNTIF($B$1:B788,"*소계*"))</f>
        <v/>
      </c>
      <c r="H789">
        <f>IF(AND(A789&lt;&gt;"",A789=가족별!$B$1,G789&lt;&gt;""),COUNTIFS($A$2:A789,가족별!$B$1,$G$2:G789,"&gt;0"),"")</f>
        <v/>
      </c>
      <c r="I789">
        <f>IF(ISNUMBER(SEARCH("소계",B789)),COUNTIF($B$2:B789,"*소계*"),"")</f>
        <v/>
      </c>
      <c r="J789">
        <f>IF(F789="",0,1)</f>
        <v/>
      </c>
    </row>
    <row r="790">
      <c r="A790" s="41" t="n"/>
      <c r="B790" s="41" t="n"/>
      <c r="C790" s="24" t="n"/>
      <c r="D790" s="41" t="n"/>
      <c r="E790" s="41" t="n"/>
      <c r="F790" s="19">
        <f>IF(COUNTA(A790:E790)=0,"",IF(OR(ISNUMBER(SEARCH("소계",B790)),ISNUMBER(SEARCH("합계",B790))),"",TRIM(IF(B790="","이름 없음 ","")&amp;IF(A790="","받은 가족 없음 ","")&amp;IF(C790="","금액 없음 ",IF(ISNUMBER(C790),IF(C790&lt;1000,"금액 확인 ",""),"금액 확인 "))&amp;IF(AND(B790&lt;&gt;"",COUNTIFS($A$2:$A$1001,A790,$B$2:$B$1001,B790,$C$2:$C$1001,C790)&gt;1),"중복 의심",""))))</f>
        <v/>
      </c>
      <c r="G790" s="25">
        <f>IF(OR(COUNTA(A790:E790)=0,OR(ISNUMBER(SEARCH("소계",B790)),ISNUMBER(SEARCH("합계",B790)))),"",1+COUNTIF($B$1:B789,"*소계*"))</f>
        <v/>
      </c>
      <c r="H790">
        <f>IF(AND(A790&lt;&gt;"",A790=가족별!$B$1,G790&lt;&gt;""),COUNTIFS($A$2:A790,가족별!$B$1,$G$2:G790,"&gt;0"),"")</f>
        <v/>
      </c>
      <c r="I790">
        <f>IF(ISNUMBER(SEARCH("소계",B790)),COUNTIF($B$2:B790,"*소계*"),"")</f>
        <v/>
      </c>
      <c r="J790">
        <f>IF(F790="",0,1)</f>
        <v/>
      </c>
    </row>
    <row r="791">
      <c r="A791" s="41" t="n"/>
      <c r="B791" s="41" t="n"/>
      <c r="C791" s="24" t="n"/>
      <c r="D791" s="41" t="n"/>
      <c r="E791" s="41" t="n"/>
      <c r="F791" s="19">
        <f>IF(COUNTA(A791:E791)=0,"",IF(OR(ISNUMBER(SEARCH("소계",B791)),ISNUMBER(SEARCH("합계",B791))),"",TRIM(IF(B791="","이름 없음 ","")&amp;IF(A791="","받은 가족 없음 ","")&amp;IF(C791="","금액 없음 ",IF(ISNUMBER(C791),IF(C791&lt;1000,"금액 확인 ",""),"금액 확인 "))&amp;IF(AND(B791&lt;&gt;"",COUNTIFS($A$2:$A$1001,A791,$B$2:$B$1001,B791,$C$2:$C$1001,C791)&gt;1),"중복 의심",""))))</f>
        <v/>
      </c>
      <c r="G791" s="25">
        <f>IF(OR(COUNTA(A791:E791)=0,OR(ISNUMBER(SEARCH("소계",B791)),ISNUMBER(SEARCH("합계",B791)))),"",1+COUNTIF($B$1:B790,"*소계*"))</f>
        <v/>
      </c>
      <c r="H791">
        <f>IF(AND(A791&lt;&gt;"",A791=가족별!$B$1,G791&lt;&gt;""),COUNTIFS($A$2:A791,가족별!$B$1,$G$2:G791,"&gt;0"),"")</f>
        <v/>
      </c>
      <c r="I791">
        <f>IF(ISNUMBER(SEARCH("소계",B791)),COUNTIF($B$2:B791,"*소계*"),"")</f>
        <v/>
      </c>
      <c r="J791">
        <f>IF(F791="",0,1)</f>
        <v/>
      </c>
    </row>
    <row r="792">
      <c r="A792" s="41" t="n"/>
      <c r="B792" s="41" t="n"/>
      <c r="C792" s="24" t="n"/>
      <c r="D792" s="41" t="n"/>
      <c r="E792" s="41" t="n"/>
      <c r="F792" s="19">
        <f>IF(COUNTA(A792:E792)=0,"",IF(OR(ISNUMBER(SEARCH("소계",B792)),ISNUMBER(SEARCH("합계",B792))),"",TRIM(IF(B792="","이름 없음 ","")&amp;IF(A792="","받은 가족 없음 ","")&amp;IF(C792="","금액 없음 ",IF(ISNUMBER(C792),IF(C792&lt;1000,"금액 확인 ",""),"금액 확인 "))&amp;IF(AND(B792&lt;&gt;"",COUNTIFS($A$2:$A$1001,A792,$B$2:$B$1001,B792,$C$2:$C$1001,C792)&gt;1),"중복 의심",""))))</f>
        <v/>
      </c>
      <c r="G792" s="25">
        <f>IF(OR(COUNTA(A792:E792)=0,OR(ISNUMBER(SEARCH("소계",B792)),ISNUMBER(SEARCH("합계",B792)))),"",1+COUNTIF($B$1:B791,"*소계*"))</f>
        <v/>
      </c>
      <c r="H792">
        <f>IF(AND(A792&lt;&gt;"",A792=가족별!$B$1,G792&lt;&gt;""),COUNTIFS($A$2:A792,가족별!$B$1,$G$2:G792,"&gt;0"),"")</f>
        <v/>
      </c>
      <c r="I792">
        <f>IF(ISNUMBER(SEARCH("소계",B792)),COUNTIF($B$2:B792,"*소계*"),"")</f>
        <v/>
      </c>
      <c r="J792">
        <f>IF(F792="",0,1)</f>
        <v/>
      </c>
    </row>
    <row r="793">
      <c r="A793" s="41" t="n"/>
      <c r="B793" s="41" t="n"/>
      <c r="C793" s="24" t="n"/>
      <c r="D793" s="41" t="n"/>
      <c r="E793" s="41" t="n"/>
      <c r="F793" s="19">
        <f>IF(COUNTA(A793:E793)=0,"",IF(OR(ISNUMBER(SEARCH("소계",B793)),ISNUMBER(SEARCH("합계",B793))),"",TRIM(IF(B793="","이름 없음 ","")&amp;IF(A793="","받은 가족 없음 ","")&amp;IF(C793="","금액 없음 ",IF(ISNUMBER(C793),IF(C793&lt;1000,"금액 확인 ",""),"금액 확인 "))&amp;IF(AND(B793&lt;&gt;"",COUNTIFS($A$2:$A$1001,A793,$B$2:$B$1001,B793,$C$2:$C$1001,C793)&gt;1),"중복 의심",""))))</f>
        <v/>
      </c>
      <c r="G793" s="25">
        <f>IF(OR(COUNTA(A793:E793)=0,OR(ISNUMBER(SEARCH("소계",B793)),ISNUMBER(SEARCH("합계",B793)))),"",1+COUNTIF($B$1:B792,"*소계*"))</f>
        <v/>
      </c>
      <c r="H793">
        <f>IF(AND(A793&lt;&gt;"",A793=가족별!$B$1,G793&lt;&gt;""),COUNTIFS($A$2:A793,가족별!$B$1,$G$2:G793,"&gt;0"),"")</f>
        <v/>
      </c>
      <c r="I793">
        <f>IF(ISNUMBER(SEARCH("소계",B793)),COUNTIF($B$2:B793,"*소계*"),"")</f>
        <v/>
      </c>
      <c r="J793">
        <f>IF(F793="",0,1)</f>
        <v/>
      </c>
    </row>
    <row r="794">
      <c r="A794" s="41" t="n"/>
      <c r="B794" s="41" t="n"/>
      <c r="C794" s="24" t="n"/>
      <c r="D794" s="41" t="n"/>
      <c r="E794" s="41" t="n"/>
      <c r="F794" s="19">
        <f>IF(COUNTA(A794:E794)=0,"",IF(OR(ISNUMBER(SEARCH("소계",B794)),ISNUMBER(SEARCH("합계",B794))),"",TRIM(IF(B794="","이름 없음 ","")&amp;IF(A794="","받은 가족 없음 ","")&amp;IF(C794="","금액 없음 ",IF(ISNUMBER(C794),IF(C794&lt;1000,"금액 확인 ",""),"금액 확인 "))&amp;IF(AND(B794&lt;&gt;"",COUNTIFS($A$2:$A$1001,A794,$B$2:$B$1001,B794,$C$2:$C$1001,C794)&gt;1),"중복 의심",""))))</f>
        <v/>
      </c>
      <c r="G794" s="25">
        <f>IF(OR(COUNTA(A794:E794)=0,OR(ISNUMBER(SEARCH("소계",B794)),ISNUMBER(SEARCH("합계",B794)))),"",1+COUNTIF($B$1:B793,"*소계*"))</f>
        <v/>
      </c>
      <c r="H794">
        <f>IF(AND(A794&lt;&gt;"",A794=가족별!$B$1,G794&lt;&gt;""),COUNTIFS($A$2:A794,가족별!$B$1,$G$2:G794,"&gt;0"),"")</f>
        <v/>
      </c>
      <c r="I794">
        <f>IF(ISNUMBER(SEARCH("소계",B794)),COUNTIF($B$2:B794,"*소계*"),"")</f>
        <v/>
      </c>
      <c r="J794">
        <f>IF(F794="",0,1)</f>
        <v/>
      </c>
    </row>
    <row r="795">
      <c r="A795" s="41" t="n"/>
      <c r="B795" s="41" t="n"/>
      <c r="C795" s="24" t="n"/>
      <c r="D795" s="41" t="n"/>
      <c r="E795" s="41" t="n"/>
      <c r="F795" s="19">
        <f>IF(COUNTA(A795:E795)=0,"",IF(OR(ISNUMBER(SEARCH("소계",B795)),ISNUMBER(SEARCH("합계",B795))),"",TRIM(IF(B795="","이름 없음 ","")&amp;IF(A795="","받은 가족 없음 ","")&amp;IF(C795="","금액 없음 ",IF(ISNUMBER(C795),IF(C795&lt;1000,"금액 확인 ",""),"금액 확인 "))&amp;IF(AND(B795&lt;&gt;"",COUNTIFS($A$2:$A$1001,A795,$B$2:$B$1001,B795,$C$2:$C$1001,C795)&gt;1),"중복 의심",""))))</f>
        <v/>
      </c>
      <c r="G795" s="25">
        <f>IF(OR(COUNTA(A795:E795)=0,OR(ISNUMBER(SEARCH("소계",B795)),ISNUMBER(SEARCH("합계",B795)))),"",1+COUNTIF($B$1:B794,"*소계*"))</f>
        <v/>
      </c>
      <c r="H795">
        <f>IF(AND(A795&lt;&gt;"",A795=가족별!$B$1,G795&lt;&gt;""),COUNTIFS($A$2:A795,가족별!$B$1,$G$2:G795,"&gt;0"),"")</f>
        <v/>
      </c>
      <c r="I795">
        <f>IF(ISNUMBER(SEARCH("소계",B795)),COUNTIF($B$2:B795,"*소계*"),"")</f>
        <v/>
      </c>
      <c r="J795">
        <f>IF(F795="",0,1)</f>
        <v/>
      </c>
    </row>
    <row r="796">
      <c r="A796" s="41" t="n"/>
      <c r="B796" s="41" t="n"/>
      <c r="C796" s="24" t="n"/>
      <c r="D796" s="41" t="n"/>
      <c r="E796" s="41" t="n"/>
      <c r="F796" s="19">
        <f>IF(COUNTA(A796:E796)=0,"",IF(OR(ISNUMBER(SEARCH("소계",B796)),ISNUMBER(SEARCH("합계",B796))),"",TRIM(IF(B796="","이름 없음 ","")&amp;IF(A796="","받은 가족 없음 ","")&amp;IF(C796="","금액 없음 ",IF(ISNUMBER(C796),IF(C796&lt;1000,"금액 확인 ",""),"금액 확인 "))&amp;IF(AND(B796&lt;&gt;"",COUNTIFS($A$2:$A$1001,A796,$B$2:$B$1001,B796,$C$2:$C$1001,C796)&gt;1),"중복 의심",""))))</f>
        <v/>
      </c>
      <c r="G796" s="25">
        <f>IF(OR(COUNTA(A796:E796)=0,OR(ISNUMBER(SEARCH("소계",B796)),ISNUMBER(SEARCH("합계",B796)))),"",1+COUNTIF($B$1:B795,"*소계*"))</f>
        <v/>
      </c>
      <c r="H796">
        <f>IF(AND(A796&lt;&gt;"",A796=가족별!$B$1,G796&lt;&gt;""),COUNTIFS($A$2:A796,가족별!$B$1,$G$2:G796,"&gt;0"),"")</f>
        <v/>
      </c>
      <c r="I796">
        <f>IF(ISNUMBER(SEARCH("소계",B796)),COUNTIF($B$2:B796,"*소계*"),"")</f>
        <v/>
      </c>
      <c r="J796">
        <f>IF(F796="",0,1)</f>
        <v/>
      </c>
    </row>
    <row r="797">
      <c r="A797" s="41" t="n"/>
      <c r="B797" s="41" t="n"/>
      <c r="C797" s="24" t="n"/>
      <c r="D797" s="41" t="n"/>
      <c r="E797" s="41" t="n"/>
      <c r="F797" s="19">
        <f>IF(COUNTA(A797:E797)=0,"",IF(OR(ISNUMBER(SEARCH("소계",B797)),ISNUMBER(SEARCH("합계",B797))),"",TRIM(IF(B797="","이름 없음 ","")&amp;IF(A797="","받은 가족 없음 ","")&amp;IF(C797="","금액 없음 ",IF(ISNUMBER(C797),IF(C797&lt;1000,"금액 확인 ",""),"금액 확인 "))&amp;IF(AND(B797&lt;&gt;"",COUNTIFS($A$2:$A$1001,A797,$B$2:$B$1001,B797,$C$2:$C$1001,C797)&gt;1),"중복 의심",""))))</f>
        <v/>
      </c>
      <c r="G797" s="25">
        <f>IF(OR(COUNTA(A797:E797)=0,OR(ISNUMBER(SEARCH("소계",B797)),ISNUMBER(SEARCH("합계",B797)))),"",1+COUNTIF($B$1:B796,"*소계*"))</f>
        <v/>
      </c>
      <c r="H797">
        <f>IF(AND(A797&lt;&gt;"",A797=가족별!$B$1,G797&lt;&gt;""),COUNTIFS($A$2:A797,가족별!$B$1,$G$2:G797,"&gt;0"),"")</f>
        <v/>
      </c>
      <c r="I797">
        <f>IF(ISNUMBER(SEARCH("소계",B797)),COUNTIF($B$2:B797,"*소계*"),"")</f>
        <v/>
      </c>
      <c r="J797">
        <f>IF(F797="",0,1)</f>
        <v/>
      </c>
    </row>
    <row r="798">
      <c r="A798" s="41" t="n"/>
      <c r="B798" s="41" t="n"/>
      <c r="C798" s="24" t="n"/>
      <c r="D798" s="41" t="n"/>
      <c r="E798" s="41" t="n"/>
      <c r="F798" s="19">
        <f>IF(COUNTA(A798:E798)=0,"",IF(OR(ISNUMBER(SEARCH("소계",B798)),ISNUMBER(SEARCH("합계",B798))),"",TRIM(IF(B798="","이름 없음 ","")&amp;IF(A798="","받은 가족 없음 ","")&amp;IF(C798="","금액 없음 ",IF(ISNUMBER(C798),IF(C798&lt;1000,"금액 확인 ",""),"금액 확인 "))&amp;IF(AND(B798&lt;&gt;"",COUNTIFS($A$2:$A$1001,A798,$B$2:$B$1001,B798,$C$2:$C$1001,C798)&gt;1),"중복 의심",""))))</f>
        <v/>
      </c>
      <c r="G798" s="25">
        <f>IF(OR(COUNTA(A798:E798)=0,OR(ISNUMBER(SEARCH("소계",B798)),ISNUMBER(SEARCH("합계",B798)))),"",1+COUNTIF($B$1:B797,"*소계*"))</f>
        <v/>
      </c>
      <c r="H798">
        <f>IF(AND(A798&lt;&gt;"",A798=가족별!$B$1,G798&lt;&gt;""),COUNTIFS($A$2:A798,가족별!$B$1,$G$2:G798,"&gt;0"),"")</f>
        <v/>
      </c>
      <c r="I798">
        <f>IF(ISNUMBER(SEARCH("소계",B798)),COUNTIF($B$2:B798,"*소계*"),"")</f>
        <v/>
      </c>
      <c r="J798">
        <f>IF(F798="",0,1)</f>
        <v/>
      </c>
    </row>
    <row r="799">
      <c r="A799" s="41" t="n"/>
      <c r="B799" s="41" t="n"/>
      <c r="C799" s="24" t="n"/>
      <c r="D799" s="41" t="n"/>
      <c r="E799" s="41" t="n"/>
      <c r="F799" s="19">
        <f>IF(COUNTA(A799:E799)=0,"",IF(OR(ISNUMBER(SEARCH("소계",B799)),ISNUMBER(SEARCH("합계",B799))),"",TRIM(IF(B799="","이름 없음 ","")&amp;IF(A799="","받은 가족 없음 ","")&amp;IF(C799="","금액 없음 ",IF(ISNUMBER(C799),IF(C799&lt;1000,"금액 확인 ",""),"금액 확인 "))&amp;IF(AND(B799&lt;&gt;"",COUNTIFS($A$2:$A$1001,A799,$B$2:$B$1001,B799,$C$2:$C$1001,C799)&gt;1),"중복 의심",""))))</f>
        <v/>
      </c>
      <c r="G799" s="25">
        <f>IF(OR(COUNTA(A799:E799)=0,OR(ISNUMBER(SEARCH("소계",B799)),ISNUMBER(SEARCH("합계",B799)))),"",1+COUNTIF($B$1:B798,"*소계*"))</f>
        <v/>
      </c>
      <c r="H799">
        <f>IF(AND(A799&lt;&gt;"",A799=가족별!$B$1,G799&lt;&gt;""),COUNTIFS($A$2:A799,가족별!$B$1,$G$2:G799,"&gt;0"),"")</f>
        <v/>
      </c>
      <c r="I799">
        <f>IF(ISNUMBER(SEARCH("소계",B799)),COUNTIF($B$2:B799,"*소계*"),"")</f>
        <v/>
      </c>
      <c r="J799">
        <f>IF(F799="",0,1)</f>
        <v/>
      </c>
    </row>
    <row r="800">
      <c r="A800" s="41" t="n"/>
      <c r="B800" s="41" t="n"/>
      <c r="C800" s="24" t="n"/>
      <c r="D800" s="41" t="n"/>
      <c r="E800" s="41" t="n"/>
      <c r="F800" s="19">
        <f>IF(COUNTA(A800:E800)=0,"",IF(OR(ISNUMBER(SEARCH("소계",B800)),ISNUMBER(SEARCH("합계",B800))),"",TRIM(IF(B800="","이름 없음 ","")&amp;IF(A800="","받은 가족 없음 ","")&amp;IF(C800="","금액 없음 ",IF(ISNUMBER(C800),IF(C800&lt;1000,"금액 확인 ",""),"금액 확인 "))&amp;IF(AND(B800&lt;&gt;"",COUNTIFS($A$2:$A$1001,A800,$B$2:$B$1001,B800,$C$2:$C$1001,C800)&gt;1),"중복 의심",""))))</f>
        <v/>
      </c>
      <c r="G800" s="25">
        <f>IF(OR(COUNTA(A800:E800)=0,OR(ISNUMBER(SEARCH("소계",B800)),ISNUMBER(SEARCH("합계",B800)))),"",1+COUNTIF($B$1:B799,"*소계*"))</f>
        <v/>
      </c>
      <c r="H800">
        <f>IF(AND(A800&lt;&gt;"",A800=가족별!$B$1,G800&lt;&gt;""),COUNTIFS($A$2:A800,가족별!$B$1,$G$2:G800,"&gt;0"),"")</f>
        <v/>
      </c>
      <c r="I800">
        <f>IF(ISNUMBER(SEARCH("소계",B800)),COUNTIF($B$2:B800,"*소계*"),"")</f>
        <v/>
      </c>
      <c r="J800">
        <f>IF(F800="",0,1)</f>
        <v/>
      </c>
    </row>
    <row r="801">
      <c r="A801" s="41" t="n"/>
      <c r="B801" s="41" t="n"/>
      <c r="C801" s="24" t="n"/>
      <c r="D801" s="41" t="n"/>
      <c r="E801" s="41" t="n"/>
      <c r="F801" s="19">
        <f>IF(COUNTA(A801:E801)=0,"",IF(OR(ISNUMBER(SEARCH("소계",B801)),ISNUMBER(SEARCH("합계",B801))),"",TRIM(IF(B801="","이름 없음 ","")&amp;IF(A801="","받은 가족 없음 ","")&amp;IF(C801="","금액 없음 ",IF(ISNUMBER(C801),IF(C801&lt;1000,"금액 확인 ",""),"금액 확인 "))&amp;IF(AND(B801&lt;&gt;"",COUNTIFS($A$2:$A$1001,A801,$B$2:$B$1001,B801,$C$2:$C$1001,C801)&gt;1),"중복 의심",""))))</f>
        <v/>
      </c>
      <c r="G801" s="25">
        <f>IF(OR(COUNTA(A801:E801)=0,OR(ISNUMBER(SEARCH("소계",B801)),ISNUMBER(SEARCH("합계",B801)))),"",1+COUNTIF($B$1:B800,"*소계*"))</f>
        <v/>
      </c>
      <c r="H801">
        <f>IF(AND(A801&lt;&gt;"",A801=가족별!$B$1,G801&lt;&gt;""),COUNTIFS($A$2:A801,가족별!$B$1,$G$2:G801,"&gt;0"),"")</f>
        <v/>
      </c>
      <c r="I801">
        <f>IF(ISNUMBER(SEARCH("소계",B801)),COUNTIF($B$2:B801,"*소계*"),"")</f>
        <v/>
      </c>
      <c r="J801">
        <f>IF(F801="",0,1)</f>
        <v/>
      </c>
    </row>
    <row r="802">
      <c r="A802" s="41" t="n"/>
      <c r="B802" s="41" t="n"/>
      <c r="C802" s="24" t="n"/>
      <c r="D802" s="41" t="n"/>
      <c r="E802" s="41" t="n"/>
      <c r="F802" s="19">
        <f>IF(COUNTA(A802:E802)=0,"",IF(OR(ISNUMBER(SEARCH("소계",B802)),ISNUMBER(SEARCH("합계",B802))),"",TRIM(IF(B802="","이름 없음 ","")&amp;IF(A802="","받은 가족 없음 ","")&amp;IF(C802="","금액 없음 ",IF(ISNUMBER(C802),IF(C802&lt;1000,"금액 확인 ",""),"금액 확인 "))&amp;IF(AND(B802&lt;&gt;"",COUNTIFS($A$2:$A$1001,A802,$B$2:$B$1001,B802,$C$2:$C$1001,C802)&gt;1),"중복 의심",""))))</f>
        <v/>
      </c>
      <c r="G802" s="25">
        <f>IF(OR(COUNTA(A802:E802)=0,OR(ISNUMBER(SEARCH("소계",B802)),ISNUMBER(SEARCH("합계",B802)))),"",1+COUNTIF($B$1:B801,"*소계*"))</f>
        <v/>
      </c>
      <c r="H802">
        <f>IF(AND(A802&lt;&gt;"",A802=가족별!$B$1,G802&lt;&gt;""),COUNTIFS($A$2:A802,가족별!$B$1,$G$2:G802,"&gt;0"),"")</f>
        <v/>
      </c>
      <c r="I802">
        <f>IF(ISNUMBER(SEARCH("소계",B802)),COUNTIF($B$2:B802,"*소계*"),"")</f>
        <v/>
      </c>
      <c r="J802">
        <f>IF(F802="",0,1)</f>
        <v/>
      </c>
    </row>
    <row r="803">
      <c r="A803" s="41" t="n"/>
      <c r="B803" s="41" t="n"/>
      <c r="C803" s="24" t="n"/>
      <c r="D803" s="41" t="n"/>
      <c r="E803" s="41" t="n"/>
      <c r="F803" s="19">
        <f>IF(COUNTA(A803:E803)=0,"",IF(OR(ISNUMBER(SEARCH("소계",B803)),ISNUMBER(SEARCH("합계",B803))),"",TRIM(IF(B803="","이름 없음 ","")&amp;IF(A803="","받은 가족 없음 ","")&amp;IF(C803="","금액 없음 ",IF(ISNUMBER(C803),IF(C803&lt;1000,"금액 확인 ",""),"금액 확인 "))&amp;IF(AND(B803&lt;&gt;"",COUNTIFS($A$2:$A$1001,A803,$B$2:$B$1001,B803,$C$2:$C$1001,C803)&gt;1),"중복 의심",""))))</f>
        <v/>
      </c>
      <c r="G803" s="25">
        <f>IF(OR(COUNTA(A803:E803)=0,OR(ISNUMBER(SEARCH("소계",B803)),ISNUMBER(SEARCH("합계",B803)))),"",1+COUNTIF($B$1:B802,"*소계*"))</f>
        <v/>
      </c>
      <c r="H803">
        <f>IF(AND(A803&lt;&gt;"",A803=가족별!$B$1,G803&lt;&gt;""),COUNTIFS($A$2:A803,가족별!$B$1,$G$2:G803,"&gt;0"),"")</f>
        <v/>
      </c>
      <c r="I803">
        <f>IF(ISNUMBER(SEARCH("소계",B803)),COUNTIF($B$2:B803,"*소계*"),"")</f>
        <v/>
      </c>
      <c r="J803">
        <f>IF(F803="",0,1)</f>
        <v/>
      </c>
    </row>
    <row r="804">
      <c r="A804" s="41" t="n"/>
      <c r="B804" s="41" t="n"/>
      <c r="C804" s="24" t="n"/>
      <c r="D804" s="41" t="n"/>
      <c r="E804" s="41" t="n"/>
      <c r="F804" s="19">
        <f>IF(COUNTA(A804:E804)=0,"",IF(OR(ISNUMBER(SEARCH("소계",B804)),ISNUMBER(SEARCH("합계",B804))),"",TRIM(IF(B804="","이름 없음 ","")&amp;IF(A804="","받은 가족 없음 ","")&amp;IF(C804="","금액 없음 ",IF(ISNUMBER(C804),IF(C804&lt;1000,"금액 확인 ",""),"금액 확인 "))&amp;IF(AND(B804&lt;&gt;"",COUNTIFS($A$2:$A$1001,A804,$B$2:$B$1001,B804,$C$2:$C$1001,C804)&gt;1),"중복 의심",""))))</f>
        <v/>
      </c>
      <c r="G804" s="25">
        <f>IF(OR(COUNTA(A804:E804)=0,OR(ISNUMBER(SEARCH("소계",B804)),ISNUMBER(SEARCH("합계",B804)))),"",1+COUNTIF($B$1:B803,"*소계*"))</f>
        <v/>
      </c>
      <c r="H804">
        <f>IF(AND(A804&lt;&gt;"",A804=가족별!$B$1,G804&lt;&gt;""),COUNTIFS($A$2:A804,가족별!$B$1,$G$2:G804,"&gt;0"),"")</f>
        <v/>
      </c>
      <c r="I804">
        <f>IF(ISNUMBER(SEARCH("소계",B804)),COUNTIF($B$2:B804,"*소계*"),"")</f>
        <v/>
      </c>
      <c r="J804">
        <f>IF(F804="",0,1)</f>
        <v/>
      </c>
    </row>
    <row r="805">
      <c r="A805" s="41" t="n"/>
      <c r="B805" s="41" t="n"/>
      <c r="C805" s="24" t="n"/>
      <c r="D805" s="41" t="n"/>
      <c r="E805" s="41" t="n"/>
      <c r="F805" s="19">
        <f>IF(COUNTA(A805:E805)=0,"",IF(OR(ISNUMBER(SEARCH("소계",B805)),ISNUMBER(SEARCH("합계",B805))),"",TRIM(IF(B805="","이름 없음 ","")&amp;IF(A805="","받은 가족 없음 ","")&amp;IF(C805="","금액 없음 ",IF(ISNUMBER(C805),IF(C805&lt;1000,"금액 확인 ",""),"금액 확인 "))&amp;IF(AND(B805&lt;&gt;"",COUNTIFS($A$2:$A$1001,A805,$B$2:$B$1001,B805,$C$2:$C$1001,C805)&gt;1),"중복 의심",""))))</f>
        <v/>
      </c>
      <c r="G805" s="25">
        <f>IF(OR(COUNTA(A805:E805)=0,OR(ISNUMBER(SEARCH("소계",B805)),ISNUMBER(SEARCH("합계",B805)))),"",1+COUNTIF($B$1:B804,"*소계*"))</f>
        <v/>
      </c>
      <c r="H805">
        <f>IF(AND(A805&lt;&gt;"",A805=가족별!$B$1,G805&lt;&gt;""),COUNTIFS($A$2:A805,가족별!$B$1,$G$2:G805,"&gt;0"),"")</f>
        <v/>
      </c>
      <c r="I805">
        <f>IF(ISNUMBER(SEARCH("소계",B805)),COUNTIF($B$2:B805,"*소계*"),"")</f>
        <v/>
      </c>
      <c r="J805">
        <f>IF(F805="",0,1)</f>
        <v/>
      </c>
    </row>
    <row r="806">
      <c r="A806" s="41" t="n"/>
      <c r="B806" s="41" t="n"/>
      <c r="C806" s="24" t="n"/>
      <c r="D806" s="41" t="n"/>
      <c r="E806" s="41" t="n"/>
      <c r="F806" s="19">
        <f>IF(COUNTA(A806:E806)=0,"",IF(OR(ISNUMBER(SEARCH("소계",B806)),ISNUMBER(SEARCH("합계",B806))),"",TRIM(IF(B806="","이름 없음 ","")&amp;IF(A806="","받은 가족 없음 ","")&amp;IF(C806="","금액 없음 ",IF(ISNUMBER(C806),IF(C806&lt;1000,"금액 확인 ",""),"금액 확인 "))&amp;IF(AND(B806&lt;&gt;"",COUNTIFS($A$2:$A$1001,A806,$B$2:$B$1001,B806,$C$2:$C$1001,C806)&gt;1),"중복 의심",""))))</f>
        <v/>
      </c>
      <c r="G806" s="25">
        <f>IF(OR(COUNTA(A806:E806)=0,OR(ISNUMBER(SEARCH("소계",B806)),ISNUMBER(SEARCH("합계",B806)))),"",1+COUNTIF($B$1:B805,"*소계*"))</f>
        <v/>
      </c>
      <c r="H806">
        <f>IF(AND(A806&lt;&gt;"",A806=가족별!$B$1,G806&lt;&gt;""),COUNTIFS($A$2:A806,가족별!$B$1,$G$2:G806,"&gt;0"),"")</f>
        <v/>
      </c>
      <c r="I806">
        <f>IF(ISNUMBER(SEARCH("소계",B806)),COUNTIF($B$2:B806,"*소계*"),"")</f>
        <v/>
      </c>
      <c r="J806">
        <f>IF(F806="",0,1)</f>
        <v/>
      </c>
    </row>
    <row r="807">
      <c r="A807" s="41" t="n"/>
      <c r="B807" s="41" t="n"/>
      <c r="C807" s="24" t="n"/>
      <c r="D807" s="41" t="n"/>
      <c r="E807" s="41" t="n"/>
      <c r="F807" s="19">
        <f>IF(COUNTA(A807:E807)=0,"",IF(OR(ISNUMBER(SEARCH("소계",B807)),ISNUMBER(SEARCH("합계",B807))),"",TRIM(IF(B807="","이름 없음 ","")&amp;IF(A807="","받은 가족 없음 ","")&amp;IF(C807="","금액 없음 ",IF(ISNUMBER(C807),IF(C807&lt;1000,"금액 확인 ",""),"금액 확인 "))&amp;IF(AND(B807&lt;&gt;"",COUNTIFS($A$2:$A$1001,A807,$B$2:$B$1001,B807,$C$2:$C$1001,C807)&gt;1),"중복 의심",""))))</f>
        <v/>
      </c>
      <c r="G807" s="25">
        <f>IF(OR(COUNTA(A807:E807)=0,OR(ISNUMBER(SEARCH("소계",B807)),ISNUMBER(SEARCH("합계",B807)))),"",1+COUNTIF($B$1:B806,"*소계*"))</f>
        <v/>
      </c>
      <c r="H807">
        <f>IF(AND(A807&lt;&gt;"",A807=가족별!$B$1,G807&lt;&gt;""),COUNTIFS($A$2:A807,가족별!$B$1,$G$2:G807,"&gt;0"),"")</f>
        <v/>
      </c>
      <c r="I807">
        <f>IF(ISNUMBER(SEARCH("소계",B807)),COUNTIF($B$2:B807,"*소계*"),"")</f>
        <v/>
      </c>
      <c r="J807">
        <f>IF(F807="",0,1)</f>
        <v/>
      </c>
    </row>
    <row r="808">
      <c r="A808" s="41" t="n"/>
      <c r="B808" s="41" t="n"/>
      <c r="C808" s="24" t="n"/>
      <c r="D808" s="41" t="n"/>
      <c r="E808" s="41" t="n"/>
      <c r="F808" s="19">
        <f>IF(COUNTA(A808:E808)=0,"",IF(OR(ISNUMBER(SEARCH("소계",B808)),ISNUMBER(SEARCH("합계",B808))),"",TRIM(IF(B808="","이름 없음 ","")&amp;IF(A808="","받은 가족 없음 ","")&amp;IF(C808="","금액 없음 ",IF(ISNUMBER(C808),IF(C808&lt;1000,"금액 확인 ",""),"금액 확인 "))&amp;IF(AND(B808&lt;&gt;"",COUNTIFS($A$2:$A$1001,A808,$B$2:$B$1001,B808,$C$2:$C$1001,C808)&gt;1),"중복 의심",""))))</f>
        <v/>
      </c>
      <c r="G808" s="25">
        <f>IF(OR(COUNTA(A808:E808)=0,OR(ISNUMBER(SEARCH("소계",B808)),ISNUMBER(SEARCH("합계",B808)))),"",1+COUNTIF($B$1:B807,"*소계*"))</f>
        <v/>
      </c>
      <c r="H808">
        <f>IF(AND(A808&lt;&gt;"",A808=가족별!$B$1,G808&lt;&gt;""),COUNTIFS($A$2:A808,가족별!$B$1,$G$2:G808,"&gt;0"),"")</f>
        <v/>
      </c>
      <c r="I808">
        <f>IF(ISNUMBER(SEARCH("소계",B808)),COUNTIF($B$2:B808,"*소계*"),"")</f>
        <v/>
      </c>
      <c r="J808">
        <f>IF(F808="",0,1)</f>
        <v/>
      </c>
    </row>
    <row r="809">
      <c r="A809" s="41" t="n"/>
      <c r="B809" s="41" t="n"/>
      <c r="C809" s="24" t="n"/>
      <c r="D809" s="41" t="n"/>
      <c r="E809" s="41" t="n"/>
      <c r="F809" s="19">
        <f>IF(COUNTA(A809:E809)=0,"",IF(OR(ISNUMBER(SEARCH("소계",B809)),ISNUMBER(SEARCH("합계",B809))),"",TRIM(IF(B809="","이름 없음 ","")&amp;IF(A809="","받은 가족 없음 ","")&amp;IF(C809="","금액 없음 ",IF(ISNUMBER(C809),IF(C809&lt;1000,"금액 확인 ",""),"금액 확인 "))&amp;IF(AND(B809&lt;&gt;"",COUNTIFS($A$2:$A$1001,A809,$B$2:$B$1001,B809,$C$2:$C$1001,C809)&gt;1),"중복 의심",""))))</f>
        <v/>
      </c>
      <c r="G809" s="25">
        <f>IF(OR(COUNTA(A809:E809)=0,OR(ISNUMBER(SEARCH("소계",B809)),ISNUMBER(SEARCH("합계",B809)))),"",1+COUNTIF($B$1:B808,"*소계*"))</f>
        <v/>
      </c>
      <c r="H809">
        <f>IF(AND(A809&lt;&gt;"",A809=가족별!$B$1,G809&lt;&gt;""),COUNTIFS($A$2:A809,가족별!$B$1,$G$2:G809,"&gt;0"),"")</f>
        <v/>
      </c>
      <c r="I809">
        <f>IF(ISNUMBER(SEARCH("소계",B809)),COUNTIF($B$2:B809,"*소계*"),"")</f>
        <v/>
      </c>
      <c r="J809">
        <f>IF(F809="",0,1)</f>
        <v/>
      </c>
    </row>
    <row r="810">
      <c r="A810" s="41" t="n"/>
      <c r="B810" s="41" t="n"/>
      <c r="C810" s="24" t="n"/>
      <c r="D810" s="41" t="n"/>
      <c r="E810" s="41" t="n"/>
      <c r="F810" s="19">
        <f>IF(COUNTA(A810:E810)=0,"",IF(OR(ISNUMBER(SEARCH("소계",B810)),ISNUMBER(SEARCH("합계",B810))),"",TRIM(IF(B810="","이름 없음 ","")&amp;IF(A810="","받은 가족 없음 ","")&amp;IF(C810="","금액 없음 ",IF(ISNUMBER(C810),IF(C810&lt;1000,"금액 확인 ",""),"금액 확인 "))&amp;IF(AND(B810&lt;&gt;"",COUNTIFS($A$2:$A$1001,A810,$B$2:$B$1001,B810,$C$2:$C$1001,C810)&gt;1),"중복 의심",""))))</f>
        <v/>
      </c>
      <c r="G810" s="25">
        <f>IF(OR(COUNTA(A810:E810)=0,OR(ISNUMBER(SEARCH("소계",B810)),ISNUMBER(SEARCH("합계",B810)))),"",1+COUNTIF($B$1:B809,"*소계*"))</f>
        <v/>
      </c>
      <c r="H810">
        <f>IF(AND(A810&lt;&gt;"",A810=가족별!$B$1,G810&lt;&gt;""),COUNTIFS($A$2:A810,가족별!$B$1,$G$2:G810,"&gt;0"),"")</f>
        <v/>
      </c>
      <c r="I810">
        <f>IF(ISNUMBER(SEARCH("소계",B810)),COUNTIF($B$2:B810,"*소계*"),"")</f>
        <v/>
      </c>
      <c r="J810">
        <f>IF(F810="",0,1)</f>
        <v/>
      </c>
    </row>
    <row r="811">
      <c r="A811" s="41" t="n"/>
      <c r="B811" s="41" t="n"/>
      <c r="C811" s="24" t="n"/>
      <c r="D811" s="41" t="n"/>
      <c r="E811" s="41" t="n"/>
      <c r="F811" s="19">
        <f>IF(COUNTA(A811:E811)=0,"",IF(OR(ISNUMBER(SEARCH("소계",B811)),ISNUMBER(SEARCH("합계",B811))),"",TRIM(IF(B811="","이름 없음 ","")&amp;IF(A811="","받은 가족 없음 ","")&amp;IF(C811="","금액 없음 ",IF(ISNUMBER(C811),IF(C811&lt;1000,"금액 확인 ",""),"금액 확인 "))&amp;IF(AND(B811&lt;&gt;"",COUNTIFS($A$2:$A$1001,A811,$B$2:$B$1001,B811,$C$2:$C$1001,C811)&gt;1),"중복 의심",""))))</f>
        <v/>
      </c>
      <c r="G811" s="25">
        <f>IF(OR(COUNTA(A811:E811)=0,OR(ISNUMBER(SEARCH("소계",B811)),ISNUMBER(SEARCH("합계",B811)))),"",1+COUNTIF($B$1:B810,"*소계*"))</f>
        <v/>
      </c>
      <c r="H811">
        <f>IF(AND(A811&lt;&gt;"",A811=가족별!$B$1,G811&lt;&gt;""),COUNTIFS($A$2:A811,가족별!$B$1,$G$2:G811,"&gt;0"),"")</f>
        <v/>
      </c>
      <c r="I811">
        <f>IF(ISNUMBER(SEARCH("소계",B811)),COUNTIF($B$2:B811,"*소계*"),"")</f>
        <v/>
      </c>
      <c r="J811">
        <f>IF(F811="",0,1)</f>
        <v/>
      </c>
    </row>
    <row r="812">
      <c r="A812" s="41" t="n"/>
      <c r="B812" s="41" t="n"/>
      <c r="C812" s="24" t="n"/>
      <c r="D812" s="41" t="n"/>
      <c r="E812" s="41" t="n"/>
      <c r="F812" s="19">
        <f>IF(COUNTA(A812:E812)=0,"",IF(OR(ISNUMBER(SEARCH("소계",B812)),ISNUMBER(SEARCH("합계",B812))),"",TRIM(IF(B812="","이름 없음 ","")&amp;IF(A812="","받은 가족 없음 ","")&amp;IF(C812="","금액 없음 ",IF(ISNUMBER(C812),IF(C812&lt;1000,"금액 확인 ",""),"금액 확인 "))&amp;IF(AND(B812&lt;&gt;"",COUNTIFS($A$2:$A$1001,A812,$B$2:$B$1001,B812,$C$2:$C$1001,C812)&gt;1),"중복 의심",""))))</f>
        <v/>
      </c>
      <c r="G812" s="25">
        <f>IF(OR(COUNTA(A812:E812)=0,OR(ISNUMBER(SEARCH("소계",B812)),ISNUMBER(SEARCH("합계",B812)))),"",1+COUNTIF($B$1:B811,"*소계*"))</f>
        <v/>
      </c>
      <c r="H812">
        <f>IF(AND(A812&lt;&gt;"",A812=가족별!$B$1,G812&lt;&gt;""),COUNTIFS($A$2:A812,가족별!$B$1,$G$2:G812,"&gt;0"),"")</f>
        <v/>
      </c>
      <c r="I812">
        <f>IF(ISNUMBER(SEARCH("소계",B812)),COUNTIF($B$2:B812,"*소계*"),"")</f>
        <v/>
      </c>
      <c r="J812">
        <f>IF(F812="",0,1)</f>
        <v/>
      </c>
    </row>
    <row r="813">
      <c r="A813" s="41" t="n"/>
      <c r="B813" s="41" t="n"/>
      <c r="C813" s="24" t="n"/>
      <c r="D813" s="41" t="n"/>
      <c r="E813" s="41" t="n"/>
      <c r="F813" s="19">
        <f>IF(COUNTA(A813:E813)=0,"",IF(OR(ISNUMBER(SEARCH("소계",B813)),ISNUMBER(SEARCH("합계",B813))),"",TRIM(IF(B813="","이름 없음 ","")&amp;IF(A813="","받은 가족 없음 ","")&amp;IF(C813="","금액 없음 ",IF(ISNUMBER(C813),IF(C813&lt;1000,"금액 확인 ",""),"금액 확인 "))&amp;IF(AND(B813&lt;&gt;"",COUNTIFS($A$2:$A$1001,A813,$B$2:$B$1001,B813,$C$2:$C$1001,C813)&gt;1),"중복 의심",""))))</f>
        <v/>
      </c>
      <c r="G813" s="25">
        <f>IF(OR(COUNTA(A813:E813)=0,OR(ISNUMBER(SEARCH("소계",B813)),ISNUMBER(SEARCH("합계",B813)))),"",1+COUNTIF($B$1:B812,"*소계*"))</f>
        <v/>
      </c>
      <c r="H813">
        <f>IF(AND(A813&lt;&gt;"",A813=가족별!$B$1,G813&lt;&gt;""),COUNTIFS($A$2:A813,가족별!$B$1,$G$2:G813,"&gt;0"),"")</f>
        <v/>
      </c>
      <c r="I813">
        <f>IF(ISNUMBER(SEARCH("소계",B813)),COUNTIF($B$2:B813,"*소계*"),"")</f>
        <v/>
      </c>
      <c r="J813">
        <f>IF(F813="",0,1)</f>
        <v/>
      </c>
    </row>
    <row r="814">
      <c r="A814" s="41" t="n"/>
      <c r="B814" s="41" t="n"/>
      <c r="C814" s="24" t="n"/>
      <c r="D814" s="41" t="n"/>
      <c r="E814" s="41" t="n"/>
      <c r="F814" s="19">
        <f>IF(COUNTA(A814:E814)=0,"",IF(OR(ISNUMBER(SEARCH("소계",B814)),ISNUMBER(SEARCH("합계",B814))),"",TRIM(IF(B814="","이름 없음 ","")&amp;IF(A814="","받은 가족 없음 ","")&amp;IF(C814="","금액 없음 ",IF(ISNUMBER(C814),IF(C814&lt;1000,"금액 확인 ",""),"금액 확인 "))&amp;IF(AND(B814&lt;&gt;"",COUNTIFS($A$2:$A$1001,A814,$B$2:$B$1001,B814,$C$2:$C$1001,C814)&gt;1),"중복 의심",""))))</f>
        <v/>
      </c>
      <c r="G814" s="25">
        <f>IF(OR(COUNTA(A814:E814)=0,OR(ISNUMBER(SEARCH("소계",B814)),ISNUMBER(SEARCH("합계",B814)))),"",1+COUNTIF($B$1:B813,"*소계*"))</f>
        <v/>
      </c>
      <c r="H814">
        <f>IF(AND(A814&lt;&gt;"",A814=가족별!$B$1,G814&lt;&gt;""),COUNTIFS($A$2:A814,가족별!$B$1,$G$2:G814,"&gt;0"),"")</f>
        <v/>
      </c>
      <c r="I814">
        <f>IF(ISNUMBER(SEARCH("소계",B814)),COUNTIF($B$2:B814,"*소계*"),"")</f>
        <v/>
      </c>
      <c r="J814">
        <f>IF(F814="",0,1)</f>
        <v/>
      </c>
    </row>
    <row r="815">
      <c r="A815" s="41" t="n"/>
      <c r="B815" s="41" t="n"/>
      <c r="C815" s="24" t="n"/>
      <c r="D815" s="41" t="n"/>
      <c r="E815" s="41" t="n"/>
      <c r="F815" s="19">
        <f>IF(COUNTA(A815:E815)=0,"",IF(OR(ISNUMBER(SEARCH("소계",B815)),ISNUMBER(SEARCH("합계",B815))),"",TRIM(IF(B815="","이름 없음 ","")&amp;IF(A815="","받은 가족 없음 ","")&amp;IF(C815="","금액 없음 ",IF(ISNUMBER(C815),IF(C815&lt;1000,"금액 확인 ",""),"금액 확인 "))&amp;IF(AND(B815&lt;&gt;"",COUNTIFS($A$2:$A$1001,A815,$B$2:$B$1001,B815,$C$2:$C$1001,C815)&gt;1),"중복 의심",""))))</f>
        <v/>
      </c>
      <c r="G815" s="25">
        <f>IF(OR(COUNTA(A815:E815)=0,OR(ISNUMBER(SEARCH("소계",B815)),ISNUMBER(SEARCH("합계",B815)))),"",1+COUNTIF($B$1:B814,"*소계*"))</f>
        <v/>
      </c>
      <c r="H815">
        <f>IF(AND(A815&lt;&gt;"",A815=가족별!$B$1,G815&lt;&gt;""),COUNTIFS($A$2:A815,가족별!$B$1,$G$2:G815,"&gt;0"),"")</f>
        <v/>
      </c>
      <c r="I815">
        <f>IF(ISNUMBER(SEARCH("소계",B815)),COUNTIF($B$2:B815,"*소계*"),"")</f>
        <v/>
      </c>
      <c r="J815">
        <f>IF(F815="",0,1)</f>
        <v/>
      </c>
    </row>
    <row r="816">
      <c r="A816" s="41" t="n"/>
      <c r="B816" s="41" t="n"/>
      <c r="C816" s="24" t="n"/>
      <c r="D816" s="41" t="n"/>
      <c r="E816" s="41" t="n"/>
      <c r="F816" s="19">
        <f>IF(COUNTA(A816:E816)=0,"",IF(OR(ISNUMBER(SEARCH("소계",B816)),ISNUMBER(SEARCH("합계",B816))),"",TRIM(IF(B816="","이름 없음 ","")&amp;IF(A816="","받은 가족 없음 ","")&amp;IF(C816="","금액 없음 ",IF(ISNUMBER(C816),IF(C816&lt;1000,"금액 확인 ",""),"금액 확인 "))&amp;IF(AND(B816&lt;&gt;"",COUNTIFS($A$2:$A$1001,A816,$B$2:$B$1001,B816,$C$2:$C$1001,C816)&gt;1),"중복 의심",""))))</f>
        <v/>
      </c>
      <c r="G816" s="25">
        <f>IF(OR(COUNTA(A816:E816)=0,OR(ISNUMBER(SEARCH("소계",B816)),ISNUMBER(SEARCH("합계",B816)))),"",1+COUNTIF($B$1:B815,"*소계*"))</f>
        <v/>
      </c>
      <c r="H816">
        <f>IF(AND(A816&lt;&gt;"",A816=가족별!$B$1,G816&lt;&gt;""),COUNTIFS($A$2:A816,가족별!$B$1,$G$2:G816,"&gt;0"),"")</f>
        <v/>
      </c>
      <c r="I816">
        <f>IF(ISNUMBER(SEARCH("소계",B816)),COUNTIF($B$2:B816,"*소계*"),"")</f>
        <v/>
      </c>
      <c r="J816">
        <f>IF(F816="",0,1)</f>
        <v/>
      </c>
    </row>
    <row r="817">
      <c r="A817" s="41" t="n"/>
      <c r="B817" s="41" t="n"/>
      <c r="C817" s="24" t="n"/>
      <c r="D817" s="41" t="n"/>
      <c r="E817" s="41" t="n"/>
      <c r="F817" s="19">
        <f>IF(COUNTA(A817:E817)=0,"",IF(OR(ISNUMBER(SEARCH("소계",B817)),ISNUMBER(SEARCH("합계",B817))),"",TRIM(IF(B817="","이름 없음 ","")&amp;IF(A817="","받은 가족 없음 ","")&amp;IF(C817="","금액 없음 ",IF(ISNUMBER(C817),IF(C817&lt;1000,"금액 확인 ",""),"금액 확인 "))&amp;IF(AND(B817&lt;&gt;"",COUNTIFS($A$2:$A$1001,A817,$B$2:$B$1001,B817,$C$2:$C$1001,C817)&gt;1),"중복 의심",""))))</f>
        <v/>
      </c>
      <c r="G817" s="25">
        <f>IF(OR(COUNTA(A817:E817)=0,OR(ISNUMBER(SEARCH("소계",B817)),ISNUMBER(SEARCH("합계",B817)))),"",1+COUNTIF($B$1:B816,"*소계*"))</f>
        <v/>
      </c>
      <c r="H817">
        <f>IF(AND(A817&lt;&gt;"",A817=가족별!$B$1,G817&lt;&gt;""),COUNTIFS($A$2:A817,가족별!$B$1,$G$2:G817,"&gt;0"),"")</f>
        <v/>
      </c>
      <c r="I817">
        <f>IF(ISNUMBER(SEARCH("소계",B817)),COUNTIF($B$2:B817,"*소계*"),"")</f>
        <v/>
      </c>
      <c r="J817">
        <f>IF(F817="",0,1)</f>
        <v/>
      </c>
    </row>
    <row r="818">
      <c r="A818" s="41" t="n"/>
      <c r="B818" s="41" t="n"/>
      <c r="C818" s="24" t="n"/>
      <c r="D818" s="41" t="n"/>
      <c r="E818" s="41" t="n"/>
      <c r="F818" s="19">
        <f>IF(COUNTA(A818:E818)=0,"",IF(OR(ISNUMBER(SEARCH("소계",B818)),ISNUMBER(SEARCH("합계",B818))),"",TRIM(IF(B818="","이름 없음 ","")&amp;IF(A818="","받은 가족 없음 ","")&amp;IF(C818="","금액 없음 ",IF(ISNUMBER(C818),IF(C818&lt;1000,"금액 확인 ",""),"금액 확인 "))&amp;IF(AND(B818&lt;&gt;"",COUNTIFS($A$2:$A$1001,A818,$B$2:$B$1001,B818,$C$2:$C$1001,C818)&gt;1),"중복 의심",""))))</f>
        <v/>
      </c>
      <c r="G818" s="25">
        <f>IF(OR(COUNTA(A818:E818)=0,OR(ISNUMBER(SEARCH("소계",B818)),ISNUMBER(SEARCH("합계",B818)))),"",1+COUNTIF($B$1:B817,"*소계*"))</f>
        <v/>
      </c>
      <c r="H818">
        <f>IF(AND(A818&lt;&gt;"",A818=가족별!$B$1,G818&lt;&gt;""),COUNTIFS($A$2:A818,가족별!$B$1,$G$2:G818,"&gt;0"),"")</f>
        <v/>
      </c>
      <c r="I818">
        <f>IF(ISNUMBER(SEARCH("소계",B818)),COUNTIF($B$2:B818,"*소계*"),"")</f>
        <v/>
      </c>
      <c r="J818">
        <f>IF(F818="",0,1)</f>
        <v/>
      </c>
    </row>
    <row r="819">
      <c r="A819" s="41" t="n"/>
      <c r="B819" s="41" t="n"/>
      <c r="C819" s="24" t="n"/>
      <c r="D819" s="41" t="n"/>
      <c r="E819" s="41" t="n"/>
      <c r="F819" s="19">
        <f>IF(COUNTA(A819:E819)=0,"",IF(OR(ISNUMBER(SEARCH("소계",B819)),ISNUMBER(SEARCH("합계",B819))),"",TRIM(IF(B819="","이름 없음 ","")&amp;IF(A819="","받은 가족 없음 ","")&amp;IF(C819="","금액 없음 ",IF(ISNUMBER(C819),IF(C819&lt;1000,"금액 확인 ",""),"금액 확인 "))&amp;IF(AND(B819&lt;&gt;"",COUNTIFS($A$2:$A$1001,A819,$B$2:$B$1001,B819,$C$2:$C$1001,C819)&gt;1),"중복 의심",""))))</f>
        <v/>
      </c>
      <c r="G819" s="25">
        <f>IF(OR(COUNTA(A819:E819)=0,OR(ISNUMBER(SEARCH("소계",B819)),ISNUMBER(SEARCH("합계",B819)))),"",1+COUNTIF($B$1:B818,"*소계*"))</f>
        <v/>
      </c>
      <c r="H819">
        <f>IF(AND(A819&lt;&gt;"",A819=가족별!$B$1,G819&lt;&gt;""),COUNTIFS($A$2:A819,가족별!$B$1,$G$2:G819,"&gt;0"),"")</f>
        <v/>
      </c>
      <c r="I819">
        <f>IF(ISNUMBER(SEARCH("소계",B819)),COUNTIF($B$2:B819,"*소계*"),"")</f>
        <v/>
      </c>
      <c r="J819">
        <f>IF(F819="",0,1)</f>
        <v/>
      </c>
    </row>
    <row r="820">
      <c r="A820" s="41" t="n"/>
      <c r="B820" s="41" t="n"/>
      <c r="C820" s="24" t="n"/>
      <c r="D820" s="41" t="n"/>
      <c r="E820" s="41" t="n"/>
      <c r="F820" s="19">
        <f>IF(COUNTA(A820:E820)=0,"",IF(OR(ISNUMBER(SEARCH("소계",B820)),ISNUMBER(SEARCH("합계",B820))),"",TRIM(IF(B820="","이름 없음 ","")&amp;IF(A820="","받은 가족 없음 ","")&amp;IF(C820="","금액 없음 ",IF(ISNUMBER(C820),IF(C820&lt;1000,"금액 확인 ",""),"금액 확인 "))&amp;IF(AND(B820&lt;&gt;"",COUNTIFS($A$2:$A$1001,A820,$B$2:$B$1001,B820,$C$2:$C$1001,C820)&gt;1),"중복 의심",""))))</f>
        <v/>
      </c>
      <c r="G820" s="25">
        <f>IF(OR(COUNTA(A820:E820)=0,OR(ISNUMBER(SEARCH("소계",B820)),ISNUMBER(SEARCH("합계",B820)))),"",1+COUNTIF($B$1:B819,"*소계*"))</f>
        <v/>
      </c>
      <c r="H820">
        <f>IF(AND(A820&lt;&gt;"",A820=가족별!$B$1,G820&lt;&gt;""),COUNTIFS($A$2:A820,가족별!$B$1,$G$2:G820,"&gt;0"),"")</f>
        <v/>
      </c>
      <c r="I820">
        <f>IF(ISNUMBER(SEARCH("소계",B820)),COUNTIF($B$2:B820,"*소계*"),"")</f>
        <v/>
      </c>
      <c r="J820">
        <f>IF(F820="",0,1)</f>
        <v/>
      </c>
    </row>
    <row r="821">
      <c r="A821" s="41" t="n"/>
      <c r="B821" s="41" t="n"/>
      <c r="C821" s="24" t="n"/>
      <c r="D821" s="41" t="n"/>
      <c r="E821" s="41" t="n"/>
      <c r="F821" s="19">
        <f>IF(COUNTA(A821:E821)=0,"",IF(OR(ISNUMBER(SEARCH("소계",B821)),ISNUMBER(SEARCH("합계",B821))),"",TRIM(IF(B821="","이름 없음 ","")&amp;IF(A821="","받은 가족 없음 ","")&amp;IF(C821="","금액 없음 ",IF(ISNUMBER(C821),IF(C821&lt;1000,"금액 확인 ",""),"금액 확인 "))&amp;IF(AND(B821&lt;&gt;"",COUNTIFS($A$2:$A$1001,A821,$B$2:$B$1001,B821,$C$2:$C$1001,C821)&gt;1),"중복 의심",""))))</f>
        <v/>
      </c>
      <c r="G821" s="25">
        <f>IF(OR(COUNTA(A821:E821)=0,OR(ISNUMBER(SEARCH("소계",B821)),ISNUMBER(SEARCH("합계",B821)))),"",1+COUNTIF($B$1:B820,"*소계*"))</f>
        <v/>
      </c>
      <c r="H821">
        <f>IF(AND(A821&lt;&gt;"",A821=가족별!$B$1,G821&lt;&gt;""),COUNTIFS($A$2:A821,가족별!$B$1,$G$2:G821,"&gt;0"),"")</f>
        <v/>
      </c>
      <c r="I821">
        <f>IF(ISNUMBER(SEARCH("소계",B821)),COUNTIF($B$2:B821,"*소계*"),"")</f>
        <v/>
      </c>
      <c r="J821">
        <f>IF(F821="",0,1)</f>
        <v/>
      </c>
    </row>
    <row r="822">
      <c r="A822" s="41" t="n"/>
      <c r="B822" s="41" t="n"/>
      <c r="C822" s="24" t="n"/>
      <c r="D822" s="41" t="n"/>
      <c r="E822" s="41" t="n"/>
      <c r="F822" s="19">
        <f>IF(COUNTA(A822:E822)=0,"",IF(OR(ISNUMBER(SEARCH("소계",B822)),ISNUMBER(SEARCH("합계",B822))),"",TRIM(IF(B822="","이름 없음 ","")&amp;IF(A822="","받은 가족 없음 ","")&amp;IF(C822="","금액 없음 ",IF(ISNUMBER(C822),IF(C822&lt;1000,"금액 확인 ",""),"금액 확인 "))&amp;IF(AND(B822&lt;&gt;"",COUNTIFS($A$2:$A$1001,A822,$B$2:$B$1001,B822,$C$2:$C$1001,C822)&gt;1),"중복 의심",""))))</f>
        <v/>
      </c>
      <c r="G822" s="25">
        <f>IF(OR(COUNTA(A822:E822)=0,OR(ISNUMBER(SEARCH("소계",B822)),ISNUMBER(SEARCH("합계",B822)))),"",1+COUNTIF($B$1:B821,"*소계*"))</f>
        <v/>
      </c>
      <c r="H822">
        <f>IF(AND(A822&lt;&gt;"",A822=가족별!$B$1,G822&lt;&gt;""),COUNTIFS($A$2:A822,가족별!$B$1,$G$2:G822,"&gt;0"),"")</f>
        <v/>
      </c>
      <c r="I822">
        <f>IF(ISNUMBER(SEARCH("소계",B822)),COUNTIF($B$2:B822,"*소계*"),"")</f>
        <v/>
      </c>
      <c r="J822">
        <f>IF(F822="",0,1)</f>
        <v/>
      </c>
    </row>
    <row r="823">
      <c r="A823" s="41" t="n"/>
      <c r="B823" s="41" t="n"/>
      <c r="C823" s="24" t="n"/>
      <c r="D823" s="41" t="n"/>
      <c r="E823" s="41" t="n"/>
      <c r="F823" s="19">
        <f>IF(COUNTA(A823:E823)=0,"",IF(OR(ISNUMBER(SEARCH("소계",B823)),ISNUMBER(SEARCH("합계",B823))),"",TRIM(IF(B823="","이름 없음 ","")&amp;IF(A823="","받은 가족 없음 ","")&amp;IF(C823="","금액 없음 ",IF(ISNUMBER(C823),IF(C823&lt;1000,"금액 확인 ",""),"금액 확인 "))&amp;IF(AND(B823&lt;&gt;"",COUNTIFS($A$2:$A$1001,A823,$B$2:$B$1001,B823,$C$2:$C$1001,C823)&gt;1),"중복 의심",""))))</f>
        <v/>
      </c>
      <c r="G823" s="25">
        <f>IF(OR(COUNTA(A823:E823)=0,OR(ISNUMBER(SEARCH("소계",B823)),ISNUMBER(SEARCH("합계",B823)))),"",1+COUNTIF($B$1:B822,"*소계*"))</f>
        <v/>
      </c>
      <c r="H823">
        <f>IF(AND(A823&lt;&gt;"",A823=가족별!$B$1,G823&lt;&gt;""),COUNTIFS($A$2:A823,가족별!$B$1,$G$2:G823,"&gt;0"),"")</f>
        <v/>
      </c>
      <c r="I823">
        <f>IF(ISNUMBER(SEARCH("소계",B823)),COUNTIF($B$2:B823,"*소계*"),"")</f>
        <v/>
      </c>
      <c r="J823">
        <f>IF(F823="",0,1)</f>
        <v/>
      </c>
    </row>
    <row r="824">
      <c r="A824" s="41" t="n"/>
      <c r="B824" s="41" t="n"/>
      <c r="C824" s="24" t="n"/>
      <c r="D824" s="41" t="n"/>
      <c r="E824" s="41" t="n"/>
      <c r="F824" s="19">
        <f>IF(COUNTA(A824:E824)=0,"",IF(OR(ISNUMBER(SEARCH("소계",B824)),ISNUMBER(SEARCH("합계",B824))),"",TRIM(IF(B824="","이름 없음 ","")&amp;IF(A824="","받은 가족 없음 ","")&amp;IF(C824="","금액 없음 ",IF(ISNUMBER(C824),IF(C824&lt;1000,"금액 확인 ",""),"금액 확인 "))&amp;IF(AND(B824&lt;&gt;"",COUNTIFS($A$2:$A$1001,A824,$B$2:$B$1001,B824,$C$2:$C$1001,C824)&gt;1),"중복 의심",""))))</f>
        <v/>
      </c>
      <c r="G824" s="25">
        <f>IF(OR(COUNTA(A824:E824)=0,OR(ISNUMBER(SEARCH("소계",B824)),ISNUMBER(SEARCH("합계",B824)))),"",1+COUNTIF($B$1:B823,"*소계*"))</f>
        <v/>
      </c>
      <c r="H824">
        <f>IF(AND(A824&lt;&gt;"",A824=가족별!$B$1,G824&lt;&gt;""),COUNTIFS($A$2:A824,가족별!$B$1,$G$2:G824,"&gt;0"),"")</f>
        <v/>
      </c>
      <c r="I824">
        <f>IF(ISNUMBER(SEARCH("소계",B824)),COUNTIF($B$2:B824,"*소계*"),"")</f>
        <v/>
      </c>
      <c r="J824">
        <f>IF(F824="",0,1)</f>
        <v/>
      </c>
    </row>
    <row r="825">
      <c r="A825" s="41" t="n"/>
      <c r="B825" s="41" t="n"/>
      <c r="C825" s="24" t="n"/>
      <c r="D825" s="41" t="n"/>
      <c r="E825" s="41" t="n"/>
      <c r="F825" s="19">
        <f>IF(COUNTA(A825:E825)=0,"",IF(OR(ISNUMBER(SEARCH("소계",B825)),ISNUMBER(SEARCH("합계",B825))),"",TRIM(IF(B825="","이름 없음 ","")&amp;IF(A825="","받은 가족 없음 ","")&amp;IF(C825="","금액 없음 ",IF(ISNUMBER(C825),IF(C825&lt;1000,"금액 확인 ",""),"금액 확인 "))&amp;IF(AND(B825&lt;&gt;"",COUNTIFS($A$2:$A$1001,A825,$B$2:$B$1001,B825,$C$2:$C$1001,C825)&gt;1),"중복 의심",""))))</f>
        <v/>
      </c>
      <c r="G825" s="25">
        <f>IF(OR(COUNTA(A825:E825)=0,OR(ISNUMBER(SEARCH("소계",B825)),ISNUMBER(SEARCH("합계",B825)))),"",1+COUNTIF($B$1:B824,"*소계*"))</f>
        <v/>
      </c>
      <c r="H825">
        <f>IF(AND(A825&lt;&gt;"",A825=가족별!$B$1,G825&lt;&gt;""),COUNTIFS($A$2:A825,가족별!$B$1,$G$2:G825,"&gt;0"),"")</f>
        <v/>
      </c>
      <c r="I825">
        <f>IF(ISNUMBER(SEARCH("소계",B825)),COUNTIF($B$2:B825,"*소계*"),"")</f>
        <v/>
      </c>
      <c r="J825">
        <f>IF(F825="",0,1)</f>
        <v/>
      </c>
    </row>
    <row r="826">
      <c r="A826" s="41" t="n"/>
      <c r="B826" s="41" t="n"/>
      <c r="C826" s="24" t="n"/>
      <c r="D826" s="41" t="n"/>
      <c r="E826" s="41" t="n"/>
      <c r="F826" s="19">
        <f>IF(COUNTA(A826:E826)=0,"",IF(OR(ISNUMBER(SEARCH("소계",B826)),ISNUMBER(SEARCH("합계",B826))),"",TRIM(IF(B826="","이름 없음 ","")&amp;IF(A826="","받은 가족 없음 ","")&amp;IF(C826="","금액 없음 ",IF(ISNUMBER(C826),IF(C826&lt;1000,"금액 확인 ",""),"금액 확인 "))&amp;IF(AND(B826&lt;&gt;"",COUNTIFS($A$2:$A$1001,A826,$B$2:$B$1001,B826,$C$2:$C$1001,C826)&gt;1),"중복 의심",""))))</f>
        <v/>
      </c>
      <c r="G826" s="25">
        <f>IF(OR(COUNTA(A826:E826)=0,OR(ISNUMBER(SEARCH("소계",B826)),ISNUMBER(SEARCH("합계",B826)))),"",1+COUNTIF($B$1:B825,"*소계*"))</f>
        <v/>
      </c>
      <c r="H826">
        <f>IF(AND(A826&lt;&gt;"",A826=가족별!$B$1,G826&lt;&gt;""),COUNTIFS($A$2:A826,가족별!$B$1,$G$2:G826,"&gt;0"),"")</f>
        <v/>
      </c>
      <c r="I826">
        <f>IF(ISNUMBER(SEARCH("소계",B826)),COUNTIF($B$2:B826,"*소계*"),"")</f>
        <v/>
      </c>
      <c r="J826">
        <f>IF(F826="",0,1)</f>
        <v/>
      </c>
    </row>
    <row r="827">
      <c r="A827" s="41" t="n"/>
      <c r="B827" s="41" t="n"/>
      <c r="C827" s="24" t="n"/>
      <c r="D827" s="41" t="n"/>
      <c r="E827" s="41" t="n"/>
      <c r="F827" s="19">
        <f>IF(COUNTA(A827:E827)=0,"",IF(OR(ISNUMBER(SEARCH("소계",B827)),ISNUMBER(SEARCH("합계",B827))),"",TRIM(IF(B827="","이름 없음 ","")&amp;IF(A827="","받은 가족 없음 ","")&amp;IF(C827="","금액 없음 ",IF(ISNUMBER(C827),IF(C827&lt;1000,"금액 확인 ",""),"금액 확인 "))&amp;IF(AND(B827&lt;&gt;"",COUNTIFS($A$2:$A$1001,A827,$B$2:$B$1001,B827,$C$2:$C$1001,C827)&gt;1),"중복 의심",""))))</f>
        <v/>
      </c>
      <c r="G827" s="25">
        <f>IF(OR(COUNTA(A827:E827)=0,OR(ISNUMBER(SEARCH("소계",B827)),ISNUMBER(SEARCH("합계",B827)))),"",1+COUNTIF($B$1:B826,"*소계*"))</f>
        <v/>
      </c>
      <c r="H827">
        <f>IF(AND(A827&lt;&gt;"",A827=가족별!$B$1,G827&lt;&gt;""),COUNTIFS($A$2:A827,가족별!$B$1,$G$2:G827,"&gt;0"),"")</f>
        <v/>
      </c>
      <c r="I827">
        <f>IF(ISNUMBER(SEARCH("소계",B827)),COUNTIF($B$2:B827,"*소계*"),"")</f>
        <v/>
      </c>
      <c r="J827">
        <f>IF(F827="",0,1)</f>
        <v/>
      </c>
    </row>
    <row r="828">
      <c r="A828" s="41" t="n"/>
      <c r="B828" s="41" t="n"/>
      <c r="C828" s="24" t="n"/>
      <c r="D828" s="41" t="n"/>
      <c r="E828" s="41" t="n"/>
      <c r="F828" s="19">
        <f>IF(COUNTA(A828:E828)=0,"",IF(OR(ISNUMBER(SEARCH("소계",B828)),ISNUMBER(SEARCH("합계",B828))),"",TRIM(IF(B828="","이름 없음 ","")&amp;IF(A828="","받은 가족 없음 ","")&amp;IF(C828="","금액 없음 ",IF(ISNUMBER(C828),IF(C828&lt;1000,"금액 확인 ",""),"금액 확인 "))&amp;IF(AND(B828&lt;&gt;"",COUNTIFS($A$2:$A$1001,A828,$B$2:$B$1001,B828,$C$2:$C$1001,C828)&gt;1),"중복 의심",""))))</f>
        <v/>
      </c>
      <c r="G828" s="25">
        <f>IF(OR(COUNTA(A828:E828)=0,OR(ISNUMBER(SEARCH("소계",B828)),ISNUMBER(SEARCH("합계",B828)))),"",1+COUNTIF($B$1:B827,"*소계*"))</f>
        <v/>
      </c>
      <c r="H828">
        <f>IF(AND(A828&lt;&gt;"",A828=가족별!$B$1,G828&lt;&gt;""),COUNTIFS($A$2:A828,가족별!$B$1,$G$2:G828,"&gt;0"),"")</f>
        <v/>
      </c>
      <c r="I828">
        <f>IF(ISNUMBER(SEARCH("소계",B828)),COUNTIF($B$2:B828,"*소계*"),"")</f>
        <v/>
      </c>
      <c r="J828">
        <f>IF(F828="",0,1)</f>
        <v/>
      </c>
    </row>
    <row r="829">
      <c r="A829" s="41" t="n"/>
      <c r="B829" s="41" t="n"/>
      <c r="C829" s="24" t="n"/>
      <c r="D829" s="41" t="n"/>
      <c r="E829" s="41" t="n"/>
      <c r="F829" s="19">
        <f>IF(COUNTA(A829:E829)=0,"",IF(OR(ISNUMBER(SEARCH("소계",B829)),ISNUMBER(SEARCH("합계",B829))),"",TRIM(IF(B829="","이름 없음 ","")&amp;IF(A829="","받은 가족 없음 ","")&amp;IF(C829="","금액 없음 ",IF(ISNUMBER(C829),IF(C829&lt;1000,"금액 확인 ",""),"금액 확인 "))&amp;IF(AND(B829&lt;&gt;"",COUNTIFS($A$2:$A$1001,A829,$B$2:$B$1001,B829,$C$2:$C$1001,C829)&gt;1),"중복 의심",""))))</f>
        <v/>
      </c>
      <c r="G829" s="25">
        <f>IF(OR(COUNTA(A829:E829)=0,OR(ISNUMBER(SEARCH("소계",B829)),ISNUMBER(SEARCH("합계",B829)))),"",1+COUNTIF($B$1:B828,"*소계*"))</f>
        <v/>
      </c>
      <c r="H829">
        <f>IF(AND(A829&lt;&gt;"",A829=가족별!$B$1,G829&lt;&gt;""),COUNTIFS($A$2:A829,가족별!$B$1,$G$2:G829,"&gt;0"),"")</f>
        <v/>
      </c>
      <c r="I829">
        <f>IF(ISNUMBER(SEARCH("소계",B829)),COUNTIF($B$2:B829,"*소계*"),"")</f>
        <v/>
      </c>
      <c r="J829">
        <f>IF(F829="",0,1)</f>
        <v/>
      </c>
    </row>
    <row r="830">
      <c r="A830" s="41" t="n"/>
      <c r="B830" s="41" t="n"/>
      <c r="C830" s="24" t="n"/>
      <c r="D830" s="41" t="n"/>
      <c r="E830" s="41" t="n"/>
      <c r="F830" s="19">
        <f>IF(COUNTA(A830:E830)=0,"",IF(OR(ISNUMBER(SEARCH("소계",B830)),ISNUMBER(SEARCH("합계",B830))),"",TRIM(IF(B830="","이름 없음 ","")&amp;IF(A830="","받은 가족 없음 ","")&amp;IF(C830="","금액 없음 ",IF(ISNUMBER(C830),IF(C830&lt;1000,"금액 확인 ",""),"금액 확인 "))&amp;IF(AND(B830&lt;&gt;"",COUNTIFS($A$2:$A$1001,A830,$B$2:$B$1001,B830,$C$2:$C$1001,C830)&gt;1),"중복 의심",""))))</f>
        <v/>
      </c>
      <c r="G830" s="25">
        <f>IF(OR(COUNTA(A830:E830)=0,OR(ISNUMBER(SEARCH("소계",B830)),ISNUMBER(SEARCH("합계",B830)))),"",1+COUNTIF($B$1:B829,"*소계*"))</f>
        <v/>
      </c>
      <c r="H830">
        <f>IF(AND(A830&lt;&gt;"",A830=가족별!$B$1,G830&lt;&gt;""),COUNTIFS($A$2:A830,가족별!$B$1,$G$2:G830,"&gt;0"),"")</f>
        <v/>
      </c>
      <c r="I830">
        <f>IF(ISNUMBER(SEARCH("소계",B830)),COUNTIF($B$2:B830,"*소계*"),"")</f>
        <v/>
      </c>
      <c r="J830">
        <f>IF(F830="",0,1)</f>
        <v/>
      </c>
    </row>
    <row r="831">
      <c r="A831" s="41" t="n"/>
      <c r="B831" s="41" t="n"/>
      <c r="C831" s="24" t="n"/>
      <c r="D831" s="41" t="n"/>
      <c r="E831" s="41" t="n"/>
      <c r="F831" s="19">
        <f>IF(COUNTA(A831:E831)=0,"",IF(OR(ISNUMBER(SEARCH("소계",B831)),ISNUMBER(SEARCH("합계",B831))),"",TRIM(IF(B831="","이름 없음 ","")&amp;IF(A831="","받은 가족 없음 ","")&amp;IF(C831="","금액 없음 ",IF(ISNUMBER(C831),IF(C831&lt;1000,"금액 확인 ",""),"금액 확인 "))&amp;IF(AND(B831&lt;&gt;"",COUNTIFS($A$2:$A$1001,A831,$B$2:$B$1001,B831,$C$2:$C$1001,C831)&gt;1),"중복 의심",""))))</f>
        <v/>
      </c>
      <c r="G831" s="25">
        <f>IF(OR(COUNTA(A831:E831)=0,OR(ISNUMBER(SEARCH("소계",B831)),ISNUMBER(SEARCH("합계",B831)))),"",1+COUNTIF($B$1:B830,"*소계*"))</f>
        <v/>
      </c>
      <c r="H831">
        <f>IF(AND(A831&lt;&gt;"",A831=가족별!$B$1,G831&lt;&gt;""),COUNTIFS($A$2:A831,가족별!$B$1,$G$2:G831,"&gt;0"),"")</f>
        <v/>
      </c>
      <c r="I831">
        <f>IF(ISNUMBER(SEARCH("소계",B831)),COUNTIF($B$2:B831,"*소계*"),"")</f>
        <v/>
      </c>
      <c r="J831">
        <f>IF(F831="",0,1)</f>
        <v/>
      </c>
    </row>
    <row r="832">
      <c r="A832" s="41" t="n"/>
      <c r="B832" s="41" t="n"/>
      <c r="C832" s="24" t="n"/>
      <c r="D832" s="41" t="n"/>
      <c r="E832" s="41" t="n"/>
      <c r="F832" s="19">
        <f>IF(COUNTA(A832:E832)=0,"",IF(OR(ISNUMBER(SEARCH("소계",B832)),ISNUMBER(SEARCH("합계",B832))),"",TRIM(IF(B832="","이름 없음 ","")&amp;IF(A832="","받은 가족 없음 ","")&amp;IF(C832="","금액 없음 ",IF(ISNUMBER(C832),IF(C832&lt;1000,"금액 확인 ",""),"금액 확인 "))&amp;IF(AND(B832&lt;&gt;"",COUNTIFS($A$2:$A$1001,A832,$B$2:$B$1001,B832,$C$2:$C$1001,C832)&gt;1),"중복 의심",""))))</f>
        <v/>
      </c>
      <c r="G832" s="25">
        <f>IF(OR(COUNTA(A832:E832)=0,OR(ISNUMBER(SEARCH("소계",B832)),ISNUMBER(SEARCH("합계",B832)))),"",1+COUNTIF($B$1:B831,"*소계*"))</f>
        <v/>
      </c>
      <c r="H832">
        <f>IF(AND(A832&lt;&gt;"",A832=가족별!$B$1,G832&lt;&gt;""),COUNTIFS($A$2:A832,가족별!$B$1,$G$2:G832,"&gt;0"),"")</f>
        <v/>
      </c>
      <c r="I832">
        <f>IF(ISNUMBER(SEARCH("소계",B832)),COUNTIF($B$2:B832,"*소계*"),"")</f>
        <v/>
      </c>
      <c r="J832">
        <f>IF(F832="",0,1)</f>
        <v/>
      </c>
    </row>
    <row r="833">
      <c r="A833" s="41" t="n"/>
      <c r="B833" s="41" t="n"/>
      <c r="C833" s="24" t="n"/>
      <c r="D833" s="41" t="n"/>
      <c r="E833" s="41" t="n"/>
      <c r="F833" s="19">
        <f>IF(COUNTA(A833:E833)=0,"",IF(OR(ISNUMBER(SEARCH("소계",B833)),ISNUMBER(SEARCH("합계",B833))),"",TRIM(IF(B833="","이름 없음 ","")&amp;IF(A833="","받은 가족 없음 ","")&amp;IF(C833="","금액 없음 ",IF(ISNUMBER(C833),IF(C833&lt;1000,"금액 확인 ",""),"금액 확인 "))&amp;IF(AND(B833&lt;&gt;"",COUNTIFS($A$2:$A$1001,A833,$B$2:$B$1001,B833,$C$2:$C$1001,C833)&gt;1),"중복 의심",""))))</f>
        <v/>
      </c>
      <c r="G833" s="25">
        <f>IF(OR(COUNTA(A833:E833)=0,OR(ISNUMBER(SEARCH("소계",B833)),ISNUMBER(SEARCH("합계",B833)))),"",1+COUNTIF($B$1:B832,"*소계*"))</f>
        <v/>
      </c>
      <c r="H833">
        <f>IF(AND(A833&lt;&gt;"",A833=가족별!$B$1,G833&lt;&gt;""),COUNTIFS($A$2:A833,가족별!$B$1,$G$2:G833,"&gt;0"),"")</f>
        <v/>
      </c>
      <c r="I833">
        <f>IF(ISNUMBER(SEARCH("소계",B833)),COUNTIF($B$2:B833,"*소계*"),"")</f>
        <v/>
      </c>
      <c r="J833">
        <f>IF(F833="",0,1)</f>
        <v/>
      </c>
    </row>
    <row r="834">
      <c r="A834" s="41" t="n"/>
      <c r="B834" s="41" t="n"/>
      <c r="C834" s="24" t="n"/>
      <c r="D834" s="41" t="n"/>
      <c r="E834" s="41" t="n"/>
      <c r="F834" s="19">
        <f>IF(COUNTA(A834:E834)=0,"",IF(OR(ISNUMBER(SEARCH("소계",B834)),ISNUMBER(SEARCH("합계",B834))),"",TRIM(IF(B834="","이름 없음 ","")&amp;IF(A834="","받은 가족 없음 ","")&amp;IF(C834="","금액 없음 ",IF(ISNUMBER(C834),IF(C834&lt;1000,"금액 확인 ",""),"금액 확인 "))&amp;IF(AND(B834&lt;&gt;"",COUNTIFS($A$2:$A$1001,A834,$B$2:$B$1001,B834,$C$2:$C$1001,C834)&gt;1),"중복 의심",""))))</f>
        <v/>
      </c>
      <c r="G834" s="25">
        <f>IF(OR(COUNTA(A834:E834)=0,OR(ISNUMBER(SEARCH("소계",B834)),ISNUMBER(SEARCH("합계",B834)))),"",1+COUNTIF($B$1:B833,"*소계*"))</f>
        <v/>
      </c>
      <c r="H834">
        <f>IF(AND(A834&lt;&gt;"",A834=가족별!$B$1,G834&lt;&gt;""),COUNTIFS($A$2:A834,가족별!$B$1,$G$2:G834,"&gt;0"),"")</f>
        <v/>
      </c>
      <c r="I834">
        <f>IF(ISNUMBER(SEARCH("소계",B834)),COUNTIF($B$2:B834,"*소계*"),"")</f>
        <v/>
      </c>
      <c r="J834">
        <f>IF(F834="",0,1)</f>
        <v/>
      </c>
    </row>
    <row r="835">
      <c r="A835" s="41" t="n"/>
      <c r="B835" s="41" t="n"/>
      <c r="C835" s="24" t="n"/>
      <c r="D835" s="41" t="n"/>
      <c r="E835" s="41" t="n"/>
      <c r="F835" s="19">
        <f>IF(COUNTA(A835:E835)=0,"",IF(OR(ISNUMBER(SEARCH("소계",B835)),ISNUMBER(SEARCH("합계",B835))),"",TRIM(IF(B835="","이름 없음 ","")&amp;IF(A835="","받은 가족 없음 ","")&amp;IF(C835="","금액 없음 ",IF(ISNUMBER(C835),IF(C835&lt;1000,"금액 확인 ",""),"금액 확인 "))&amp;IF(AND(B835&lt;&gt;"",COUNTIFS($A$2:$A$1001,A835,$B$2:$B$1001,B835,$C$2:$C$1001,C835)&gt;1),"중복 의심",""))))</f>
        <v/>
      </c>
      <c r="G835" s="25">
        <f>IF(OR(COUNTA(A835:E835)=0,OR(ISNUMBER(SEARCH("소계",B835)),ISNUMBER(SEARCH("합계",B835)))),"",1+COUNTIF($B$1:B834,"*소계*"))</f>
        <v/>
      </c>
      <c r="H835">
        <f>IF(AND(A835&lt;&gt;"",A835=가족별!$B$1,G835&lt;&gt;""),COUNTIFS($A$2:A835,가족별!$B$1,$G$2:G835,"&gt;0"),"")</f>
        <v/>
      </c>
      <c r="I835">
        <f>IF(ISNUMBER(SEARCH("소계",B835)),COUNTIF($B$2:B835,"*소계*"),"")</f>
        <v/>
      </c>
      <c r="J835">
        <f>IF(F835="",0,1)</f>
        <v/>
      </c>
    </row>
    <row r="836">
      <c r="A836" s="41" t="n"/>
      <c r="B836" s="41" t="n"/>
      <c r="C836" s="24" t="n"/>
      <c r="D836" s="41" t="n"/>
      <c r="E836" s="41" t="n"/>
      <c r="F836" s="19">
        <f>IF(COUNTA(A836:E836)=0,"",IF(OR(ISNUMBER(SEARCH("소계",B836)),ISNUMBER(SEARCH("합계",B836))),"",TRIM(IF(B836="","이름 없음 ","")&amp;IF(A836="","받은 가족 없음 ","")&amp;IF(C836="","금액 없음 ",IF(ISNUMBER(C836),IF(C836&lt;1000,"금액 확인 ",""),"금액 확인 "))&amp;IF(AND(B836&lt;&gt;"",COUNTIFS($A$2:$A$1001,A836,$B$2:$B$1001,B836,$C$2:$C$1001,C836)&gt;1),"중복 의심",""))))</f>
        <v/>
      </c>
      <c r="G836" s="25">
        <f>IF(OR(COUNTA(A836:E836)=0,OR(ISNUMBER(SEARCH("소계",B836)),ISNUMBER(SEARCH("합계",B836)))),"",1+COUNTIF($B$1:B835,"*소계*"))</f>
        <v/>
      </c>
      <c r="H836">
        <f>IF(AND(A836&lt;&gt;"",A836=가족별!$B$1,G836&lt;&gt;""),COUNTIFS($A$2:A836,가족별!$B$1,$G$2:G836,"&gt;0"),"")</f>
        <v/>
      </c>
      <c r="I836">
        <f>IF(ISNUMBER(SEARCH("소계",B836)),COUNTIF($B$2:B836,"*소계*"),"")</f>
        <v/>
      </c>
      <c r="J836">
        <f>IF(F836="",0,1)</f>
        <v/>
      </c>
    </row>
    <row r="837">
      <c r="A837" s="41" t="n"/>
      <c r="B837" s="41" t="n"/>
      <c r="C837" s="24" t="n"/>
      <c r="D837" s="41" t="n"/>
      <c r="E837" s="41" t="n"/>
      <c r="F837" s="19">
        <f>IF(COUNTA(A837:E837)=0,"",IF(OR(ISNUMBER(SEARCH("소계",B837)),ISNUMBER(SEARCH("합계",B837))),"",TRIM(IF(B837="","이름 없음 ","")&amp;IF(A837="","받은 가족 없음 ","")&amp;IF(C837="","금액 없음 ",IF(ISNUMBER(C837),IF(C837&lt;1000,"금액 확인 ",""),"금액 확인 "))&amp;IF(AND(B837&lt;&gt;"",COUNTIFS($A$2:$A$1001,A837,$B$2:$B$1001,B837,$C$2:$C$1001,C837)&gt;1),"중복 의심",""))))</f>
        <v/>
      </c>
      <c r="G837" s="25">
        <f>IF(OR(COUNTA(A837:E837)=0,OR(ISNUMBER(SEARCH("소계",B837)),ISNUMBER(SEARCH("합계",B837)))),"",1+COUNTIF($B$1:B836,"*소계*"))</f>
        <v/>
      </c>
      <c r="H837">
        <f>IF(AND(A837&lt;&gt;"",A837=가족별!$B$1,G837&lt;&gt;""),COUNTIFS($A$2:A837,가족별!$B$1,$G$2:G837,"&gt;0"),"")</f>
        <v/>
      </c>
      <c r="I837">
        <f>IF(ISNUMBER(SEARCH("소계",B837)),COUNTIF($B$2:B837,"*소계*"),"")</f>
        <v/>
      </c>
      <c r="J837">
        <f>IF(F837="",0,1)</f>
        <v/>
      </c>
    </row>
    <row r="838">
      <c r="A838" s="41" t="n"/>
      <c r="B838" s="41" t="n"/>
      <c r="C838" s="24" t="n"/>
      <c r="D838" s="41" t="n"/>
      <c r="E838" s="41" t="n"/>
      <c r="F838" s="19">
        <f>IF(COUNTA(A838:E838)=0,"",IF(OR(ISNUMBER(SEARCH("소계",B838)),ISNUMBER(SEARCH("합계",B838))),"",TRIM(IF(B838="","이름 없음 ","")&amp;IF(A838="","받은 가족 없음 ","")&amp;IF(C838="","금액 없음 ",IF(ISNUMBER(C838),IF(C838&lt;1000,"금액 확인 ",""),"금액 확인 "))&amp;IF(AND(B838&lt;&gt;"",COUNTIFS($A$2:$A$1001,A838,$B$2:$B$1001,B838,$C$2:$C$1001,C838)&gt;1),"중복 의심",""))))</f>
        <v/>
      </c>
      <c r="G838" s="25">
        <f>IF(OR(COUNTA(A838:E838)=0,OR(ISNUMBER(SEARCH("소계",B838)),ISNUMBER(SEARCH("합계",B838)))),"",1+COUNTIF($B$1:B837,"*소계*"))</f>
        <v/>
      </c>
      <c r="H838">
        <f>IF(AND(A838&lt;&gt;"",A838=가족별!$B$1,G838&lt;&gt;""),COUNTIFS($A$2:A838,가족별!$B$1,$G$2:G838,"&gt;0"),"")</f>
        <v/>
      </c>
      <c r="I838">
        <f>IF(ISNUMBER(SEARCH("소계",B838)),COUNTIF($B$2:B838,"*소계*"),"")</f>
        <v/>
      </c>
      <c r="J838">
        <f>IF(F838="",0,1)</f>
        <v/>
      </c>
    </row>
    <row r="839">
      <c r="A839" s="41" t="n"/>
      <c r="B839" s="41" t="n"/>
      <c r="C839" s="24" t="n"/>
      <c r="D839" s="41" t="n"/>
      <c r="E839" s="41" t="n"/>
      <c r="F839" s="19">
        <f>IF(COUNTA(A839:E839)=0,"",IF(OR(ISNUMBER(SEARCH("소계",B839)),ISNUMBER(SEARCH("합계",B839))),"",TRIM(IF(B839="","이름 없음 ","")&amp;IF(A839="","받은 가족 없음 ","")&amp;IF(C839="","금액 없음 ",IF(ISNUMBER(C839),IF(C839&lt;1000,"금액 확인 ",""),"금액 확인 "))&amp;IF(AND(B839&lt;&gt;"",COUNTIFS($A$2:$A$1001,A839,$B$2:$B$1001,B839,$C$2:$C$1001,C839)&gt;1),"중복 의심",""))))</f>
        <v/>
      </c>
      <c r="G839" s="25">
        <f>IF(OR(COUNTA(A839:E839)=0,OR(ISNUMBER(SEARCH("소계",B839)),ISNUMBER(SEARCH("합계",B839)))),"",1+COUNTIF($B$1:B838,"*소계*"))</f>
        <v/>
      </c>
      <c r="H839">
        <f>IF(AND(A839&lt;&gt;"",A839=가족별!$B$1,G839&lt;&gt;""),COUNTIFS($A$2:A839,가족별!$B$1,$G$2:G839,"&gt;0"),"")</f>
        <v/>
      </c>
      <c r="I839">
        <f>IF(ISNUMBER(SEARCH("소계",B839)),COUNTIF($B$2:B839,"*소계*"),"")</f>
        <v/>
      </c>
      <c r="J839">
        <f>IF(F839="",0,1)</f>
        <v/>
      </c>
    </row>
    <row r="840">
      <c r="A840" s="41" t="n"/>
      <c r="B840" s="41" t="n"/>
      <c r="C840" s="24" t="n"/>
      <c r="D840" s="41" t="n"/>
      <c r="E840" s="41" t="n"/>
      <c r="F840" s="19">
        <f>IF(COUNTA(A840:E840)=0,"",IF(OR(ISNUMBER(SEARCH("소계",B840)),ISNUMBER(SEARCH("합계",B840))),"",TRIM(IF(B840="","이름 없음 ","")&amp;IF(A840="","받은 가족 없음 ","")&amp;IF(C840="","금액 없음 ",IF(ISNUMBER(C840),IF(C840&lt;1000,"금액 확인 ",""),"금액 확인 "))&amp;IF(AND(B840&lt;&gt;"",COUNTIFS($A$2:$A$1001,A840,$B$2:$B$1001,B840,$C$2:$C$1001,C840)&gt;1),"중복 의심",""))))</f>
        <v/>
      </c>
      <c r="G840" s="25">
        <f>IF(OR(COUNTA(A840:E840)=0,OR(ISNUMBER(SEARCH("소계",B840)),ISNUMBER(SEARCH("합계",B840)))),"",1+COUNTIF($B$1:B839,"*소계*"))</f>
        <v/>
      </c>
      <c r="H840">
        <f>IF(AND(A840&lt;&gt;"",A840=가족별!$B$1,G840&lt;&gt;""),COUNTIFS($A$2:A840,가족별!$B$1,$G$2:G840,"&gt;0"),"")</f>
        <v/>
      </c>
      <c r="I840">
        <f>IF(ISNUMBER(SEARCH("소계",B840)),COUNTIF($B$2:B840,"*소계*"),"")</f>
        <v/>
      </c>
      <c r="J840">
        <f>IF(F840="",0,1)</f>
        <v/>
      </c>
    </row>
    <row r="841">
      <c r="A841" s="41" t="n"/>
      <c r="B841" s="41" t="n"/>
      <c r="C841" s="24" t="n"/>
      <c r="D841" s="41" t="n"/>
      <c r="E841" s="41" t="n"/>
      <c r="F841" s="19">
        <f>IF(COUNTA(A841:E841)=0,"",IF(OR(ISNUMBER(SEARCH("소계",B841)),ISNUMBER(SEARCH("합계",B841))),"",TRIM(IF(B841="","이름 없음 ","")&amp;IF(A841="","받은 가족 없음 ","")&amp;IF(C841="","금액 없음 ",IF(ISNUMBER(C841),IF(C841&lt;1000,"금액 확인 ",""),"금액 확인 "))&amp;IF(AND(B841&lt;&gt;"",COUNTIFS($A$2:$A$1001,A841,$B$2:$B$1001,B841,$C$2:$C$1001,C841)&gt;1),"중복 의심",""))))</f>
        <v/>
      </c>
      <c r="G841" s="25">
        <f>IF(OR(COUNTA(A841:E841)=0,OR(ISNUMBER(SEARCH("소계",B841)),ISNUMBER(SEARCH("합계",B841)))),"",1+COUNTIF($B$1:B840,"*소계*"))</f>
        <v/>
      </c>
      <c r="H841">
        <f>IF(AND(A841&lt;&gt;"",A841=가족별!$B$1,G841&lt;&gt;""),COUNTIFS($A$2:A841,가족별!$B$1,$G$2:G841,"&gt;0"),"")</f>
        <v/>
      </c>
      <c r="I841">
        <f>IF(ISNUMBER(SEARCH("소계",B841)),COUNTIF($B$2:B841,"*소계*"),"")</f>
        <v/>
      </c>
      <c r="J841">
        <f>IF(F841="",0,1)</f>
        <v/>
      </c>
    </row>
    <row r="842">
      <c r="A842" s="41" t="n"/>
      <c r="B842" s="41" t="n"/>
      <c r="C842" s="24" t="n"/>
      <c r="D842" s="41" t="n"/>
      <c r="E842" s="41" t="n"/>
      <c r="F842" s="19">
        <f>IF(COUNTA(A842:E842)=0,"",IF(OR(ISNUMBER(SEARCH("소계",B842)),ISNUMBER(SEARCH("합계",B842))),"",TRIM(IF(B842="","이름 없음 ","")&amp;IF(A842="","받은 가족 없음 ","")&amp;IF(C842="","금액 없음 ",IF(ISNUMBER(C842),IF(C842&lt;1000,"금액 확인 ",""),"금액 확인 "))&amp;IF(AND(B842&lt;&gt;"",COUNTIFS($A$2:$A$1001,A842,$B$2:$B$1001,B842,$C$2:$C$1001,C842)&gt;1),"중복 의심",""))))</f>
        <v/>
      </c>
      <c r="G842" s="25">
        <f>IF(OR(COUNTA(A842:E842)=0,OR(ISNUMBER(SEARCH("소계",B842)),ISNUMBER(SEARCH("합계",B842)))),"",1+COUNTIF($B$1:B841,"*소계*"))</f>
        <v/>
      </c>
      <c r="H842">
        <f>IF(AND(A842&lt;&gt;"",A842=가족별!$B$1,G842&lt;&gt;""),COUNTIFS($A$2:A842,가족별!$B$1,$G$2:G842,"&gt;0"),"")</f>
        <v/>
      </c>
      <c r="I842">
        <f>IF(ISNUMBER(SEARCH("소계",B842)),COUNTIF($B$2:B842,"*소계*"),"")</f>
        <v/>
      </c>
      <c r="J842">
        <f>IF(F842="",0,1)</f>
        <v/>
      </c>
    </row>
    <row r="843">
      <c r="A843" s="41" t="n"/>
      <c r="B843" s="41" t="n"/>
      <c r="C843" s="24" t="n"/>
      <c r="D843" s="41" t="n"/>
      <c r="E843" s="41" t="n"/>
      <c r="F843" s="19">
        <f>IF(COUNTA(A843:E843)=0,"",IF(OR(ISNUMBER(SEARCH("소계",B843)),ISNUMBER(SEARCH("합계",B843))),"",TRIM(IF(B843="","이름 없음 ","")&amp;IF(A843="","받은 가족 없음 ","")&amp;IF(C843="","금액 없음 ",IF(ISNUMBER(C843),IF(C843&lt;1000,"금액 확인 ",""),"금액 확인 "))&amp;IF(AND(B843&lt;&gt;"",COUNTIFS($A$2:$A$1001,A843,$B$2:$B$1001,B843,$C$2:$C$1001,C843)&gt;1),"중복 의심",""))))</f>
        <v/>
      </c>
      <c r="G843" s="25">
        <f>IF(OR(COUNTA(A843:E843)=0,OR(ISNUMBER(SEARCH("소계",B843)),ISNUMBER(SEARCH("합계",B843)))),"",1+COUNTIF($B$1:B842,"*소계*"))</f>
        <v/>
      </c>
      <c r="H843">
        <f>IF(AND(A843&lt;&gt;"",A843=가족별!$B$1,G843&lt;&gt;""),COUNTIFS($A$2:A843,가족별!$B$1,$G$2:G843,"&gt;0"),"")</f>
        <v/>
      </c>
      <c r="I843">
        <f>IF(ISNUMBER(SEARCH("소계",B843)),COUNTIF($B$2:B843,"*소계*"),"")</f>
        <v/>
      </c>
      <c r="J843">
        <f>IF(F843="",0,1)</f>
        <v/>
      </c>
    </row>
    <row r="844">
      <c r="A844" s="41" t="n"/>
      <c r="B844" s="41" t="n"/>
      <c r="C844" s="24" t="n"/>
      <c r="D844" s="41" t="n"/>
      <c r="E844" s="41" t="n"/>
      <c r="F844" s="19">
        <f>IF(COUNTA(A844:E844)=0,"",IF(OR(ISNUMBER(SEARCH("소계",B844)),ISNUMBER(SEARCH("합계",B844))),"",TRIM(IF(B844="","이름 없음 ","")&amp;IF(A844="","받은 가족 없음 ","")&amp;IF(C844="","금액 없음 ",IF(ISNUMBER(C844),IF(C844&lt;1000,"금액 확인 ",""),"금액 확인 "))&amp;IF(AND(B844&lt;&gt;"",COUNTIFS($A$2:$A$1001,A844,$B$2:$B$1001,B844,$C$2:$C$1001,C844)&gt;1),"중복 의심",""))))</f>
        <v/>
      </c>
      <c r="G844" s="25">
        <f>IF(OR(COUNTA(A844:E844)=0,OR(ISNUMBER(SEARCH("소계",B844)),ISNUMBER(SEARCH("합계",B844)))),"",1+COUNTIF($B$1:B843,"*소계*"))</f>
        <v/>
      </c>
      <c r="H844">
        <f>IF(AND(A844&lt;&gt;"",A844=가족별!$B$1,G844&lt;&gt;""),COUNTIFS($A$2:A844,가족별!$B$1,$G$2:G844,"&gt;0"),"")</f>
        <v/>
      </c>
      <c r="I844">
        <f>IF(ISNUMBER(SEARCH("소계",B844)),COUNTIF($B$2:B844,"*소계*"),"")</f>
        <v/>
      </c>
      <c r="J844">
        <f>IF(F844="",0,1)</f>
        <v/>
      </c>
    </row>
    <row r="845">
      <c r="A845" s="41" t="n"/>
      <c r="B845" s="41" t="n"/>
      <c r="C845" s="24" t="n"/>
      <c r="D845" s="41" t="n"/>
      <c r="E845" s="41" t="n"/>
      <c r="F845" s="19">
        <f>IF(COUNTA(A845:E845)=0,"",IF(OR(ISNUMBER(SEARCH("소계",B845)),ISNUMBER(SEARCH("합계",B845))),"",TRIM(IF(B845="","이름 없음 ","")&amp;IF(A845="","받은 가족 없음 ","")&amp;IF(C845="","금액 없음 ",IF(ISNUMBER(C845),IF(C845&lt;1000,"금액 확인 ",""),"금액 확인 "))&amp;IF(AND(B845&lt;&gt;"",COUNTIFS($A$2:$A$1001,A845,$B$2:$B$1001,B845,$C$2:$C$1001,C845)&gt;1),"중복 의심",""))))</f>
        <v/>
      </c>
      <c r="G845" s="25">
        <f>IF(OR(COUNTA(A845:E845)=0,OR(ISNUMBER(SEARCH("소계",B845)),ISNUMBER(SEARCH("합계",B845)))),"",1+COUNTIF($B$1:B844,"*소계*"))</f>
        <v/>
      </c>
      <c r="H845">
        <f>IF(AND(A845&lt;&gt;"",A845=가족별!$B$1,G845&lt;&gt;""),COUNTIFS($A$2:A845,가족별!$B$1,$G$2:G845,"&gt;0"),"")</f>
        <v/>
      </c>
      <c r="I845">
        <f>IF(ISNUMBER(SEARCH("소계",B845)),COUNTIF($B$2:B845,"*소계*"),"")</f>
        <v/>
      </c>
      <c r="J845">
        <f>IF(F845="",0,1)</f>
        <v/>
      </c>
    </row>
    <row r="846">
      <c r="A846" s="41" t="n"/>
      <c r="B846" s="41" t="n"/>
      <c r="C846" s="24" t="n"/>
      <c r="D846" s="41" t="n"/>
      <c r="E846" s="41" t="n"/>
      <c r="F846" s="19">
        <f>IF(COUNTA(A846:E846)=0,"",IF(OR(ISNUMBER(SEARCH("소계",B846)),ISNUMBER(SEARCH("합계",B846))),"",TRIM(IF(B846="","이름 없음 ","")&amp;IF(A846="","받은 가족 없음 ","")&amp;IF(C846="","금액 없음 ",IF(ISNUMBER(C846),IF(C846&lt;1000,"금액 확인 ",""),"금액 확인 "))&amp;IF(AND(B846&lt;&gt;"",COUNTIFS($A$2:$A$1001,A846,$B$2:$B$1001,B846,$C$2:$C$1001,C846)&gt;1),"중복 의심",""))))</f>
        <v/>
      </c>
      <c r="G846" s="25">
        <f>IF(OR(COUNTA(A846:E846)=0,OR(ISNUMBER(SEARCH("소계",B846)),ISNUMBER(SEARCH("합계",B846)))),"",1+COUNTIF($B$1:B845,"*소계*"))</f>
        <v/>
      </c>
      <c r="H846">
        <f>IF(AND(A846&lt;&gt;"",A846=가족별!$B$1,G846&lt;&gt;""),COUNTIFS($A$2:A846,가족별!$B$1,$G$2:G846,"&gt;0"),"")</f>
        <v/>
      </c>
      <c r="I846">
        <f>IF(ISNUMBER(SEARCH("소계",B846)),COUNTIF($B$2:B846,"*소계*"),"")</f>
        <v/>
      </c>
      <c r="J846">
        <f>IF(F846="",0,1)</f>
        <v/>
      </c>
    </row>
    <row r="847">
      <c r="A847" s="41" t="n"/>
      <c r="B847" s="41" t="n"/>
      <c r="C847" s="24" t="n"/>
      <c r="D847" s="41" t="n"/>
      <c r="E847" s="41" t="n"/>
      <c r="F847" s="19">
        <f>IF(COUNTA(A847:E847)=0,"",IF(OR(ISNUMBER(SEARCH("소계",B847)),ISNUMBER(SEARCH("합계",B847))),"",TRIM(IF(B847="","이름 없음 ","")&amp;IF(A847="","받은 가족 없음 ","")&amp;IF(C847="","금액 없음 ",IF(ISNUMBER(C847),IF(C847&lt;1000,"금액 확인 ",""),"금액 확인 "))&amp;IF(AND(B847&lt;&gt;"",COUNTIFS($A$2:$A$1001,A847,$B$2:$B$1001,B847,$C$2:$C$1001,C847)&gt;1),"중복 의심",""))))</f>
        <v/>
      </c>
      <c r="G847" s="25">
        <f>IF(OR(COUNTA(A847:E847)=0,OR(ISNUMBER(SEARCH("소계",B847)),ISNUMBER(SEARCH("합계",B847)))),"",1+COUNTIF($B$1:B846,"*소계*"))</f>
        <v/>
      </c>
      <c r="H847">
        <f>IF(AND(A847&lt;&gt;"",A847=가족별!$B$1,G847&lt;&gt;""),COUNTIFS($A$2:A847,가족별!$B$1,$G$2:G847,"&gt;0"),"")</f>
        <v/>
      </c>
      <c r="I847">
        <f>IF(ISNUMBER(SEARCH("소계",B847)),COUNTIF($B$2:B847,"*소계*"),"")</f>
        <v/>
      </c>
      <c r="J847">
        <f>IF(F847="",0,1)</f>
        <v/>
      </c>
    </row>
    <row r="848">
      <c r="A848" s="41" t="n"/>
      <c r="B848" s="41" t="n"/>
      <c r="C848" s="24" t="n"/>
      <c r="D848" s="41" t="n"/>
      <c r="E848" s="41" t="n"/>
      <c r="F848" s="19">
        <f>IF(COUNTA(A848:E848)=0,"",IF(OR(ISNUMBER(SEARCH("소계",B848)),ISNUMBER(SEARCH("합계",B848))),"",TRIM(IF(B848="","이름 없음 ","")&amp;IF(A848="","받은 가족 없음 ","")&amp;IF(C848="","금액 없음 ",IF(ISNUMBER(C848),IF(C848&lt;1000,"금액 확인 ",""),"금액 확인 "))&amp;IF(AND(B848&lt;&gt;"",COUNTIFS($A$2:$A$1001,A848,$B$2:$B$1001,B848,$C$2:$C$1001,C848)&gt;1),"중복 의심",""))))</f>
        <v/>
      </c>
      <c r="G848" s="25">
        <f>IF(OR(COUNTA(A848:E848)=0,OR(ISNUMBER(SEARCH("소계",B848)),ISNUMBER(SEARCH("합계",B848)))),"",1+COUNTIF($B$1:B847,"*소계*"))</f>
        <v/>
      </c>
      <c r="H848">
        <f>IF(AND(A848&lt;&gt;"",A848=가족별!$B$1,G848&lt;&gt;""),COUNTIFS($A$2:A848,가족별!$B$1,$G$2:G848,"&gt;0"),"")</f>
        <v/>
      </c>
      <c r="I848">
        <f>IF(ISNUMBER(SEARCH("소계",B848)),COUNTIF($B$2:B848,"*소계*"),"")</f>
        <v/>
      </c>
      <c r="J848">
        <f>IF(F848="",0,1)</f>
        <v/>
      </c>
    </row>
    <row r="849">
      <c r="A849" s="41" t="n"/>
      <c r="B849" s="41" t="n"/>
      <c r="C849" s="24" t="n"/>
      <c r="D849" s="41" t="n"/>
      <c r="E849" s="41" t="n"/>
      <c r="F849" s="19">
        <f>IF(COUNTA(A849:E849)=0,"",IF(OR(ISNUMBER(SEARCH("소계",B849)),ISNUMBER(SEARCH("합계",B849))),"",TRIM(IF(B849="","이름 없음 ","")&amp;IF(A849="","받은 가족 없음 ","")&amp;IF(C849="","금액 없음 ",IF(ISNUMBER(C849),IF(C849&lt;1000,"금액 확인 ",""),"금액 확인 "))&amp;IF(AND(B849&lt;&gt;"",COUNTIFS($A$2:$A$1001,A849,$B$2:$B$1001,B849,$C$2:$C$1001,C849)&gt;1),"중복 의심",""))))</f>
        <v/>
      </c>
      <c r="G849" s="25">
        <f>IF(OR(COUNTA(A849:E849)=0,OR(ISNUMBER(SEARCH("소계",B849)),ISNUMBER(SEARCH("합계",B849)))),"",1+COUNTIF($B$1:B848,"*소계*"))</f>
        <v/>
      </c>
      <c r="H849">
        <f>IF(AND(A849&lt;&gt;"",A849=가족별!$B$1,G849&lt;&gt;""),COUNTIFS($A$2:A849,가족별!$B$1,$G$2:G849,"&gt;0"),"")</f>
        <v/>
      </c>
      <c r="I849">
        <f>IF(ISNUMBER(SEARCH("소계",B849)),COUNTIF($B$2:B849,"*소계*"),"")</f>
        <v/>
      </c>
      <c r="J849">
        <f>IF(F849="",0,1)</f>
        <v/>
      </c>
    </row>
    <row r="850">
      <c r="A850" s="41" t="n"/>
      <c r="B850" s="41" t="n"/>
      <c r="C850" s="24" t="n"/>
      <c r="D850" s="41" t="n"/>
      <c r="E850" s="41" t="n"/>
      <c r="F850" s="19">
        <f>IF(COUNTA(A850:E850)=0,"",IF(OR(ISNUMBER(SEARCH("소계",B850)),ISNUMBER(SEARCH("합계",B850))),"",TRIM(IF(B850="","이름 없음 ","")&amp;IF(A850="","받은 가족 없음 ","")&amp;IF(C850="","금액 없음 ",IF(ISNUMBER(C850),IF(C850&lt;1000,"금액 확인 ",""),"금액 확인 "))&amp;IF(AND(B850&lt;&gt;"",COUNTIFS($A$2:$A$1001,A850,$B$2:$B$1001,B850,$C$2:$C$1001,C850)&gt;1),"중복 의심",""))))</f>
        <v/>
      </c>
      <c r="G850" s="25">
        <f>IF(OR(COUNTA(A850:E850)=0,OR(ISNUMBER(SEARCH("소계",B850)),ISNUMBER(SEARCH("합계",B850)))),"",1+COUNTIF($B$1:B849,"*소계*"))</f>
        <v/>
      </c>
      <c r="H850">
        <f>IF(AND(A850&lt;&gt;"",A850=가족별!$B$1,G850&lt;&gt;""),COUNTIFS($A$2:A850,가족별!$B$1,$G$2:G850,"&gt;0"),"")</f>
        <v/>
      </c>
      <c r="I850">
        <f>IF(ISNUMBER(SEARCH("소계",B850)),COUNTIF($B$2:B850,"*소계*"),"")</f>
        <v/>
      </c>
      <c r="J850">
        <f>IF(F850="",0,1)</f>
        <v/>
      </c>
    </row>
    <row r="851">
      <c r="A851" s="41" t="n"/>
      <c r="B851" s="41" t="n"/>
      <c r="C851" s="24" t="n"/>
      <c r="D851" s="41" t="n"/>
      <c r="E851" s="41" t="n"/>
      <c r="F851" s="19">
        <f>IF(COUNTA(A851:E851)=0,"",IF(OR(ISNUMBER(SEARCH("소계",B851)),ISNUMBER(SEARCH("합계",B851))),"",TRIM(IF(B851="","이름 없음 ","")&amp;IF(A851="","받은 가족 없음 ","")&amp;IF(C851="","금액 없음 ",IF(ISNUMBER(C851),IF(C851&lt;1000,"금액 확인 ",""),"금액 확인 "))&amp;IF(AND(B851&lt;&gt;"",COUNTIFS($A$2:$A$1001,A851,$B$2:$B$1001,B851,$C$2:$C$1001,C851)&gt;1),"중복 의심",""))))</f>
        <v/>
      </c>
      <c r="G851" s="25">
        <f>IF(OR(COUNTA(A851:E851)=0,OR(ISNUMBER(SEARCH("소계",B851)),ISNUMBER(SEARCH("합계",B851)))),"",1+COUNTIF($B$1:B850,"*소계*"))</f>
        <v/>
      </c>
      <c r="H851">
        <f>IF(AND(A851&lt;&gt;"",A851=가족별!$B$1,G851&lt;&gt;""),COUNTIFS($A$2:A851,가족별!$B$1,$G$2:G851,"&gt;0"),"")</f>
        <v/>
      </c>
      <c r="I851">
        <f>IF(ISNUMBER(SEARCH("소계",B851)),COUNTIF($B$2:B851,"*소계*"),"")</f>
        <v/>
      </c>
      <c r="J851">
        <f>IF(F851="",0,1)</f>
        <v/>
      </c>
    </row>
    <row r="852">
      <c r="A852" s="41" t="n"/>
      <c r="B852" s="41" t="n"/>
      <c r="C852" s="24" t="n"/>
      <c r="D852" s="41" t="n"/>
      <c r="E852" s="41" t="n"/>
      <c r="F852" s="19">
        <f>IF(COUNTA(A852:E852)=0,"",IF(OR(ISNUMBER(SEARCH("소계",B852)),ISNUMBER(SEARCH("합계",B852))),"",TRIM(IF(B852="","이름 없음 ","")&amp;IF(A852="","받은 가족 없음 ","")&amp;IF(C852="","금액 없음 ",IF(ISNUMBER(C852),IF(C852&lt;1000,"금액 확인 ",""),"금액 확인 "))&amp;IF(AND(B852&lt;&gt;"",COUNTIFS($A$2:$A$1001,A852,$B$2:$B$1001,B852,$C$2:$C$1001,C852)&gt;1),"중복 의심",""))))</f>
        <v/>
      </c>
      <c r="G852" s="25">
        <f>IF(OR(COUNTA(A852:E852)=0,OR(ISNUMBER(SEARCH("소계",B852)),ISNUMBER(SEARCH("합계",B852)))),"",1+COUNTIF($B$1:B851,"*소계*"))</f>
        <v/>
      </c>
      <c r="H852">
        <f>IF(AND(A852&lt;&gt;"",A852=가족별!$B$1,G852&lt;&gt;""),COUNTIFS($A$2:A852,가족별!$B$1,$G$2:G852,"&gt;0"),"")</f>
        <v/>
      </c>
      <c r="I852">
        <f>IF(ISNUMBER(SEARCH("소계",B852)),COUNTIF($B$2:B852,"*소계*"),"")</f>
        <v/>
      </c>
      <c r="J852">
        <f>IF(F852="",0,1)</f>
        <v/>
      </c>
    </row>
    <row r="853">
      <c r="A853" s="41" t="n"/>
      <c r="B853" s="41" t="n"/>
      <c r="C853" s="24" t="n"/>
      <c r="D853" s="41" t="n"/>
      <c r="E853" s="41" t="n"/>
      <c r="F853" s="19">
        <f>IF(COUNTA(A853:E853)=0,"",IF(OR(ISNUMBER(SEARCH("소계",B853)),ISNUMBER(SEARCH("합계",B853))),"",TRIM(IF(B853="","이름 없음 ","")&amp;IF(A853="","받은 가족 없음 ","")&amp;IF(C853="","금액 없음 ",IF(ISNUMBER(C853),IF(C853&lt;1000,"금액 확인 ",""),"금액 확인 "))&amp;IF(AND(B853&lt;&gt;"",COUNTIFS($A$2:$A$1001,A853,$B$2:$B$1001,B853,$C$2:$C$1001,C853)&gt;1),"중복 의심",""))))</f>
        <v/>
      </c>
      <c r="G853" s="25">
        <f>IF(OR(COUNTA(A853:E853)=0,OR(ISNUMBER(SEARCH("소계",B853)),ISNUMBER(SEARCH("합계",B853)))),"",1+COUNTIF($B$1:B852,"*소계*"))</f>
        <v/>
      </c>
      <c r="H853">
        <f>IF(AND(A853&lt;&gt;"",A853=가족별!$B$1,G853&lt;&gt;""),COUNTIFS($A$2:A853,가족별!$B$1,$G$2:G853,"&gt;0"),"")</f>
        <v/>
      </c>
      <c r="I853">
        <f>IF(ISNUMBER(SEARCH("소계",B853)),COUNTIF($B$2:B853,"*소계*"),"")</f>
        <v/>
      </c>
      <c r="J853">
        <f>IF(F853="",0,1)</f>
        <v/>
      </c>
    </row>
    <row r="854">
      <c r="A854" s="41" t="n"/>
      <c r="B854" s="41" t="n"/>
      <c r="C854" s="24" t="n"/>
      <c r="D854" s="41" t="n"/>
      <c r="E854" s="41" t="n"/>
      <c r="F854" s="19">
        <f>IF(COUNTA(A854:E854)=0,"",IF(OR(ISNUMBER(SEARCH("소계",B854)),ISNUMBER(SEARCH("합계",B854))),"",TRIM(IF(B854="","이름 없음 ","")&amp;IF(A854="","받은 가족 없음 ","")&amp;IF(C854="","금액 없음 ",IF(ISNUMBER(C854),IF(C854&lt;1000,"금액 확인 ",""),"금액 확인 "))&amp;IF(AND(B854&lt;&gt;"",COUNTIFS($A$2:$A$1001,A854,$B$2:$B$1001,B854,$C$2:$C$1001,C854)&gt;1),"중복 의심",""))))</f>
        <v/>
      </c>
      <c r="G854" s="25">
        <f>IF(OR(COUNTA(A854:E854)=0,OR(ISNUMBER(SEARCH("소계",B854)),ISNUMBER(SEARCH("합계",B854)))),"",1+COUNTIF($B$1:B853,"*소계*"))</f>
        <v/>
      </c>
      <c r="H854">
        <f>IF(AND(A854&lt;&gt;"",A854=가족별!$B$1,G854&lt;&gt;""),COUNTIFS($A$2:A854,가족별!$B$1,$G$2:G854,"&gt;0"),"")</f>
        <v/>
      </c>
      <c r="I854">
        <f>IF(ISNUMBER(SEARCH("소계",B854)),COUNTIF($B$2:B854,"*소계*"),"")</f>
        <v/>
      </c>
      <c r="J854">
        <f>IF(F854="",0,1)</f>
        <v/>
      </c>
    </row>
    <row r="855">
      <c r="A855" s="41" t="n"/>
      <c r="B855" s="41" t="n"/>
      <c r="C855" s="24" t="n"/>
      <c r="D855" s="41" t="n"/>
      <c r="E855" s="41" t="n"/>
      <c r="F855" s="19">
        <f>IF(COUNTA(A855:E855)=0,"",IF(OR(ISNUMBER(SEARCH("소계",B855)),ISNUMBER(SEARCH("합계",B855))),"",TRIM(IF(B855="","이름 없음 ","")&amp;IF(A855="","받은 가족 없음 ","")&amp;IF(C855="","금액 없음 ",IF(ISNUMBER(C855),IF(C855&lt;1000,"금액 확인 ",""),"금액 확인 "))&amp;IF(AND(B855&lt;&gt;"",COUNTIFS($A$2:$A$1001,A855,$B$2:$B$1001,B855,$C$2:$C$1001,C855)&gt;1),"중복 의심",""))))</f>
        <v/>
      </c>
      <c r="G855" s="25">
        <f>IF(OR(COUNTA(A855:E855)=0,OR(ISNUMBER(SEARCH("소계",B855)),ISNUMBER(SEARCH("합계",B855)))),"",1+COUNTIF($B$1:B854,"*소계*"))</f>
        <v/>
      </c>
      <c r="H855">
        <f>IF(AND(A855&lt;&gt;"",A855=가족별!$B$1,G855&lt;&gt;""),COUNTIFS($A$2:A855,가족별!$B$1,$G$2:G855,"&gt;0"),"")</f>
        <v/>
      </c>
      <c r="I855">
        <f>IF(ISNUMBER(SEARCH("소계",B855)),COUNTIF($B$2:B855,"*소계*"),"")</f>
        <v/>
      </c>
      <c r="J855">
        <f>IF(F855="",0,1)</f>
        <v/>
      </c>
    </row>
    <row r="856">
      <c r="A856" s="41" t="n"/>
      <c r="B856" s="41" t="n"/>
      <c r="C856" s="24" t="n"/>
      <c r="D856" s="41" t="n"/>
      <c r="E856" s="41" t="n"/>
      <c r="F856" s="19">
        <f>IF(COUNTA(A856:E856)=0,"",IF(OR(ISNUMBER(SEARCH("소계",B856)),ISNUMBER(SEARCH("합계",B856))),"",TRIM(IF(B856="","이름 없음 ","")&amp;IF(A856="","받은 가족 없음 ","")&amp;IF(C856="","금액 없음 ",IF(ISNUMBER(C856),IF(C856&lt;1000,"금액 확인 ",""),"금액 확인 "))&amp;IF(AND(B856&lt;&gt;"",COUNTIFS($A$2:$A$1001,A856,$B$2:$B$1001,B856,$C$2:$C$1001,C856)&gt;1),"중복 의심",""))))</f>
        <v/>
      </c>
      <c r="G856" s="25">
        <f>IF(OR(COUNTA(A856:E856)=0,OR(ISNUMBER(SEARCH("소계",B856)),ISNUMBER(SEARCH("합계",B856)))),"",1+COUNTIF($B$1:B855,"*소계*"))</f>
        <v/>
      </c>
      <c r="H856">
        <f>IF(AND(A856&lt;&gt;"",A856=가족별!$B$1,G856&lt;&gt;""),COUNTIFS($A$2:A856,가족별!$B$1,$G$2:G856,"&gt;0"),"")</f>
        <v/>
      </c>
      <c r="I856">
        <f>IF(ISNUMBER(SEARCH("소계",B856)),COUNTIF($B$2:B856,"*소계*"),"")</f>
        <v/>
      </c>
      <c r="J856">
        <f>IF(F856="",0,1)</f>
        <v/>
      </c>
    </row>
    <row r="857">
      <c r="A857" s="41" t="n"/>
      <c r="B857" s="41" t="n"/>
      <c r="C857" s="24" t="n"/>
      <c r="D857" s="41" t="n"/>
      <c r="E857" s="41" t="n"/>
      <c r="F857" s="19">
        <f>IF(COUNTA(A857:E857)=0,"",IF(OR(ISNUMBER(SEARCH("소계",B857)),ISNUMBER(SEARCH("합계",B857))),"",TRIM(IF(B857="","이름 없음 ","")&amp;IF(A857="","받은 가족 없음 ","")&amp;IF(C857="","금액 없음 ",IF(ISNUMBER(C857),IF(C857&lt;1000,"금액 확인 ",""),"금액 확인 "))&amp;IF(AND(B857&lt;&gt;"",COUNTIFS($A$2:$A$1001,A857,$B$2:$B$1001,B857,$C$2:$C$1001,C857)&gt;1),"중복 의심",""))))</f>
        <v/>
      </c>
      <c r="G857" s="25">
        <f>IF(OR(COUNTA(A857:E857)=0,OR(ISNUMBER(SEARCH("소계",B857)),ISNUMBER(SEARCH("합계",B857)))),"",1+COUNTIF($B$1:B856,"*소계*"))</f>
        <v/>
      </c>
      <c r="H857">
        <f>IF(AND(A857&lt;&gt;"",A857=가족별!$B$1,G857&lt;&gt;""),COUNTIFS($A$2:A857,가족별!$B$1,$G$2:G857,"&gt;0"),"")</f>
        <v/>
      </c>
      <c r="I857">
        <f>IF(ISNUMBER(SEARCH("소계",B857)),COUNTIF($B$2:B857,"*소계*"),"")</f>
        <v/>
      </c>
      <c r="J857">
        <f>IF(F857="",0,1)</f>
        <v/>
      </c>
    </row>
    <row r="858">
      <c r="A858" s="41" t="n"/>
      <c r="B858" s="41" t="n"/>
      <c r="C858" s="24" t="n"/>
      <c r="D858" s="41" t="n"/>
      <c r="E858" s="41" t="n"/>
      <c r="F858" s="19">
        <f>IF(COUNTA(A858:E858)=0,"",IF(OR(ISNUMBER(SEARCH("소계",B858)),ISNUMBER(SEARCH("합계",B858))),"",TRIM(IF(B858="","이름 없음 ","")&amp;IF(A858="","받은 가족 없음 ","")&amp;IF(C858="","금액 없음 ",IF(ISNUMBER(C858),IF(C858&lt;1000,"금액 확인 ",""),"금액 확인 "))&amp;IF(AND(B858&lt;&gt;"",COUNTIFS($A$2:$A$1001,A858,$B$2:$B$1001,B858,$C$2:$C$1001,C858)&gt;1),"중복 의심",""))))</f>
        <v/>
      </c>
      <c r="G858" s="25">
        <f>IF(OR(COUNTA(A858:E858)=0,OR(ISNUMBER(SEARCH("소계",B858)),ISNUMBER(SEARCH("합계",B858)))),"",1+COUNTIF($B$1:B857,"*소계*"))</f>
        <v/>
      </c>
      <c r="H858">
        <f>IF(AND(A858&lt;&gt;"",A858=가족별!$B$1,G858&lt;&gt;""),COUNTIFS($A$2:A858,가족별!$B$1,$G$2:G858,"&gt;0"),"")</f>
        <v/>
      </c>
      <c r="I858">
        <f>IF(ISNUMBER(SEARCH("소계",B858)),COUNTIF($B$2:B858,"*소계*"),"")</f>
        <v/>
      </c>
      <c r="J858">
        <f>IF(F858="",0,1)</f>
        <v/>
      </c>
    </row>
    <row r="859">
      <c r="A859" s="41" t="n"/>
      <c r="B859" s="41" t="n"/>
      <c r="C859" s="24" t="n"/>
      <c r="D859" s="41" t="n"/>
      <c r="E859" s="41" t="n"/>
      <c r="F859" s="19">
        <f>IF(COUNTA(A859:E859)=0,"",IF(OR(ISNUMBER(SEARCH("소계",B859)),ISNUMBER(SEARCH("합계",B859))),"",TRIM(IF(B859="","이름 없음 ","")&amp;IF(A859="","받은 가족 없음 ","")&amp;IF(C859="","금액 없음 ",IF(ISNUMBER(C859),IF(C859&lt;1000,"금액 확인 ",""),"금액 확인 "))&amp;IF(AND(B859&lt;&gt;"",COUNTIFS($A$2:$A$1001,A859,$B$2:$B$1001,B859,$C$2:$C$1001,C859)&gt;1),"중복 의심",""))))</f>
        <v/>
      </c>
      <c r="G859" s="25">
        <f>IF(OR(COUNTA(A859:E859)=0,OR(ISNUMBER(SEARCH("소계",B859)),ISNUMBER(SEARCH("합계",B859)))),"",1+COUNTIF($B$1:B858,"*소계*"))</f>
        <v/>
      </c>
      <c r="H859">
        <f>IF(AND(A859&lt;&gt;"",A859=가족별!$B$1,G859&lt;&gt;""),COUNTIFS($A$2:A859,가족별!$B$1,$G$2:G859,"&gt;0"),"")</f>
        <v/>
      </c>
      <c r="I859">
        <f>IF(ISNUMBER(SEARCH("소계",B859)),COUNTIF($B$2:B859,"*소계*"),"")</f>
        <v/>
      </c>
      <c r="J859">
        <f>IF(F859="",0,1)</f>
        <v/>
      </c>
    </row>
    <row r="860">
      <c r="A860" s="41" t="n"/>
      <c r="B860" s="41" t="n"/>
      <c r="C860" s="24" t="n"/>
      <c r="D860" s="41" t="n"/>
      <c r="E860" s="41" t="n"/>
      <c r="F860" s="19">
        <f>IF(COUNTA(A860:E860)=0,"",IF(OR(ISNUMBER(SEARCH("소계",B860)),ISNUMBER(SEARCH("합계",B860))),"",TRIM(IF(B860="","이름 없음 ","")&amp;IF(A860="","받은 가족 없음 ","")&amp;IF(C860="","금액 없음 ",IF(ISNUMBER(C860),IF(C860&lt;1000,"금액 확인 ",""),"금액 확인 "))&amp;IF(AND(B860&lt;&gt;"",COUNTIFS($A$2:$A$1001,A860,$B$2:$B$1001,B860,$C$2:$C$1001,C860)&gt;1),"중복 의심",""))))</f>
        <v/>
      </c>
      <c r="G860" s="25">
        <f>IF(OR(COUNTA(A860:E860)=0,OR(ISNUMBER(SEARCH("소계",B860)),ISNUMBER(SEARCH("합계",B860)))),"",1+COUNTIF($B$1:B859,"*소계*"))</f>
        <v/>
      </c>
      <c r="H860">
        <f>IF(AND(A860&lt;&gt;"",A860=가족별!$B$1,G860&lt;&gt;""),COUNTIFS($A$2:A860,가족별!$B$1,$G$2:G860,"&gt;0"),"")</f>
        <v/>
      </c>
      <c r="I860">
        <f>IF(ISNUMBER(SEARCH("소계",B860)),COUNTIF($B$2:B860,"*소계*"),"")</f>
        <v/>
      </c>
      <c r="J860">
        <f>IF(F860="",0,1)</f>
        <v/>
      </c>
    </row>
    <row r="861">
      <c r="A861" s="41" t="n"/>
      <c r="B861" s="41" t="n"/>
      <c r="C861" s="24" t="n"/>
      <c r="D861" s="41" t="n"/>
      <c r="E861" s="41" t="n"/>
      <c r="F861" s="19">
        <f>IF(COUNTA(A861:E861)=0,"",IF(OR(ISNUMBER(SEARCH("소계",B861)),ISNUMBER(SEARCH("합계",B861))),"",TRIM(IF(B861="","이름 없음 ","")&amp;IF(A861="","받은 가족 없음 ","")&amp;IF(C861="","금액 없음 ",IF(ISNUMBER(C861),IF(C861&lt;1000,"금액 확인 ",""),"금액 확인 "))&amp;IF(AND(B861&lt;&gt;"",COUNTIFS($A$2:$A$1001,A861,$B$2:$B$1001,B861,$C$2:$C$1001,C861)&gt;1),"중복 의심",""))))</f>
        <v/>
      </c>
      <c r="G861" s="25">
        <f>IF(OR(COUNTA(A861:E861)=0,OR(ISNUMBER(SEARCH("소계",B861)),ISNUMBER(SEARCH("합계",B861)))),"",1+COUNTIF($B$1:B860,"*소계*"))</f>
        <v/>
      </c>
      <c r="H861">
        <f>IF(AND(A861&lt;&gt;"",A861=가족별!$B$1,G861&lt;&gt;""),COUNTIFS($A$2:A861,가족별!$B$1,$G$2:G861,"&gt;0"),"")</f>
        <v/>
      </c>
      <c r="I861">
        <f>IF(ISNUMBER(SEARCH("소계",B861)),COUNTIF($B$2:B861,"*소계*"),"")</f>
        <v/>
      </c>
      <c r="J861">
        <f>IF(F861="",0,1)</f>
        <v/>
      </c>
    </row>
    <row r="862">
      <c r="A862" s="41" t="n"/>
      <c r="B862" s="41" t="n"/>
      <c r="C862" s="24" t="n"/>
      <c r="D862" s="41" t="n"/>
      <c r="E862" s="41" t="n"/>
      <c r="F862" s="19">
        <f>IF(COUNTA(A862:E862)=0,"",IF(OR(ISNUMBER(SEARCH("소계",B862)),ISNUMBER(SEARCH("합계",B862))),"",TRIM(IF(B862="","이름 없음 ","")&amp;IF(A862="","받은 가족 없음 ","")&amp;IF(C862="","금액 없음 ",IF(ISNUMBER(C862),IF(C862&lt;1000,"금액 확인 ",""),"금액 확인 "))&amp;IF(AND(B862&lt;&gt;"",COUNTIFS($A$2:$A$1001,A862,$B$2:$B$1001,B862,$C$2:$C$1001,C862)&gt;1),"중복 의심",""))))</f>
        <v/>
      </c>
      <c r="G862" s="25">
        <f>IF(OR(COUNTA(A862:E862)=0,OR(ISNUMBER(SEARCH("소계",B862)),ISNUMBER(SEARCH("합계",B862)))),"",1+COUNTIF($B$1:B861,"*소계*"))</f>
        <v/>
      </c>
      <c r="H862">
        <f>IF(AND(A862&lt;&gt;"",A862=가족별!$B$1,G862&lt;&gt;""),COUNTIFS($A$2:A862,가족별!$B$1,$G$2:G862,"&gt;0"),"")</f>
        <v/>
      </c>
      <c r="I862">
        <f>IF(ISNUMBER(SEARCH("소계",B862)),COUNTIF($B$2:B862,"*소계*"),"")</f>
        <v/>
      </c>
      <c r="J862">
        <f>IF(F862="",0,1)</f>
        <v/>
      </c>
    </row>
    <row r="863">
      <c r="A863" s="41" t="n"/>
      <c r="B863" s="41" t="n"/>
      <c r="C863" s="24" t="n"/>
      <c r="D863" s="41" t="n"/>
      <c r="E863" s="41" t="n"/>
      <c r="F863" s="19">
        <f>IF(COUNTA(A863:E863)=0,"",IF(OR(ISNUMBER(SEARCH("소계",B863)),ISNUMBER(SEARCH("합계",B863))),"",TRIM(IF(B863="","이름 없음 ","")&amp;IF(A863="","받은 가족 없음 ","")&amp;IF(C863="","금액 없음 ",IF(ISNUMBER(C863),IF(C863&lt;1000,"금액 확인 ",""),"금액 확인 "))&amp;IF(AND(B863&lt;&gt;"",COUNTIFS($A$2:$A$1001,A863,$B$2:$B$1001,B863,$C$2:$C$1001,C863)&gt;1),"중복 의심",""))))</f>
        <v/>
      </c>
      <c r="G863" s="25">
        <f>IF(OR(COUNTA(A863:E863)=0,OR(ISNUMBER(SEARCH("소계",B863)),ISNUMBER(SEARCH("합계",B863)))),"",1+COUNTIF($B$1:B862,"*소계*"))</f>
        <v/>
      </c>
      <c r="H863">
        <f>IF(AND(A863&lt;&gt;"",A863=가족별!$B$1,G863&lt;&gt;""),COUNTIFS($A$2:A863,가족별!$B$1,$G$2:G863,"&gt;0"),"")</f>
        <v/>
      </c>
      <c r="I863">
        <f>IF(ISNUMBER(SEARCH("소계",B863)),COUNTIF($B$2:B863,"*소계*"),"")</f>
        <v/>
      </c>
      <c r="J863">
        <f>IF(F863="",0,1)</f>
        <v/>
      </c>
    </row>
    <row r="864">
      <c r="A864" s="41" t="n"/>
      <c r="B864" s="41" t="n"/>
      <c r="C864" s="24" t="n"/>
      <c r="D864" s="41" t="n"/>
      <c r="E864" s="41" t="n"/>
      <c r="F864" s="19">
        <f>IF(COUNTA(A864:E864)=0,"",IF(OR(ISNUMBER(SEARCH("소계",B864)),ISNUMBER(SEARCH("합계",B864))),"",TRIM(IF(B864="","이름 없음 ","")&amp;IF(A864="","받은 가족 없음 ","")&amp;IF(C864="","금액 없음 ",IF(ISNUMBER(C864),IF(C864&lt;1000,"금액 확인 ",""),"금액 확인 "))&amp;IF(AND(B864&lt;&gt;"",COUNTIFS($A$2:$A$1001,A864,$B$2:$B$1001,B864,$C$2:$C$1001,C864)&gt;1),"중복 의심",""))))</f>
        <v/>
      </c>
      <c r="G864" s="25">
        <f>IF(OR(COUNTA(A864:E864)=0,OR(ISNUMBER(SEARCH("소계",B864)),ISNUMBER(SEARCH("합계",B864)))),"",1+COUNTIF($B$1:B863,"*소계*"))</f>
        <v/>
      </c>
      <c r="H864">
        <f>IF(AND(A864&lt;&gt;"",A864=가족별!$B$1,G864&lt;&gt;""),COUNTIFS($A$2:A864,가족별!$B$1,$G$2:G864,"&gt;0"),"")</f>
        <v/>
      </c>
      <c r="I864">
        <f>IF(ISNUMBER(SEARCH("소계",B864)),COUNTIF($B$2:B864,"*소계*"),"")</f>
        <v/>
      </c>
      <c r="J864">
        <f>IF(F864="",0,1)</f>
        <v/>
      </c>
    </row>
    <row r="865">
      <c r="A865" s="41" t="n"/>
      <c r="B865" s="41" t="n"/>
      <c r="C865" s="24" t="n"/>
      <c r="D865" s="41" t="n"/>
      <c r="E865" s="41" t="n"/>
      <c r="F865" s="19">
        <f>IF(COUNTA(A865:E865)=0,"",IF(OR(ISNUMBER(SEARCH("소계",B865)),ISNUMBER(SEARCH("합계",B865))),"",TRIM(IF(B865="","이름 없음 ","")&amp;IF(A865="","받은 가족 없음 ","")&amp;IF(C865="","금액 없음 ",IF(ISNUMBER(C865),IF(C865&lt;1000,"금액 확인 ",""),"금액 확인 "))&amp;IF(AND(B865&lt;&gt;"",COUNTIFS($A$2:$A$1001,A865,$B$2:$B$1001,B865,$C$2:$C$1001,C865)&gt;1),"중복 의심",""))))</f>
        <v/>
      </c>
      <c r="G865" s="25">
        <f>IF(OR(COUNTA(A865:E865)=0,OR(ISNUMBER(SEARCH("소계",B865)),ISNUMBER(SEARCH("합계",B865)))),"",1+COUNTIF($B$1:B864,"*소계*"))</f>
        <v/>
      </c>
      <c r="H865">
        <f>IF(AND(A865&lt;&gt;"",A865=가족별!$B$1,G865&lt;&gt;""),COUNTIFS($A$2:A865,가족별!$B$1,$G$2:G865,"&gt;0"),"")</f>
        <v/>
      </c>
      <c r="I865">
        <f>IF(ISNUMBER(SEARCH("소계",B865)),COUNTIF($B$2:B865,"*소계*"),"")</f>
        <v/>
      </c>
      <c r="J865">
        <f>IF(F865="",0,1)</f>
        <v/>
      </c>
    </row>
    <row r="866">
      <c r="A866" s="41" t="n"/>
      <c r="B866" s="41" t="n"/>
      <c r="C866" s="24" t="n"/>
      <c r="D866" s="41" t="n"/>
      <c r="E866" s="41" t="n"/>
      <c r="F866" s="19">
        <f>IF(COUNTA(A866:E866)=0,"",IF(OR(ISNUMBER(SEARCH("소계",B866)),ISNUMBER(SEARCH("합계",B866))),"",TRIM(IF(B866="","이름 없음 ","")&amp;IF(A866="","받은 가족 없음 ","")&amp;IF(C866="","금액 없음 ",IF(ISNUMBER(C866),IF(C866&lt;1000,"금액 확인 ",""),"금액 확인 "))&amp;IF(AND(B866&lt;&gt;"",COUNTIFS($A$2:$A$1001,A866,$B$2:$B$1001,B866,$C$2:$C$1001,C866)&gt;1),"중복 의심",""))))</f>
        <v/>
      </c>
      <c r="G866" s="25">
        <f>IF(OR(COUNTA(A866:E866)=0,OR(ISNUMBER(SEARCH("소계",B866)),ISNUMBER(SEARCH("합계",B866)))),"",1+COUNTIF($B$1:B865,"*소계*"))</f>
        <v/>
      </c>
      <c r="H866">
        <f>IF(AND(A866&lt;&gt;"",A866=가족별!$B$1,G866&lt;&gt;""),COUNTIFS($A$2:A866,가족별!$B$1,$G$2:G866,"&gt;0"),"")</f>
        <v/>
      </c>
      <c r="I866">
        <f>IF(ISNUMBER(SEARCH("소계",B866)),COUNTIF($B$2:B866,"*소계*"),"")</f>
        <v/>
      </c>
      <c r="J866">
        <f>IF(F866="",0,1)</f>
        <v/>
      </c>
    </row>
    <row r="867">
      <c r="A867" s="41" t="n"/>
      <c r="B867" s="41" t="n"/>
      <c r="C867" s="24" t="n"/>
      <c r="D867" s="41" t="n"/>
      <c r="E867" s="41" t="n"/>
      <c r="F867" s="19">
        <f>IF(COUNTA(A867:E867)=0,"",IF(OR(ISNUMBER(SEARCH("소계",B867)),ISNUMBER(SEARCH("합계",B867))),"",TRIM(IF(B867="","이름 없음 ","")&amp;IF(A867="","받은 가족 없음 ","")&amp;IF(C867="","금액 없음 ",IF(ISNUMBER(C867),IF(C867&lt;1000,"금액 확인 ",""),"금액 확인 "))&amp;IF(AND(B867&lt;&gt;"",COUNTIFS($A$2:$A$1001,A867,$B$2:$B$1001,B867,$C$2:$C$1001,C867)&gt;1),"중복 의심",""))))</f>
        <v/>
      </c>
      <c r="G867" s="25">
        <f>IF(OR(COUNTA(A867:E867)=0,OR(ISNUMBER(SEARCH("소계",B867)),ISNUMBER(SEARCH("합계",B867)))),"",1+COUNTIF($B$1:B866,"*소계*"))</f>
        <v/>
      </c>
      <c r="H867">
        <f>IF(AND(A867&lt;&gt;"",A867=가족별!$B$1,G867&lt;&gt;""),COUNTIFS($A$2:A867,가족별!$B$1,$G$2:G867,"&gt;0"),"")</f>
        <v/>
      </c>
      <c r="I867">
        <f>IF(ISNUMBER(SEARCH("소계",B867)),COUNTIF($B$2:B867,"*소계*"),"")</f>
        <v/>
      </c>
      <c r="J867">
        <f>IF(F867="",0,1)</f>
        <v/>
      </c>
    </row>
    <row r="868">
      <c r="A868" s="41" t="n"/>
      <c r="B868" s="41" t="n"/>
      <c r="C868" s="24" t="n"/>
      <c r="D868" s="41" t="n"/>
      <c r="E868" s="41" t="n"/>
      <c r="F868" s="19">
        <f>IF(COUNTA(A868:E868)=0,"",IF(OR(ISNUMBER(SEARCH("소계",B868)),ISNUMBER(SEARCH("합계",B868))),"",TRIM(IF(B868="","이름 없음 ","")&amp;IF(A868="","받은 가족 없음 ","")&amp;IF(C868="","금액 없음 ",IF(ISNUMBER(C868),IF(C868&lt;1000,"금액 확인 ",""),"금액 확인 "))&amp;IF(AND(B868&lt;&gt;"",COUNTIFS($A$2:$A$1001,A868,$B$2:$B$1001,B868,$C$2:$C$1001,C868)&gt;1),"중복 의심",""))))</f>
        <v/>
      </c>
      <c r="G868" s="25">
        <f>IF(OR(COUNTA(A868:E868)=0,OR(ISNUMBER(SEARCH("소계",B868)),ISNUMBER(SEARCH("합계",B868)))),"",1+COUNTIF($B$1:B867,"*소계*"))</f>
        <v/>
      </c>
      <c r="H868">
        <f>IF(AND(A868&lt;&gt;"",A868=가족별!$B$1,G868&lt;&gt;""),COUNTIFS($A$2:A868,가족별!$B$1,$G$2:G868,"&gt;0"),"")</f>
        <v/>
      </c>
      <c r="I868">
        <f>IF(ISNUMBER(SEARCH("소계",B868)),COUNTIF($B$2:B868,"*소계*"),"")</f>
        <v/>
      </c>
      <c r="J868">
        <f>IF(F868="",0,1)</f>
        <v/>
      </c>
    </row>
    <row r="869">
      <c r="A869" s="41" t="n"/>
      <c r="B869" s="41" t="n"/>
      <c r="C869" s="24" t="n"/>
      <c r="D869" s="41" t="n"/>
      <c r="E869" s="41" t="n"/>
      <c r="F869" s="19">
        <f>IF(COUNTA(A869:E869)=0,"",IF(OR(ISNUMBER(SEARCH("소계",B869)),ISNUMBER(SEARCH("합계",B869))),"",TRIM(IF(B869="","이름 없음 ","")&amp;IF(A869="","받은 가족 없음 ","")&amp;IF(C869="","금액 없음 ",IF(ISNUMBER(C869),IF(C869&lt;1000,"금액 확인 ",""),"금액 확인 "))&amp;IF(AND(B869&lt;&gt;"",COUNTIFS($A$2:$A$1001,A869,$B$2:$B$1001,B869,$C$2:$C$1001,C869)&gt;1),"중복 의심",""))))</f>
        <v/>
      </c>
      <c r="G869" s="25">
        <f>IF(OR(COUNTA(A869:E869)=0,OR(ISNUMBER(SEARCH("소계",B869)),ISNUMBER(SEARCH("합계",B869)))),"",1+COUNTIF($B$1:B868,"*소계*"))</f>
        <v/>
      </c>
      <c r="H869">
        <f>IF(AND(A869&lt;&gt;"",A869=가족별!$B$1,G869&lt;&gt;""),COUNTIFS($A$2:A869,가족별!$B$1,$G$2:G869,"&gt;0"),"")</f>
        <v/>
      </c>
      <c r="I869">
        <f>IF(ISNUMBER(SEARCH("소계",B869)),COUNTIF($B$2:B869,"*소계*"),"")</f>
        <v/>
      </c>
      <c r="J869">
        <f>IF(F869="",0,1)</f>
        <v/>
      </c>
    </row>
    <row r="870">
      <c r="A870" s="41" t="n"/>
      <c r="B870" s="41" t="n"/>
      <c r="C870" s="24" t="n"/>
      <c r="D870" s="41" t="n"/>
      <c r="E870" s="41" t="n"/>
      <c r="F870" s="19">
        <f>IF(COUNTA(A870:E870)=0,"",IF(OR(ISNUMBER(SEARCH("소계",B870)),ISNUMBER(SEARCH("합계",B870))),"",TRIM(IF(B870="","이름 없음 ","")&amp;IF(A870="","받은 가족 없음 ","")&amp;IF(C870="","금액 없음 ",IF(ISNUMBER(C870),IF(C870&lt;1000,"금액 확인 ",""),"금액 확인 "))&amp;IF(AND(B870&lt;&gt;"",COUNTIFS($A$2:$A$1001,A870,$B$2:$B$1001,B870,$C$2:$C$1001,C870)&gt;1),"중복 의심",""))))</f>
        <v/>
      </c>
      <c r="G870" s="25">
        <f>IF(OR(COUNTA(A870:E870)=0,OR(ISNUMBER(SEARCH("소계",B870)),ISNUMBER(SEARCH("합계",B870)))),"",1+COUNTIF($B$1:B869,"*소계*"))</f>
        <v/>
      </c>
      <c r="H870">
        <f>IF(AND(A870&lt;&gt;"",A870=가족별!$B$1,G870&lt;&gt;""),COUNTIFS($A$2:A870,가족별!$B$1,$G$2:G870,"&gt;0"),"")</f>
        <v/>
      </c>
      <c r="I870">
        <f>IF(ISNUMBER(SEARCH("소계",B870)),COUNTIF($B$2:B870,"*소계*"),"")</f>
        <v/>
      </c>
      <c r="J870">
        <f>IF(F870="",0,1)</f>
        <v/>
      </c>
    </row>
    <row r="871">
      <c r="A871" s="41" t="n"/>
      <c r="B871" s="41" t="n"/>
      <c r="C871" s="24" t="n"/>
      <c r="D871" s="41" t="n"/>
      <c r="E871" s="41" t="n"/>
      <c r="F871" s="19">
        <f>IF(COUNTA(A871:E871)=0,"",IF(OR(ISNUMBER(SEARCH("소계",B871)),ISNUMBER(SEARCH("합계",B871))),"",TRIM(IF(B871="","이름 없음 ","")&amp;IF(A871="","받은 가족 없음 ","")&amp;IF(C871="","금액 없음 ",IF(ISNUMBER(C871),IF(C871&lt;1000,"금액 확인 ",""),"금액 확인 "))&amp;IF(AND(B871&lt;&gt;"",COUNTIFS($A$2:$A$1001,A871,$B$2:$B$1001,B871,$C$2:$C$1001,C871)&gt;1),"중복 의심",""))))</f>
        <v/>
      </c>
      <c r="G871" s="25">
        <f>IF(OR(COUNTA(A871:E871)=0,OR(ISNUMBER(SEARCH("소계",B871)),ISNUMBER(SEARCH("합계",B871)))),"",1+COUNTIF($B$1:B870,"*소계*"))</f>
        <v/>
      </c>
      <c r="H871">
        <f>IF(AND(A871&lt;&gt;"",A871=가족별!$B$1,G871&lt;&gt;""),COUNTIFS($A$2:A871,가족별!$B$1,$G$2:G871,"&gt;0"),"")</f>
        <v/>
      </c>
      <c r="I871">
        <f>IF(ISNUMBER(SEARCH("소계",B871)),COUNTIF($B$2:B871,"*소계*"),"")</f>
        <v/>
      </c>
      <c r="J871">
        <f>IF(F871="",0,1)</f>
        <v/>
      </c>
    </row>
    <row r="872">
      <c r="A872" s="41" t="n"/>
      <c r="B872" s="41" t="n"/>
      <c r="C872" s="24" t="n"/>
      <c r="D872" s="41" t="n"/>
      <c r="E872" s="41" t="n"/>
      <c r="F872" s="19">
        <f>IF(COUNTA(A872:E872)=0,"",IF(OR(ISNUMBER(SEARCH("소계",B872)),ISNUMBER(SEARCH("합계",B872))),"",TRIM(IF(B872="","이름 없음 ","")&amp;IF(A872="","받은 가족 없음 ","")&amp;IF(C872="","금액 없음 ",IF(ISNUMBER(C872),IF(C872&lt;1000,"금액 확인 ",""),"금액 확인 "))&amp;IF(AND(B872&lt;&gt;"",COUNTIFS($A$2:$A$1001,A872,$B$2:$B$1001,B872,$C$2:$C$1001,C872)&gt;1),"중복 의심",""))))</f>
        <v/>
      </c>
      <c r="G872" s="25">
        <f>IF(OR(COUNTA(A872:E872)=0,OR(ISNUMBER(SEARCH("소계",B872)),ISNUMBER(SEARCH("합계",B872)))),"",1+COUNTIF($B$1:B871,"*소계*"))</f>
        <v/>
      </c>
      <c r="H872">
        <f>IF(AND(A872&lt;&gt;"",A872=가족별!$B$1,G872&lt;&gt;""),COUNTIFS($A$2:A872,가족별!$B$1,$G$2:G872,"&gt;0"),"")</f>
        <v/>
      </c>
      <c r="I872">
        <f>IF(ISNUMBER(SEARCH("소계",B872)),COUNTIF($B$2:B872,"*소계*"),"")</f>
        <v/>
      </c>
      <c r="J872">
        <f>IF(F872="",0,1)</f>
        <v/>
      </c>
    </row>
    <row r="873">
      <c r="A873" s="41" t="n"/>
      <c r="B873" s="41" t="n"/>
      <c r="C873" s="24" t="n"/>
      <c r="D873" s="41" t="n"/>
      <c r="E873" s="41" t="n"/>
      <c r="F873" s="19">
        <f>IF(COUNTA(A873:E873)=0,"",IF(OR(ISNUMBER(SEARCH("소계",B873)),ISNUMBER(SEARCH("합계",B873))),"",TRIM(IF(B873="","이름 없음 ","")&amp;IF(A873="","받은 가족 없음 ","")&amp;IF(C873="","금액 없음 ",IF(ISNUMBER(C873),IF(C873&lt;1000,"금액 확인 ",""),"금액 확인 "))&amp;IF(AND(B873&lt;&gt;"",COUNTIFS($A$2:$A$1001,A873,$B$2:$B$1001,B873,$C$2:$C$1001,C873)&gt;1),"중복 의심",""))))</f>
        <v/>
      </c>
      <c r="G873" s="25">
        <f>IF(OR(COUNTA(A873:E873)=0,OR(ISNUMBER(SEARCH("소계",B873)),ISNUMBER(SEARCH("합계",B873)))),"",1+COUNTIF($B$1:B872,"*소계*"))</f>
        <v/>
      </c>
      <c r="H873">
        <f>IF(AND(A873&lt;&gt;"",A873=가족별!$B$1,G873&lt;&gt;""),COUNTIFS($A$2:A873,가족별!$B$1,$G$2:G873,"&gt;0"),"")</f>
        <v/>
      </c>
      <c r="I873">
        <f>IF(ISNUMBER(SEARCH("소계",B873)),COUNTIF($B$2:B873,"*소계*"),"")</f>
        <v/>
      </c>
      <c r="J873">
        <f>IF(F873="",0,1)</f>
        <v/>
      </c>
    </row>
    <row r="874">
      <c r="A874" s="41" t="n"/>
      <c r="B874" s="41" t="n"/>
      <c r="C874" s="24" t="n"/>
      <c r="D874" s="41" t="n"/>
      <c r="E874" s="41" t="n"/>
      <c r="F874" s="19">
        <f>IF(COUNTA(A874:E874)=0,"",IF(OR(ISNUMBER(SEARCH("소계",B874)),ISNUMBER(SEARCH("합계",B874))),"",TRIM(IF(B874="","이름 없음 ","")&amp;IF(A874="","받은 가족 없음 ","")&amp;IF(C874="","금액 없음 ",IF(ISNUMBER(C874),IF(C874&lt;1000,"금액 확인 ",""),"금액 확인 "))&amp;IF(AND(B874&lt;&gt;"",COUNTIFS($A$2:$A$1001,A874,$B$2:$B$1001,B874,$C$2:$C$1001,C874)&gt;1),"중복 의심",""))))</f>
        <v/>
      </c>
      <c r="G874" s="25">
        <f>IF(OR(COUNTA(A874:E874)=0,OR(ISNUMBER(SEARCH("소계",B874)),ISNUMBER(SEARCH("합계",B874)))),"",1+COUNTIF($B$1:B873,"*소계*"))</f>
        <v/>
      </c>
      <c r="H874">
        <f>IF(AND(A874&lt;&gt;"",A874=가족별!$B$1,G874&lt;&gt;""),COUNTIFS($A$2:A874,가족별!$B$1,$G$2:G874,"&gt;0"),"")</f>
        <v/>
      </c>
      <c r="I874">
        <f>IF(ISNUMBER(SEARCH("소계",B874)),COUNTIF($B$2:B874,"*소계*"),"")</f>
        <v/>
      </c>
      <c r="J874">
        <f>IF(F874="",0,1)</f>
        <v/>
      </c>
    </row>
    <row r="875">
      <c r="A875" s="41" t="n"/>
      <c r="B875" s="41" t="n"/>
      <c r="C875" s="24" t="n"/>
      <c r="D875" s="41" t="n"/>
      <c r="E875" s="41" t="n"/>
      <c r="F875" s="19">
        <f>IF(COUNTA(A875:E875)=0,"",IF(OR(ISNUMBER(SEARCH("소계",B875)),ISNUMBER(SEARCH("합계",B875))),"",TRIM(IF(B875="","이름 없음 ","")&amp;IF(A875="","받은 가족 없음 ","")&amp;IF(C875="","금액 없음 ",IF(ISNUMBER(C875),IF(C875&lt;1000,"금액 확인 ",""),"금액 확인 "))&amp;IF(AND(B875&lt;&gt;"",COUNTIFS($A$2:$A$1001,A875,$B$2:$B$1001,B875,$C$2:$C$1001,C875)&gt;1),"중복 의심",""))))</f>
        <v/>
      </c>
      <c r="G875" s="25">
        <f>IF(OR(COUNTA(A875:E875)=0,OR(ISNUMBER(SEARCH("소계",B875)),ISNUMBER(SEARCH("합계",B875)))),"",1+COUNTIF($B$1:B874,"*소계*"))</f>
        <v/>
      </c>
      <c r="H875">
        <f>IF(AND(A875&lt;&gt;"",A875=가족별!$B$1,G875&lt;&gt;""),COUNTIFS($A$2:A875,가족별!$B$1,$G$2:G875,"&gt;0"),"")</f>
        <v/>
      </c>
      <c r="I875">
        <f>IF(ISNUMBER(SEARCH("소계",B875)),COUNTIF($B$2:B875,"*소계*"),"")</f>
        <v/>
      </c>
      <c r="J875">
        <f>IF(F875="",0,1)</f>
        <v/>
      </c>
    </row>
    <row r="876">
      <c r="A876" s="41" t="n"/>
      <c r="B876" s="41" t="n"/>
      <c r="C876" s="24" t="n"/>
      <c r="D876" s="41" t="n"/>
      <c r="E876" s="41" t="n"/>
      <c r="F876" s="19">
        <f>IF(COUNTA(A876:E876)=0,"",IF(OR(ISNUMBER(SEARCH("소계",B876)),ISNUMBER(SEARCH("합계",B876))),"",TRIM(IF(B876="","이름 없음 ","")&amp;IF(A876="","받은 가족 없음 ","")&amp;IF(C876="","금액 없음 ",IF(ISNUMBER(C876),IF(C876&lt;1000,"금액 확인 ",""),"금액 확인 "))&amp;IF(AND(B876&lt;&gt;"",COUNTIFS($A$2:$A$1001,A876,$B$2:$B$1001,B876,$C$2:$C$1001,C876)&gt;1),"중복 의심",""))))</f>
        <v/>
      </c>
      <c r="G876" s="25">
        <f>IF(OR(COUNTA(A876:E876)=0,OR(ISNUMBER(SEARCH("소계",B876)),ISNUMBER(SEARCH("합계",B876)))),"",1+COUNTIF($B$1:B875,"*소계*"))</f>
        <v/>
      </c>
      <c r="H876">
        <f>IF(AND(A876&lt;&gt;"",A876=가족별!$B$1,G876&lt;&gt;""),COUNTIFS($A$2:A876,가족별!$B$1,$G$2:G876,"&gt;0"),"")</f>
        <v/>
      </c>
      <c r="I876">
        <f>IF(ISNUMBER(SEARCH("소계",B876)),COUNTIF($B$2:B876,"*소계*"),"")</f>
        <v/>
      </c>
      <c r="J876">
        <f>IF(F876="",0,1)</f>
        <v/>
      </c>
    </row>
    <row r="877">
      <c r="A877" s="41" t="n"/>
      <c r="B877" s="41" t="n"/>
      <c r="C877" s="24" t="n"/>
      <c r="D877" s="41" t="n"/>
      <c r="E877" s="41" t="n"/>
      <c r="F877" s="19">
        <f>IF(COUNTA(A877:E877)=0,"",IF(OR(ISNUMBER(SEARCH("소계",B877)),ISNUMBER(SEARCH("합계",B877))),"",TRIM(IF(B877="","이름 없음 ","")&amp;IF(A877="","받은 가족 없음 ","")&amp;IF(C877="","금액 없음 ",IF(ISNUMBER(C877),IF(C877&lt;1000,"금액 확인 ",""),"금액 확인 "))&amp;IF(AND(B877&lt;&gt;"",COUNTIFS($A$2:$A$1001,A877,$B$2:$B$1001,B877,$C$2:$C$1001,C877)&gt;1),"중복 의심",""))))</f>
        <v/>
      </c>
      <c r="G877" s="25">
        <f>IF(OR(COUNTA(A877:E877)=0,OR(ISNUMBER(SEARCH("소계",B877)),ISNUMBER(SEARCH("합계",B877)))),"",1+COUNTIF($B$1:B876,"*소계*"))</f>
        <v/>
      </c>
      <c r="H877">
        <f>IF(AND(A877&lt;&gt;"",A877=가족별!$B$1,G877&lt;&gt;""),COUNTIFS($A$2:A877,가족별!$B$1,$G$2:G877,"&gt;0"),"")</f>
        <v/>
      </c>
      <c r="I877">
        <f>IF(ISNUMBER(SEARCH("소계",B877)),COUNTIF($B$2:B877,"*소계*"),"")</f>
        <v/>
      </c>
      <c r="J877">
        <f>IF(F877="",0,1)</f>
        <v/>
      </c>
    </row>
    <row r="878">
      <c r="A878" s="41" t="n"/>
      <c r="B878" s="41" t="n"/>
      <c r="C878" s="24" t="n"/>
      <c r="D878" s="41" t="n"/>
      <c r="E878" s="41" t="n"/>
      <c r="F878" s="19">
        <f>IF(COUNTA(A878:E878)=0,"",IF(OR(ISNUMBER(SEARCH("소계",B878)),ISNUMBER(SEARCH("합계",B878))),"",TRIM(IF(B878="","이름 없음 ","")&amp;IF(A878="","받은 가족 없음 ","")&amp;IF(C878="","금액 없음 ",IF(ISNUMBER(C878),IF(C878&lt;1000,"금액 확인 ",""),"금액 확인 "))&amp;IF(AND(B878&lt;&gt;"",COUNTIFS($A$2:$A$1001,A878,$B$2:$B$1001,B878,$C$2:$C$1001,C878)&gt;1),"중복 의심",""))))</f>
        <v/>
      </c>
      <c r="G878" s="25">
        <f>IF(OR(COUNTA(A878:E878)=0,OR(ISNUMBER(SEARCH("소계",B878)),ISNUMBER(SEARCH("합계",B878)))),"",1+COUNTIF($B$1:B877,"*소계*"))</f>
        <v/>
      </c>
      <c r="H878">
        <f>IF(AND(A878&lt;&gt;"",A878=가족별!$B$1,G878&lt;&gt;""),COUNTIFS($A$2:A878,가족별!$B$1,$G$2:G878,"&gt;0"),"")</f>
        <v/>
      </c>
      <c r="I878">
        <f>IF(ISNUMBER(SEARCH("소계",B878)),COUNTIF($B$2:B878,"*소계*"),"")</f>
        <v/>
      </c>
      <c r="J878">
        <f>IF(F878="",0,1)</f>
        <v/>
      </c>
    </row>
    <row r="879">
      <c r="A879" s="41" t="n"/>
      <c r="B879" s="41" t="n"/>
      <c r="C879" s="24" t="n"/>
      <c r="D879" s="41" t="n"/>
      <c r="E879" s="41" t="n"/>
      <c r="F879" s="19">
        <f>IF(COUNTA(A879:E879)=0,"",IF(OR(ISNUMBER(SEARCH("소계",B879)),ISNUMBER(SEARCH("합계",B879))),"",TRIM(IF(B879="","이름 없음 ","")&amp;IF(A879="","받은 가족 없음 ","")&amp;IF(C879="","금액 없음 ",IF(ISNUMBER(C879),IF(C879&lt;1000,"금액 확인 ",""),"금액 확인 "))&amp;IF(AND(B879&lt;&gt;"",COUNTIFS($A$2:$A$1001,A879,$B$2:$B$1001,B879,$C$2:$C$1001,C879)&gt;1),"중복 의심",""))))</f>
        <v/>
      </c>
      <c r="G879" s="25">
        <f>IF(OR(COUNTA(A879:E879)=0,OR(ISNUMBER(SEARCH("소계",B879)),ISNUMBER(SEARCH("합계",B879)))),"",1+COUNTIF($B$1:B878,"*소계*"))</f>
        <v/>
      </c>
      <c r="H879">
        <f>IF(AND(A879&lt;&gt;"",A879=가족별!$B$1,G879&lt;&gt;""),COUNTIFS($A$2:A879,가족별!$B$1,$G$2:G879,"&gt;0"),"")</f>
        <v/>
      </c>
      <c r="I879">
        <f>IF(ISNUMBER(SEARCH("소계",B879)),COUNTIF($B$2:B879,"*소계*"),"")</f>
        <v/>
      </c>
      <c r="J879">
        <f>IF(F879="",0,1)</f>
        <v/>
      </c>
    </row>
    <row r="880">
      <c r="A880" s="41" t="n"/>
      <c r="B880" s="41" t="n"/>
      <c r="C880" s="24" t="n"/>
      <c r="D880" s="41" t="n"/>
      <c r="E880" s="41" t="n"/>
      <c r="F880" s="19">
        <f>IF(COUNTA(A880:E880)=0,"",IF(OR(ISNUMBER(SEARCH("소계",B880)),ISNUMBER(SEARCH("합계",B880))),"",TRIM(IF(B880="","이름 없음 ","")&amp;IF(A880="","받은 가족 없음 ","")&amp;IF(C880="","금액 없음 ",IF(ISNUMBER(C880),IF(C880&lt;1000,"금액 확인 ",""),"금액 확인 "))&amp;IF(AND(B880&lt;&gt;"",COUNTIFS($A$2:$A$1001,A880,$B$2:$B$1001,B880,$C$2:$C$1001,C880)&gt;1),"중복 의심",""))))</f>
        <v/>
      </c>
      <c r="G880" s="25">
        <f>IF(OR(COUNTA(A880:E880)=0,OR(ISNUMBER(SEARCH("소계",B880)),ISNUMBER(SEARCH("합계",B880)))),"",1+COUNTIF($B$1:B879,"*소계*"))</f>
        <v/>
      </c>
      <c r="H880">
        <f>IF(AND(A880&lt;&gt;"",A880=가족별!$B$1,G880&lt;&gt;""),COUNTIFS($A$2:A880,가족별!$B$1,$G$2:G880,"&gt;0"),"")</f>
        <v/>
      </c>
      <c r="I880">
        <f>IF(ISNUMBER(SEARCH("소계",B880)),COUNTIF($B$2:B880,"*소계*"),"")</f>
        <v/>
      </c>
      <c r="J880">
        <f>IF(F880="",0,1)</f>
        <v/>
      </c>
    </row>
    <row r="881">
      <c r="A881" s="41" t="n"/>
      <c r="B881" s="41" t="n"/>
      <c r="C881" s="24" t="n"/>
      <c r="D881" s="41" t="n"/>
      <c r="E881" s="41" t="n"/>
      <c r="F881" s="19">
        <f>IF(COUNTA(A881:E881)=0,"",IF(OR(ISNUMBER(SEARCH("소계",B881)),ISNUMBER(SEARCH("합계",B881))),"",TRIM(IF(B881="","이름 없음 ","")&amp;IF(A881="","받은 가족 없음 ","")&amp;IF(C881="","금액 없음 ",IF(ISNUMBER(C881),IF(C881&lt;1000,"금액 확인 ",""),"금액 확인 "))&amp;IF(AND(B881&lt;&gt;"",COUNTIFS($A$2:$A$1001,A881,$B$2:$B$1001,B881,$C$2:$C$1001,C881)&gt;1),"중복 의심",""))))</f>
        <v/>
      </c>
      <c r="G881" s="25">
        <f>IF(OR(COUNTA(A881:E881)=0,OR(ISNUMBER(SEARCH("소계",B881)),ISNUMBER(SEARCH("합계",B881)))),"",1+COUNTIF($B$1:B880,"*소계*"))</f>
        <v/>
      </c>
      <c r="H881">
        <f>IF(AND(A881&lt;&gt;"",A881=가족별!$B$1,G881&lt;&gt;""),COUNTIFS($A$2:A881,가족별!$B$1,$G$2:G881,"&gt;0"),"")</f>
        <v/>
      </c>
      <c r="I881">
        <f>IF(ISNUMBER(SEARCH("소계",B881)),COUNTIF($B$2:B881,"*소계*"),"")</f>
        <v/>
      </c>
      <c r="J881">
        <f>IF(F881="",0,1)</f>
        <v/>
      </c>
    </row>
    <row r="882">
      <c r="A882" s="41" t="n"/>
      <c r="B882" s="41" t="n"/>
      <c r="C882" s="24" t="n"/>
      <c r="D882" s="41" t="n"/>
      <c r="E882" s="41" t="n"/>
      <c r="F882" s="19">
        <f>IF(COUNTA(A882:E882)=0,"",IF(OR(ISNUMBER(SEARCH("소계",B882)),ISNUMBER(SEARCH("합계",B882))),"",TRIM(IF(B882="","이름 없음 ","")&amp;IF(A882="","받은 가족 없음 ","")&amp;IF(C882="","금액 없음 ",IF(ISNUMBER(C882),IF(C882&lt;1000,"금액 확인 ",""),"금액 확인 "))&amp;IF(AND(B882&lt;&gt;"",COUNTIFS($A$2:$A$1001,A882,$B$2:$B$1001,B882,$C$2:$C$1001,C882)&gt;1),"중복 의심",""))))</f>
        <v/>
      </c>
      <c r="G882" s="25">
        <f>IF(OR(COUNTA(A882:E882)=0,OR(ISNUMBER(SEARCH("소계",B882)),ISNUMBER(SEARCH("합계",B882)))),"",1+COUNTIF($B$1:B881,"*소계*"))</f>
        <v/>
      </c>
      <c r="H882">
        <f>IF(AND(A882&lt;&gt;"",A882=가족별!$B$1,G882&lt;&gt;""),COUNTIFS($A$2:A882,가족별!$B$1,$G$2:G882,"&gt;0"),"")</f>
        <v/>
      </c>
      <c r="I882">
        <f>IF(ISNUMBER(SEARCH("소계",B882)),COUNTIF($B$2:B882,"*소계*"),"")</f>
        <v/>
      </c>
      <c r="J882">
        <f>IF(F882="",0,1)</f>
        <v/>
      </c>
    </row>
    <row r="883">
      <c r="A883" s="41" t="n"/>
      <c r="B883" s="41" t="n"/>
      <c r="C883" s="24" t="n"/>
      <c r="D883" s="41" t="n"/>
      <c r="E883" s="41" t="n"/>
      <c r="F883" s="19">
        <f>IF(COUNTA(A883:E883)=0,"",IF(OR(ISNUMBER(SEARCH("소계",B883)),ISNUMBER(SEARCH("합계",B883))),"",TRIM(IF(B883="","이름 없음 ","")&amp;IF(A883="","받은 가족 없음 ","")&amp;IF(C883="","금액 없음 ",IF(ISNUMBER(C883),IF(C883&lt;1000,"금액 확인 ",""),"금액 확인 "))&amp;IF(AND(B883&lt;&gt;"",COUNTIFS($A$2:$A$1001,A883,$B$2:$B$1001,B883,$C$2:$C$1001,C883)&gt;1),"중복 의심",""))))</f>
        <v/>
      </c>
      <c r="G883" s="25">
        <f>IF(OR(COUNTA(A883:E883)=0,OR(ISNUMBER(SEARCH("소계",B883)),ISNUMBER(SEARCH("합계",B883)))),"",1+COUNTIF($B$1:B882,"*소계*"))</f>
        <v/>
      </c>
      <c r="H883">
        <f>IF(AND(A883&lt;&gt;"",A883=가족별!$B$1,G883&lt;&gt;""),COUNTIFS($A$2:A883,가족별!$B$1,$G$2:G883,"&gt;0"),"")</f>
        <v/>
      </c>
      <c r="I883">
        <f>IF(ISNUMBER(SEARCH("소계",B883)),COUNTIF($B$2:B883,"*소계*"),"")</f>
        <v/>
      </c>
      <c r="J883">
        <f>IF(F883="",0,1)</f>
        <v/>
      </c>
    </row>
    <row r="884">
      <c r="A884" s="41" t="n"/>
      <c r="B884" s="41" t="n"/>
      <c r="C884" s="24" t="n"/>
      <c r="D884" s="41" t="n"/>
      <c r="E884" s="41" t="n"/>
      <c r="F884" s="19">
        <f>IF(COUNTA(A884:E884)=0,"",IF(OR(ISNUMBER(SEARCH("소계",B884)),ISNUMBER(SEARCH("합계",B884))),"",TRIM(IF(B884="","이름 없음 ","")&amp;IF(A884="","받은 가족 없음 ","")&amp;IF(C884="","금액 없음 ",IF(ISNUMBER(C884),IF(C884&lt;1000,"금액 확인 ",""),"금액 확인 "))&amp;IF(AND(B884&lt;&gt;"",COUNTIFS($A$2:$A$1001,A884,$B$2:$B$1001,B884,$C$2:$C$1001,C884)&gt;1),"중복 의심",""))))</f>
        <v/>
      </c>
      <c r="G884" s="25">
        <f>IF(OR(COUNTA(A884:E884)=0,OR(ISNUMBER(SEARCH("소계",B884)),ISNUMBER(SEARCH("합계",B884)))),"",1+COUNTIF($B$1:B883,"*소계*"))</f>
        <v/>
      </c>
      <c r="H884">
        <f>IF(AND(A884&lt;&gt;"",A884=가족별!$B$1,G884&lt;&gt;""),COUNTIFS($A$2:A884,가족별!$B$1,$G$2:G884,"&gt;0"),"")</f>
        <v/>
      </c>
      <c r="I884">
        <f>IF(ISNUMBER(SEARCH("소계",B884)),COUNTIF($B$2:B884,"*소계*"),"")</f>
        <v/>
      </c>
      <c r="J884">
        <f>IF(F884="",0,1)</f>
        <v/>
      </c>
    </row>
    <row r="885">
      <c r="A885" s="41" t="n"/>
      <c r="B885" s="41" t="n"/>
      <c r="C885" s="24" t="n"/>
      <c r="D885" s="41" t="n"/>
      <c r="E885" s="41" t="n"/>
      <c r="F885" s="19">
        <f>IF(COUNTA(A885:E885)=0,"",IF(OR(ISNUMBER(SEARCH("소계",B885)),ISNUMBER(SEARCH("합계",B885))),"",TRIM(IF(B885="","이름 없음 ","")&amp;IF(A885="","받은 가족 없음 ","")&amp;IF(C885="","금액 없음 ",IF(ISNUMBER(C885),IF(C885&lt;1000,"금액 확인 ",""),"금액 확인 "))&amp;IF(AND(B885&lt;&gt;"",COUNTIFS($A$2:$A$1001,A885,$B$2:$B$1001,B885,$C$2:$C$1001,C885)&gt;1),"중복 의심",""))))</f>
        <v/>
      </c>
      <c r="G885" s="25">
        <f>IF(OR(COUNTA(A885:E885)=0,OR(ISNUMBER(SEARCH("소계",B885)),ISNUMBER(SEARCH("합계",B885)))),"",1+COUNTIF($B$1:B884,"*소계*"))</f>
        <v/>
      </c>
      <c r="H885">
        <f>IF(AND(A885&lt;&gt;"",A885=가족별!$B$1,G885&lt;&gt;""),COUNTIFS($A$2:A885,가족별!$B$1,$G$2:G885,"&gt;0"),"")</f>
        <v/>
      </c>
      <c r="I885">
        <f>IF(ISNUMBER(SEARCH("소계",B885)),COUNTIF($B$2:B885,"*소계*"),"")</f>
        <v/>
      </c>
      <c r="J885">
        <f>IF(F885="",0,1)</f>
        <v/>
      </c>
    </row>
    <row r="886">
      <c r="A886" s="41" t="n"/>
      <c r="B886" s="41" t="n"/>
      <c r="C886" s="24" t="n"/>
      <c r="D886" s="41" t="n"/>
      <c r="E886" s="41" t="n"/>
      <c r="F886" s="19">
        <f>IF(COUNTA(A886:E886)=0,"",IF(OR(ISNUMBER(SEARCH("소계",B886)),ISNUMBER(SEARCH("합계",B886))),"",TRIM(IF(B886="","이름 없음 ","")&amp;IF(A886="","받은 가족 없음 ","")&amp;IF(C886="","금액 없음 ",IF(ISNUMBER(C886),IF(C886&lt;1000,"금액 확인 ",""),"금액 확인 "))&amp;IF(AND(B886&lt;&gt;"",COUNTIFS($A$2:$A$1001,A886,$B$2:$B$1001,B886,$C$2:$C$1001,C886)&gt;1),"중복 의심",""))))</f>
        <v/>
      </c>
      <c r="G886" s="25">
        <f>IF(OR(COUNTA(A886:E886)=0,OR(ISNUMBER(SEARCH("소계",B886)),ISNUMBER(SEARCH("합계",B886)))),"",1+COUNTIF($B$1:B885,"*소계*"))</f>
        <v/>
      </c>
      <c r="H886">
        <f>IF(AND(A886&lt;&gt;"",A886=가족별!$B$1,G886&lt;&gt;""),COUNTIFS($A$2:A886,가족별!$B$1,$G$2:G886,"&gt;0"),"")</f>
        <v/>
      </c>
      <c r="I886">
        <f>IF(ISNUMBER(SEARCH("소계",B886)),COUNTIF($B$2:B886,"*소계*"),"")</f>
        <v/>
      </c>
      <c r="J886">
        <f>IF(F886="",0,1)</f>
        <v/>
      </c>
    </row>
    <row r="887">
      <c r="A887" s="41" t="n"/>
      <c r="B887" s="41" t="n"/>
      <c r="C887" s="24" t="n"/>
      <c r="D887" s="41" t="n"/>
      <c r="E887" s="41" t="n"/>
      <c r="F887" s="19">
        <f>IF(COUNTA(A887:E887)=0,"",IF(OR(ISNUMBER(SEARCH("소계",B887)),ISNUMBER(SEARCH("합계",B887))),"",TRIM(IF(B887="","이름 없음 ","")&amp;IF(A887="","받은 가족 없음 ","")&amp;IF(C887="","금액 없음 ",IF(ISNUMBER(C887),IF(C887&lt;1000,"금액 확인 ",""),"금액 확인 "))&amp;IF(AND(B887&lt;&gt;"",COUNTIFS($A$2:$A$1001,A887,$B$2:$B$1001,B887,$C$2:$C$1001,C887)&gt;1),"중복 의심",""))))</f>
        <v/>
      </c>
      <c r="G887" s="25">
        <f>IF(OR(COUNTA(A887:E887)=0,OR(ISNUMBER(SEARCH("소계",B887)),ISNUMBER(SEARCH("합계",B887)))),"",1+COUNTIF($B$1:B886,"*소계*"))</f>
        <v/>
      </c>
      <c r="H887">
        <f>IF(AND(A887&lt;&gt;"",A887=가족별!$B$1,G887&lt;&gt;""),COUNTIFS($A$2:A887,가족별!$B$1,$G$2:G887,"&gt;0"),"")</f>
        <v/>
      </c>
      <c r="I887">
        <f>IF(ISNUMBER(SEARCH("소계",B887)),COUNTIF($B$2:B887,"*소계*"),"")</f>
        <v/>
      </c>
      <c r="J887">
        <f>IF(F887="",0,1)</f>
        <v/>
      </c>
    </row>
    <row r="888">
      <c r="A888" s="41" t="n"/>
      <c r="B888" s="41" t="n"/>
      <c r="C888" s="24" t="n"/>
      <c r="D888" s="41" t="n"/>
      <c r="E888" s="41" t="n"/>
      <c r="F888" s="19">
        <f>IF(COUNTA(A888:E888)=0,"",IF(OR(ISNUMBER(SEARCH("소계",B888)),ISNUMBER(SEARCH("합계",B888))),"",TRIM(IF(B888="","이름 없음 ","")&amp;IF(A888="","받은 가족 없음 ","")&amp;IF(C888="","금액 없음 ",IF(ISNUMBER(C888),IF(C888&lt;1000,"금액 확인 ",""),"금액 확인 "))&amp;IF(AND(B888&lt;&gt;"",COUNTIFS($A$2:$A$1001,A888,$B$2:$B$1001,B888,$C$2:$C$1001,C888)&gt;1),"중복 의심",""))))</f>
        <v/>
      </c>
      <c r="G888" s="25">
        <f>IF(OR(COUNTA(A888:E888)=0,OR(ISNUMBER(SEARCH("소계",B888)),ISNUMBER(SEARCH("합계",B888)))),"",1+COUNTIF($B$1:B887,"*소계*"))</f>
        <v/>
      </c>
      <c r="H888">
        <f>IF(AND(A888&lt;&gt;"",A888=가족별!$B$1,G888&lt;&gt;""),COUNTIFS($A$2:A888,가족별!$B$1,$G$2:G888,"&gt;0"),"")</f>
        <v/>
      </c>
      <c r="I888">
        <f>IF(ISNUMBER(SEARCH("소계",B888)),COUNTIF($B$2:B888,"*소계*"),"")</f>
        <v/>
      </c>
      <c r="J888">
        <f>IF(F888="",0,1)</f>
        <v/>
      </c>
    </row>
    <row r="889">
      <c r="A889" s="41" t="n"/>
      <c r="B889" s="41" t="n"/>
      <c r="C889" s="24" t="n"/>
      <c r="D889" s="41" t="n"/>
      <c r="E889" s="41" t="n"/>
      <c r="F889" s="19">
        <f>IF(COUNTA(A889:E889)=0,"",IF(OR(ISNUMBER(SEARCH("소계",B889)),ISNUMBER(SEARCH("합계",B889))),"",TRIM(IF(B889="","이름 없음 ","")&amp;IF(A889="","받은 가족 없음 ","")&amp;IF(C889="","금액 없음 ",IF(ISNUMBER(C889),IF(C889&lt;1000,"금액 확인 ",""),"금액 확인 "))&amp;IF(AND(B889&lt;&gt;"",COUNTIFS($A$2:$A$1001,A889,$B$2:$B$1001,B889,$C$2:$C$1001,C889)&gt;1),"중복 의심",""))))</f>
        <v/>
      </c>
      <c r="G889" s="25">
        <f>IF(OR(COUNTA(A889:E889)=0,OR(ISNUMBER(SEARCH("소계",B889)),ISNUMBER(SEARCH("합계",B889)))),"",1+COUNTIF($B$1:B888,"*소계*"))</f>
        <v/>
      </c>
      <c r="H889">
        <f>IF(AND(A889&lt;&gt;"",A889=가족별!$B$1,G889&lt;&gt;""),COUNTIFS($A$2:A889,가족별!$B$1,$G$2:G889,"&gt;0"),"")</f>
        <v/>
      </c>
      <c r="I889">
        <f>IF(ISNUMBER(SEARCH("소계",B889)),COUNTIF($B$2:B889,"*소계*"),"")</f>
        <v/>
      </c>
      <c r="J889">
        <f>IF(F889="",0,1)</f>
        <v/>
      </c>
    </row>
    <row r="890">
      <c r="A890" s="41" t="n"/>
      <c r="B890" s="41" t="n"/>
      <c r="C890" s="24" t="n"/>
      <c r="D890" s="41" t="n"/>
      <c r="E890" s="41" t="n"/>
      <c r="F890" s="19">
        <f>IF(COUNTA(A890:E890)=0,"",IF(OR(ISNUMBER(SEARCH("소계",B890)),ISNUMBER(SEARCH("합계",B890))),"",TRIM(IF(B890="","이름 없음 ","")&amp;IF(A890="","받은 가족 없음 ","")&amp;IF(C890="","금액 없음 ",IF(ISNUMBER(C890),IF(C890&lt;1000,"금액 확인 ",""),"금액 확인 "))&amp;IF(AND(B890&lt;&gt;"",COUNTIFS($A$2:$A$1001,A890,$B$2:$B$1001,B890,$C$2:$C$1001,C890)&gt;1),"중복 의심",""))))</f>
        <v/>
      </c>
      <c r="G890" s="25">
        <f>IF(OR(COUNTA(A890:E890)=0,OR(ISNUMBER(SEARCH("소계",B890)),ISNUMBER(SEARCH("합계",B890)))),"",1+COUNTIF($B$1:B889,"*소계*"))</f>
        <v/>
      </c>
      <c r="H890">
        <f>IF(AND(A890&lt;&gt;"",A890=가족별!$B$1,G890&lt;&gt;""),COUNTIFS($A$2:A890,가족별!$B$1,$G$2:G890,"&gt;0"),"")</f>
        <v/>
      </c>
      <c r="I890">
        <f>IF(ISNUMBER(SEARCH("소계",B890)),COUNTIF($B$2:B890,"*소계*"),"")</f>
        <v/>
      </c>
      <c r="J890">
        <f>IF(F890="",0,1)</f>
        <v/>
      </c>
    </row>
    <row r="891">
      <c r="A891" s="41" t="n"/>
      <c r="B891" s="41" t="n"/>
      <c r="C891" s="24" t="n"/>
      <c r="D891" s="41" t="n"/>
      <c r="E891" s="41" t="n"/>
      <c r="F891" s="19">
        <f>IF(COUNTA(A891:E891)=0,"",IF(OR(ISNUMBER(SEARCH("소계",B891)),ISNUMBER(SEARCH("합계",B891))),"",TRIM(IF(B891="","이름 없음 ","")&amp;IF(A891="","받은 가족 없음 ","")&amp;IF(C891="","금액 없음 ",IF(ISNUMBER(C891),IF(C891&lt;1000,"금액 확인 ",""),"금액 확인 "))&amp;IF(AND(B891&lt;&gt;"",COUNTIFS($A$2:$A$1001,A891,$B$2:$B$1001,B891,$C$2:$C$1001,C891)&gt;1),"중복 의심",""))))</f>
        <v/>
      </c>
      <c r="G891" s="25">
        <f>IF(OR(COUNTA(A891:E891)=0,OR(ISNUMBER(SEARCH("소계",B891)),ISNUMBER(SEARCH("합계",B891)))),"",1+COUNTIF($B$1:B890,"*소계*"))</f>
        <v/>
      </c>
      <c r="H891">
        <f>IF(AND(A891&lt;&gt;"",A891=가족별!$B$1,G891&lt;&gt;""),COUNTIFS($A$2:A891,가족별!$B$1,$G$2:G891,"&gt;0"),"")</f>
        <v/>
      </c>
      <c r="I891">
        <f>IF(ISNUMBER(SEARCH("소계",B891)),COUNTIF($B$2:B891,"*소계*"),"")</f>
        <v/>
      </c>
      <c r="J891">
        <f>IF(F891="",0,1)</f>
        <v/>
      </c>
    </row>
    <row r="892">
      <c r="A892" s="41" t="n"/>
      <c r="B892" s="41" t="n"/>
      <c r="C892" s="24" t="n"/>
      <c r="D892" s="41" t="n"/>
      <c r="E892" s="41" t="n"/>
      <c r="F892" s="19">
        <f>IF(COUNTA(A892:E892)=0,"",IF(OR(ISNUMBER(SEARCH("소계",B892)),ISNUMBER(SEARCH("합계",B892))),"",TRIM(IF(B892="","이름 없음 ","")&amp;IF(A892="","받은 가족 없음 ","")&amp;IF(C892="","금액 없음 ",IF(ISNUMBER(C892),IF(C892&lt;1000,"금액 확인 ",""),"금액 확인 "))&amp;IF(AND(B892&lt;&gt;"",COUNTIFS($A$2:$A$1001,A892,$B$2:$B$1001,B892,$C$2:$C$1001,C892)&gt;1),"중복 의심",""))))</f>
        <v/>
      </c>
      <c r="G892" s="25">
        <f>IF(OR(COUNTA(A892:E892)=0,OR(ISNUMBER(SEARCH("소계",B892)),ISNUMBER(SEARCH("합계",B892)))),"",1+COUNTIF($B$1:B891,"*소계*"))</f>
        <v/>
      </c>
      <c r="H892">
        <f>IF(AND(A892&lt;&gt;"",A892=가족별!$B$1,G892&lt;&gt;""),COUNTIFS($A$2:A892,가족별!$B$1,$G$2:G892,"&gt;0"),"")</f>
        <v/>
      </c>
      <c r="I892">
        <f>IF(ISNUMBER(SEARCH("소계",B892)),COUNTIF($B$2:B892,"*소계*"),"")</f>
        <v/>
      </c>
      <c r="J892">
        <f>IF(F892="",0,1)</f>
        <v/>
      </c>
    </row>
    <row r="893">
      <c r="A893" s="41" t="n"/>
      <c r="B893" s="41" t="n"/>
      <c r="C893" s="24" t="n"/>
      <c r="D893" s="41" t="n"/>
      <c r="E893" s="41" t="n"/>
      <c r="F893" s="19">
        <f>IF(COUNTA(A893:E893)=0,"",IF(OR(ISNUMBER(SEARCH("소계",B893)),ISNUMBER(SEARCH("합계",B893))),"",TRIM(IF(B893="","이름 없음 ","")&amp;IF(A893="","받은 가족 없음 ","")&amp;IF(C893="","금액 없음 ",IF(ISNUMBER(C893),IF(C893&lt;1000,"금액 확인 ",""),"금액 확인 "))&amp;IF(AND(B893&lt;&gt;"",COUNTIFS($A$2:$A$1001,A893,$B$2:$B$1001,B893,$C$2:$C$1001,C893)&gt;1),"중복 의심",""))))</f>
        <v/>
      </c>
      <c r="G893" s="25">
        <f>IF(OR(COUNTA(A893:E893)=0,OR(ISNUMBER(SEARCH("소계",B893)),ISNUMBER(SEARCH("합계",B893)))),"",1+COUNTIF($B$1:B892,"*소계*"))</f>
        <v/>
      </c>
      <c r="H893">
        <f>IF(AND(A893&lt;&gt;"",A893=가족별!$B$1,G893&lt;&gt;""),COUNTIFS($A$2:A893,가족별!$B$1,$G$2:G893,"&gt;0"),"")</f>
        <v/>
      </c>
      <c r="I893">
        <f>IF(ISNUMBER(SEARCH("소계",B893)),COUNTIF($B$2:B893,"*소계*"),"")</f>
        <v/>
      </c>
      <c r="J893">
        <f>IF(F893="",0,1)</f>
        <v/>
      </c>
    </row>
    <row r="894">
      <c r="A894" s="41" t="n"/>
      <c r="B894" s="41" t="n"/>
      <c r="C894" s="24" t="n"/>
      <c r="D894" s="41" t="n"/>
      <c r="E894" s="41" t="n"/>
      <c r="F894" s="19">
        <f>IF(COUNTA(A894:E894)=0,"",IF(OR(ISNUMBER(SEARCH("소계",B894)),ISNUMBER(SEARCH("합계",B894))),"",TRIM(IF(B894="","이름 없음 ","")&amp;IF(A894="","받은 가족 없음 ","")&amp;IF(C894="","금액 없음 ",IF(ISNUMBER(C894),IF(C894&lt;1000,"금액 확인 ",""),"금액 확인 "))&amp;IF(AND(B894&lt;&gt;"",COUNTIFS($A$2:$A$1001,A894,$B$2:$B$1001,B894,$C$2:$C$1001,C894)&gt;1),"중복 의심",""))))</f>
        <v/>
      </c>
      <c r="G894" s="25">
        <f>IF(OR(COUNTA(A894:E894)=0,OR(ISNUMBER(SEARCH("소계",B894)),ISNUMBER(SEARCH("합계",B894)))),"",1+COUNTIF($B$1:B893,"*소계*"))</f>
        <v/>
      </c>
      <c r="H894">
        <f>IF(AND(A894&lt;&gt;"",A894=가족별!$B$1,G894&lt;&gt;""),COUNTIFS($A$2:A894,가족별!$B$1,$G$2:G894,"&gt;0"),"")</f>
        <v/>
      </c>
      <c r="I894">
        <f>IF(ISNUMBER(SEARCH("소계",B894)),COUNTIF($B$2:B894,"*소계*"),"")</f>
        <v/>
      </c>
      <c r="J894">
        <f>IF(F894="",0,1)</f>
        <v/>
      </c>
    </row>
    <row r="895">
      <c r="A895" s="41" t="n"/>
      <c r="B895" s="41" t="n"/>
      <c r="C895" s="24" t="n"/>
      <c r="D895" s="41" t="n"/>
      <c r="E895" s="41" t="n"/>
      <c r="F895" s="19">
        <f>IF(COUNTA(A895:E895)=0,"",IF(OR(ISNUMBER(SEARCH("소계",B895)),ISNUMBER(SEARCH("합계",B895))),"",TRIM(IF(B895="","이름 없음 ","")&amp;IF(A895="","받은 가족 없음 ","")&amp;IF(C895="","금액 없음 ",IF(ISNUMBER(C895),IF(C895&lt;1000,"금액 확인 ",""),"금액 확인 "))&amp;IF(AND(B895&lt;&gt;"",COUNTIFS($A$2:$A$1001,A895,$B$2:$B$1001,B895,$C$2:$C$1001,C895)&gt;1),"중복 의심",""))))</f>
        <v/>
      </c>
      <c r="G895" s="25">
        <f>IF(OR(COUNTA(A895:E895)=0,OR(ISNUMBER(SEARCH("소계",B895)),ISNUMBER(SEARCH("합계",B895)))),"",1+COUNTIF($B$1:B894,"*소계*"))</f>
        <v/>
      </c>
      <c r="H895">
        <f>IF(AND(A895&lt;&gt;"",A895=가족별!$B$1,G895&lt;&gt;""),COUNTIFS($A$2:A895,가족별!$B$1,$G$2:G895,"&gt;0"),"")</f>
        <v/>
      </c>
      <c r="I895">
        <f>IF(ISNUMBER(SEARCH("소계",B895)),COUNTIF($B$2:B895,"*소계*"),"")</f>
        <v/>
      </c>
      <c r="J895">
        <f>IF(F895="",0,1)</f>
        <v/>
      </c>
    </row>
    <row r="896">
      <c r="A896" s="41" t="n"/>
      <c r="B896" s="41" t="n"/>
      <c r="C896" s="24" t="n"/>
      <c r="D896" s="41" t="n"/>
      <c r="E896" s="41" t="n"/>
      <c r="F896" s="19">
        <f>IF(COUNTA(A896:E896)=0,"",IF(OR(ISNUMBER(SEARCH("소계",B896)),ISNUMBER(SEARCH("합계",B896))),"",TRIM(IF(B896="","이름 없음 ","")&amp;IF(A896="","받은 가족 없음 ","")&amp;IF(C896="","금액 없음 ",IF(ISNUMBER(C896),IF(C896&lt;1000,"금액 확인 ",""),"금액 확인 "))&amp;IF(AND(B896&lt;&gt;"",COUNTIFS($A$2:$A$1001,A896,$B$2:$B$1001,B896,$C$2:$C$1001,C896)&gt;1),"중복 의심",""))))</f>
        <v/>
      </c>
      <c r="G896" s="25">
        <f>IF(OR(COUNTA(A896:E896)=0,OR(ISNUMBER(SEARCH("소계",B896)),ISNUMBER(SEARCH("합계",B896)))),"",1+COUNTIF($B$1:B895,"*소계*"))</f>
        <v/>
      </c>
      <c r="H896">
        <f>IF(AND(A896&lt;&gt;"",A896=가족별!$B$1,G896&lt;&gt;""),COUNTIFS($A$2:A896,가족별!$B$1,$G$2:G896,"&gt;0"),"")</f>
        <v/>
      </c>
      <c r="I896">
        <f>IF(ISNUMBER(SEARCH("소계",B896)),COUNTIF($B$2:B896,"*소계*"),"")</f>
        <v/>
      </c>
      <c r="J896">
        <f>IF(F896="",0,1)</f>
        <v/>
      </c>
    </row>
    <row r="897">
      <c r="A897" s="41" t="n"/>
      <c r="B897" s="41" t="n"/>
      <c r="C897" s="24" t="n"/>
      <c r="D897" s="41" t="n"/>
      <c r="E897" s="41" t="n"/>
      <c r="F897" s="19">
        <f>IF(COUNTA(A897:E897)=0,"",IF(OR(ISNUMBER(SEARCH("소계",B897)),ISNUMBER(SEARCH("합계",B897))),"",TRIM(IF(B897="","이름 없음 ","")&amp;IF(A897="","받은 가족 없음 ","")&amp;IF(C897="","금액 없음 ",IF(ISNUMBER(C897),IF(C897&lt;1000,"금액 확인 ",""),"금액 확인 "))&amp;IF(AND(B897&lt;&gt;"",COUNTIFS($A$2:$A$1001,A897,$B$2:$B$1001,B897,$C$2:$C$1001,C897)&gt;1),"중복 의심",""))))</f>
        <v/>
      </c>
      <c r="G897" s="25">
        <f>IF(OR(COUNTA(A897:E897)=0,OR(ISNUMBER(SEARCH("소계",B897)),ISNUMBER(SEARCH("합계",B897)))),"",1+COUNTIF($B$1:B896,"*소계*"))</f>
        <v/>
      </c>
      <c r="H897">
        <f>IF(AND(A897&lt;&gt;"",A897=가족별!$B$1,G897&lt;&gt;""),COUNTIFS($A$2:A897,가족별!$B$1,$G$2:G897,"&gt;0"),"")</f>
        <v/>
      </c>
      <c r="I897">
        <f>IF(ISNUMBER(SEARCH("소계",B897)),COUNTIF($B$2:B897,"*소계*"),"")</f>
        <v/>
      </c>
      <c r="J897">
        <f>IF(F897="",0,1)</f>
        <v/>
      </c>
    </row>
    <row r="898">
      <c r="A898" s="41" t="n"/>
      <c r="B898" s="41" t="n"/>
      <c r="C898" s="24" t="n"/>
      <c r="D898" s="41" t="n"/>
      <c r="E898" s="41" t="n"/>
      <c r="F898" s="19">
        <f>IF(COUNTA(A898:E898)=0,"",IF(OR(ISNUMBER(SEARCH("소계",B898)),ISNUMBER(SEARCH("합계",B898))),"",TRIM(IF(B898="","이름 없음 ","")&amp;IF(A898="","받은 가족 없음 ","")&amp;IF(C898="","금액 없음 ",IF(ISNUMBER(C898),IF(C898&lt;1000,"금액 확인 ",""),"금액 확인 "))&amp;IF(AND(B898&lt;&gt;"",COUNTIFS($A$2:$A$1001,A898,$B$2:$B$1001,B898,$C$2:$C$1001,C898)&gt;1),"중복 의심",""))))</f>
        <v/>
      </c>
      <c r="G898" s="25">
        <f>IF(OR(COUNTA(A898:E898)=0,OR(ISNUMBER(SEARCH("소계",B898)),ISNUMBER(SEARCH("합계",B898)))),"",1+COUNTIF($B$1:B897,"*소계*"))</f>
        <v/>
      </c>
      <c r="H898">
        <f>IF(AND(A898&lt;&gt;"",A898=가족별!$B$1,G898&lt;&gt;""),COUNTIFS($A$2:A898,가족별!$B$1,$G$2:G898,"&gt;0"),"")</f>
        <v/>
      </c>
      <c r="I898">
        <f>IF(ISNUMBER(SEARCH("소계",B898)),COUNTIF($B$2:B898,"*소계*"),"")</f>
        <v/>
      </c>
      <c r="J898">
        <f>IF(F898="",0,1)</f>
        <v/>
      </c>
    </row>
    <row r="899">
      <c r="A899" s="41" t="n"/>
      <c r="B899" s="41" t="n"/>
      <c r="C899" s="24" t="n"/>
      <c r="D899" s="41" t="n"/>
      <c r="E899" s="41" t="n"/>
      <c r="F899" s="19">
        <f>IF(COUNTA(A899:E899)=0,"",IF(OR(ISNUMBER(SEARCH("소계",B899)),ISNUMBER(SEARCH("합계",B899))),"",TRIM(IF(B899="","이름 없음 ","")&amp;IF(A899="","받은 가족 없음 ","")&amp;IF(C899="","금액 없음 ",IF(ISNUMBER(C899),IF(C899&lt;1000,"금액 확인 ",""),"금액 확인 "))&amp;IF(AND(B899&lt;&gt;"",COUNTIFS($A$2:$A$1001,A899,$B$2:$B$1001,B899,$C$2:$C$1001,C899)&gt;1),"중복 의심",""))))</f>
        <v/>
      </c>
      <c r="G899" s="25">
        <f>IF(OR(COUNTA(A899:E899)=0,OR(ISNUMBER(SEARCH("소계",B899)),ISNUMBER(SEARCH("합계",B899)))),"",1+COUNTIF($B$1:B898,"*소계*"))</f>
        <v/>
      </c>
      <c r="H899">
        <f>IF(AND(A899&lt;&gt;"",A899=가족별!$B$1,G899&lt;&gt;""),COUNTIFS($A$2:A899,가족별!$B$1,$G$2:G899,"&gt;0"),"")</f>
        <v/>
      </c>
      <c r="I899">
        <f>IF(ISNUMBER(SEARCH("소계",B899)),COUNTIF($B$2:B899,"*소계*"),"")</f>
        <v/>
      </c>
      <c r="J899">
        <f>IF(F899="",0,1)</f>
        <v/>
      </c>
    </row>
    <row r="900">
      <c r="A900" s="41" t="n"/>
      <c r="B900" s="41" t="n"/>
      <c r="C900" s="24" t="n"/>
      <c r="D900" s="41" t="n"/>
      <c r="E900" s="41" t="n"/>
      <c r="F900" s="19">
        <f>IF(COUNTA(A900:E900)=0,"",IF(OR(ISNUMBER(SEARCH("소계",B900)),ISNUMBER(SEARCH("합계",B900))),"",TRIM(IF(B900="","이름 없음 ","")&amp;IF(A900="","받은 가족 없음 ","")&amp;IF(C900="","금액 없음 ",IF(ISNUMBER(C900),IF(C900&lt;1000,"금액 확인 ",""),"금액 확인 "))&amp;IF(AND(B900&lt;&gt;"",COUNTIFS($A$2:$A$1001,A900,$B$2:$B$1001,B900,$C$2:$C$1001,C900)&gt;1),"중복 의심",""))))</f>
        <v/>
      </c>
      <c r="G900" s="25">
        <f>IF(OR(COUNTA(A900:E900)=0,OR(ISNUMBER(SEARCH("소계",B900)),ISNUMBER(SEARCH("합계",B900)))),"",1+COUNTIF($B$1:B899,"*소계*"))</f>
        <v/>
      </c>
      <c r="H900">
        <f>IF(AND(A900&lt;&gt;"",A900=가족별!$B$1,G900&lt;&gt;""),COUNTIFS($A$2:A900,가족별!$B$1,$G$2:G900,"&gt;0"),"")</f>
        <v/>
      </c>
      <c r="I900">
        <f>IF(ISNUMBER(SEARCH("소계",B900)),COUNTIF($B$2:B900,"*소계*"),"")</f>
        <v/>
      </c>
      <c r="J900">
        <f>IF(F900="",0,1)</f>
        <v/>
      </c>
    </row>
    <row r="901">
      <c r="A901" s="41" t="n"/>
      <c r="B901" s="41" t="n"/>
      <c r="C901" s="24" t="n"/>
      <c r="D901" s="41" t="n"/>
      <c r="E901" s="41" t="n"/>
      <c r="F901" s="19">
        <f>IF(COUNTA(A901:E901)=0,"",IF(OR(ISNUMBER(SEARCH("소계",B901)),ISNUMBER(SEARCH("합계",B901))),"",TRIM(IF(B901="","이름 없음 ","")&amp;IF(A901="","받은 가족 없음 ","")&amp;IF(C901="","금액 없음 ",IF(ISNUMBER(C901),IF(C901&lt;1000,"금액 확인 ",""),"금액 확인 "))&amp;IF(AND(B901&lt;&gt;"",COUNTIFS($A$2:$A$1001,A901,$B$2:$B$1001,B901,$C$2:$C$1001,C901)&gt;1),"중복 의심",""))))</f>
        <v/>
      </c>
      <c r="G901" s="25">
        <f>IF(OR(COUNTA(A901:E901)=0,OR(ISNUMBER(SEARCH("소계",B901)),ISNUMBER(SEARCH("합계",B901)))),"",1+COUNTIF($B$1:B900,"*소계*"))</f>
        <v/>
      </c>
      <c r="H901">
        <f>IF(AND(A901&lt;&gt;"",A901=가족별!$B$1,G901&lt;&gt;""),COUNTIFS($A$2:A901,가족별!$B$1,$G$2:G901,"&gt;0"),"")</f>
        <v/>
      </c>
      <c r="I901">
        <f>IF(ISNUMBER(SEARCH("소계",B901)),COUNTIF($B$2:B901,"*소계*"),"")</f>
        <v/>
      </c>
      <c r="J901">
        <f>IF(F901="",0,1)</f>
        <v/>
      </c>
    </row>
    <row r="902">
      <c r="A902" s="41" t="n"/>
      <c r="B902" s="41" t="n"/>
      <c r="C902" s="24" t="n"/>
      <c r="D902" s="41" t="n"/>
      <c r="E902" s="41" t="n"/>
      <c r="F902" s="19">
        <f>IF(COUNTA(A902:E902)=0,"",IF(OR(ISNUMBER(SEARCH("소계",B902)),ISNUMBER(SEARCH("합계",B902))),"",TRIM(IF(B902="","이름 없음 ","")&amp;IF(A902="","받은 가족 없음 ","")&amp;IF(C902="","금액 없음 ",IF(ISNUMBER(C902),IF(C902&lt;1000,"금액 확인 ",""),"금액 확인 "))&amp;IF(AND(B902&lt;&gt;"",COUNTIFS($A$2:$A$1001,A902,$B$2:$B$1001,B902,$C$2:$C$1001,C902)&gt;1),"중복 의심",""))))</f>
        <v/>
      </c>
      <c r="G902" s="25">
        <f>IF(OR(COUNTA(A902:E902)=0,OR(ISNUMBER(SEARCH("소계",B902)),ISNUMBER(SEARCH("합계",B902)))),"",1+COUNTIF($B$1:B901,"*소계*"))</f>
        <v/>
      </c>
      <c r="H902">
        <f>IF(AND(A902&lt;&gt;"",A902=가족별!$B$1,G902&lt;&gt;""),COUNTIFS($A$2:A902,가족별!$B$1,$G$2:G902,"&gt;0"),"")</f>
        <v/>
      </c>
      <c r="I902">
        <f>IF(ISNUMBER(SEARCH("소계",B902)),COUNTIF($B$2:B902,"*소계*"),"")</f>
        <v/>
      </c>
      <c r="J902">
        <f>IF(F902="",0,1)</f>
        <v/>
      </c>
    </row>
    <row r="903">
      <c r="A903" s="41" t="n"/>
      <c r="B903" s="41" t="n"/>
      <c r="C903" s="24" t="n"/>
      <c r="D903" s="41" t="n"/>
      <c r="E903" s="41" t="n"/>
      <c r="F903" s="19">
        <f>IF(COUNTA(A903:E903)=0,"",IF(OR(ISNUMBER(SEARCH("소계",B903)),ISNUMBER(SEARCH("합계",B903))),"",TRIM(IF(B903="","이름 없음 ","")&amp;IF(A903="","받은 가족 없음 ","")&amp;IF(C903="","금액 없음 ",IF(ISNUMBER(C903),IF(C903&lt;1000,"금액 확인 ",""),"금액 확인 "))&amp;IF(AND(B903&lt;&gt;"",COUNTIFS($A$2:$A$1001,A903,$B$2:$B$1001,B903,$C$2:$C$1001,C903)&gt;1),"중복 의심",""))))</f>
        <v/>
      </c>
      <c r="G903" s="25">
        <f>IF(OR(COUNTA(A903:E903)=0,OR(ISNUMBER(SEARCH("소계",B903)),ISNUMBER(SEARCH("합계",B903)))),"",1+COUNTIF($B$1:B902,"*소계*"))</f>
        <v/>
      </c>
      <c r="H903">
        <f>IF(AND(A903&lt;&gt;"",A903=가족별!$B$1,G903&lt;&gt;""),COUNTIFS($A$2:A903,가족별!$B$1,$G$2:G903,"&gt;0"),"")</f>
        <v/>
      </c>
      <c r="I903">
        <f>IF(ISNUMBER(SEARCH("소계",B903)),COUNTIF($B$2:B903,"*소계*"),"")</f>
        <v/>
      </c>
      <c r="J903">
        <f>IF(F903="",0,1)</f>
        <v/>
      </c>
    </row>
    <row r="904">
      <c r="A904" s="41" t="n"/>
      <c r="B904" s="41" t="n"/>
      <c r="C904" s="24" t="n"/>
      <c r="D904" s="41" t="n"/>
      <c r="E904" s="41" t="n"/>
      <c r="F904" s="19">
        <f>IF(COUNTA(A904:E904)=0,"",IF(OR(ISNUMBER(SEARCH("소계",B904)),ISNUMBER(SEARCH("합계",B904))),"",TRIM(IF(B904="","이름 없음 ","")&amp;IF(A904="","받은 가족 없음 ","")&amp;IF(C904="","금액 없음 ",IF(ISNUMBER(C904),IF(C904&lt;1000,"금액 확인 ",""),"금액 확인 "))&amp;IF(AND(B904&lt;&gt;"",COUNTIFS($A$2:$A$1001,A904,$B$2:$B$1001,B904,$C$2:$C$1001,C904)&gt;1),"중복 의심",""))))</f>
        <v/>
      </c>
      <c r="G904" s="25">
        <f>IF(OR(COUNTA(A904:E904)=0,OR(ISNUMBER(SEARCH("소계",B904)),ISNUMBER(SEARCH("합계",B904)))),"",1+COUNTIF($B$1:B903,"*소계*"))</f>
        <v/>
      </c>
      <c r="H904">
        <f>IF(AND(A904&lt;&gt;"",A904=가족별!$B$1,G904&lt;&gt;""),COUNTIFS($A$2:A904,가족별!$B$1,$G$2:G904,"&gt;0"),"")</f>
        <v/>
      </c>
      <c r="I904">
        <f>IF(ISNUMBER(SEARCH("소계",B904)),COUNTIF($B$2:B904,"*소계*"),"")</f>
        <v/>
      </c>
      <c r="J904">
        <f>IF(F904="",0,1)</f>
        <v/>
      </c>
    </row>
    <row r="905">
      <c r="A905" s="41" t="n"/>
      <c r="B905" s="41" t="n"/>
      <c r="C905" s="24" t="n"/>
      <c r="D905" s="41" t="n"/>
      <c r="E905" s="41" t="n"/>
      <c r="F905" s="19">
        <f>IF(COUNTA(A905:E905)=0,"",IF(OR(ISNUMBER(SEARCH("소계",B905)),ISNUMBER(SEARCH("합계",B905))),"",TRIM(IF(B905="","이름 없음 ","")&amp;IF(A905="","받은 가족 없음 ","")&amp;IF(C905="","금액 없음 ",IF(ISNUMBER(C905),IF(C905&lt;1000,"금액 확인 ",""),"금액 확인 "))&amp;IF(AND(B905&lt;&gt;"",COUNTIFS($A$2:$A$1001,A905,$B$2:$B$1001,B905,$C$2:$C$1001,C905)&gt;1),"중복 의심",""))))</f>
        <v/>
      </c>
      <c r="G905" s="25">
        <f>IF(OR(COUNTA(A905:E905)=0,OR(ISNUMBER(SEARCH("소계",B905)),ISNUMBER(SEARCH("합계",B905)))),"",1+COUNTIF($B$1:B904,"*소계*"))</f>
        <v/>
      </c>
      <c r="H905">
        <f>IF(AND(A905&lt;&gt;"",A905=가족별!$B$1,G905&lt;&gt;""),COUNTIFS($A$2:A905,가족별!$B$1,$G$2:G905,"&gt;0"),"")</f>
        <v/>
      </c>
      <c r="I905">
        <f>IF(ISNUMBER(SEARCH("소계",B905)),COUNTIF($B$2:B905,"*소계*"),"")</f>
        <v/>
      </c>
      <c r="J905">
        <f>IF(F905="",0,1)</f>
        <v/>
      </c>
    </row>
    <row r="906">
      <c r="A906" s="41" t="n"/>
      <c r="B906" s="41" t="n"/>
      <c r="C906" s="24" t="n"/>
      <c r="D906" s="41" t="n"/>
      <c r="E906" s="41" t="n"/>
      <c r="F906" s="19">
        <f>IF(COUNTA(A906:E906)=0,"",IF(OR(ISNUMBER(SEARCH("소계",B906)),ISNUMBER(SEARCH("합계",B906))),"",TRIM(IF(B906="","이름 없음 ","")&amp;IF(A906="","받은 가족 없음 ","")&amp;IF(C906="","금액 없음 ",IF(ISNUMBER(C906),IF(C906&lt;1000,"금액 확인 ",""),"금액 확인 "))&amp;IF(AND(B906&lt;&gt;"",COUNTIFS($A$2:$A$1001,A906,$B$2:$B$1001,B906,$C$2:$C$1001,C906)&gt;1),"중복 의심",""))))</f>
        <v/>
      </c>
      <c r="G906" s="25">
        <f>IF(OR(COUNTA(A906:E906)=0,OR(ISNUMBER(SEARCH("소계",B906)),ISNUMBER(SEARCH("합계",B906)))),"",1+COUNTIF($B$1:B905,"*소계*"))</f>
        <v/>
      </c>
      <c r="H906">
        <f>IF(AND(A906&lt;&gt;"",A906=가족별!$B$1,G906&lt;&gt;""),COUNTIFS($A$2:A906,가족별!$B$1,$G$2:G906,"&gt;0"),"")</f>
        <v/>
      </c>
      <c r="I906">
        <f>IF(ISNUMBER(SEARCH("소계",B906)),COUNTIF($B$2:B906,"*소계*"),"")</f>
        <v/>
      </c>
      <c r="J906">
        <f>IF(F906="",0,1)</f>
        <v/>
      </c>
    </row>
    <row r="907">
      <c r="A907" s="41" t="n"/>
      <c r="B907" s="41" t="n"/>
      <c r="C907" s="24" t="n"/>
      <c r="D907" s="41" t="n"/>
      <c r="E907" s="41" t="n"/>
      <c r="F907" s="19">
        <f>IF(COUNTA(A907:E907)=0,"",IF(OR(ISNUMBER(SEARCH("소계",B907)),ISNUMBER(SEARCH("합계",B907))),"",TRIM(IF(B907="","이름 없음 ","")&amp;IF(A907="","받은 가족 없음 ","")&amp;IF(C907="","금액 없음 ",IF(ISNUMBER(C907),IF(C907&lt;1000,"금액 확인 ",""),"금액 확인 "))&amp;IF(AND(B907&lt;&gt;"",COUNTIFS($A$2:$A$1001,A907,$B$2:$B$1001,B907,$C$2:$C$1001,C907)&gt;1),"중복 의심",""))))</f>
        <v/>
      </c>
      <c r="G907" s="25">
        <f>IF(OR(COUNTA(A907:E907)=0,OR(ISNUMBER(SEARCH("소계",B907)),ISNUMBER(SEARCH("합계",B907)))),"",1+COUNTIF($B$1:B906,"*소계*"))</f>
        <v/>
      </c>
      <c r="H907">
        <f>IF(AND(A907&lt;&gt;"",A907=가족별!$B$1,G907&lt;&gt;""),COUNTIFS($A$2:A907,가족별!$B$1,$G$2:G907,"&gt;0"),"")</f>
        <v/>
      </c>
      <c r="I907">
        <f>IF(ISNUMBER(SEARCH("소계",B907)),COUNTIF($B$2:B907,"*소계*"),"")</f>
        <v/>
      </c>
      <c r="J907">
        <f>IF(F907="",0,1)</f>
        <v/>
      </c>
    </row>
    <row r="908">
      <c r="A908" s="41" t="n"/>
      <c r="B908" s="41" t="n"/>
      <c r="C908" s="24" t="n"/>
      <c r="D908" s="41" t="n"/>
      <c r="E908" s="41" t="n"/>
      <c r="F908" s="19">
        <f>IF(COUNTA(A908:E908)=0,"",IF(OR(ISNUMBER(SEARCH("소계",B908)),ISNUMBER(SEARCH("합계",B908))),"",TRIM(IF(B908="","이름 없음 ","")&amp;IF(A908="","받은 가족 없음 ","")&amp;IF(C908="","금액 없음 ",IF(ISNUMBER(C908),IF(C908&lt;1000,"금액 확인 ",""),"금액 확인 "))&amp;IF(AND(B908&lt;&gt;"",COUNTIFS($A$2:$A$1001,A908,$B$2:$B$1001,B908,$C$2:$C$1001,C908)&gt;1),"중복 의심",""))))</f>
        <v/>
      </c>
      <c r="G908" s="25">
        <f>IF(OR(COUNTA(A908:E908)=0,OR(ISNUMBER(SEARCH("소계",B908)),ISNUMBER(SEARCH("합계",B908)))),"",1+COUNTIF($B$1:B907,"*소계*"))</f>
        <v/>
      </c>
      <c r="H908">
        <f>IF(AND(A908&lt;&gt;"",A908=가족별!$B$1,G908&lt;&gt;""),COUNTIFS($A$2:A908,가족별!$B$1,$G$2:G908,"&gt;0"),"")</f>
        <v/>
      </c>
      <c r="I908">
        <f>IF(ISNUMBER(SEARCH("소계",B908)),COUNTIF($B$2:B908,"*소계*"),"")</f>
        <v/>
      </c>
      <c r="J908">
        <f>IF(F908="",0,1)</f>
        <v/>
      </c>
    </row>
    <row r="909">
      <c r="A909" s="41" t="n"/>
      <c r="B909" s="41" t="n"/>
      <c r="C909" s="24" t="n"/>
      <c r="D909" s="41" t="n"/>
      <c r="E909" s="41" t="n"/>
      <c r="F909" s="19">
        <f>IF(COUNTA(A909:E909)=0,"",IF(OR(ISNUMBER(SEARCH("소계",B909)),ISNUMBER(SEARCH("합계",B909))),"",TRIM(IF(B909="","이름 없음 ","")&amp;IF(A909="","받은 가족 없음 ","")&amp;IF(C909="","금액 없음 ",IF(ISNUMBER(C909),IF(C909&lt;1000,"금액 확인 ",""),"금액 확인 "))&amp;IF(AND(B909&lt;&gt;"",COUNTIFS($A$2:$A$1001,A909,$B$2:$B$1001,B909,$C$2:$C$1001,C909)&gt;1),"중복 의심",""))))</f>
        <v/>
      </c>
      <c r="G909" s="25">
        <f>IF(OR(COUNTA(A909:E909)=0,OR(ISNUMBER(SEARCH("소계",B909)),ISNUMBER(SEARCH("합계",B909)))),"",1+COUNTIF($B$1:B908,"*소계*"))</f>
        <v/>
      </c>
      <c r="H909">
        <f>IF(AND(A909&lt;&gt;"",A909=가족별!$B$1,G909&lt;&gt;""),COUNTIFS($A$2:A909,가족별!$B$1,$G$2:G909,"&gt;0"),"")</f>
        <v/>
      </c>
      <c r="I909">
        <f>IF(ISNUMBER(SEARCH("소계",B909)),COUNTIF($B$2:B909,"*소계*"),"")</f>
        <v/>
      </c>
      <c r="J909">
        <f>IF(F909="",0,1)</f>
        <v/>
      </c>
    </row>
    <row r="910">
      <c r="A910" s="41" t="n"/>
      <c r="B910" s="41" t="n"/>
      <c r="C910" s="24" t="n"/>
      <c r="D910" s="41" t="n"/>
      <c r="E910" s="41" t="n"/>
      <c r="F910" s="19">
        <f>IF(COUNTA(A910:E910)=0,"",IF(OR(ISNUMBER(SEARCH("소계",B910)),ISNUMBER(SEARCH("합계",B910))),"",TRIM(IF(B910="","이름 없음 ","")&amp;IF(A910="","받은 가족 없음 ","")&amp;IF(C910="","금액 없음 ",IF(ISNUMBER(C910),IF(C910&lt;1000,"금액 확인 ",""),"금액 확인 "))&amp;IF(AND(B910&lt;&gt;"",COUNTIFS($A$2:$A$1001,A910,$B$2:$B$1001,B910,$C$2:$C$1001,C910)&gt;1),"중복 의심",""))))</f>
        <v/>
      </c>
      <c r="G910" s="25">
        <f>IF(OR(COUNTA(A910:E910)=0,OR(ISNUMBER(SEARCH("소계",B910)),ISNUMBER(SEARCH("합계",B910)))),"",1+COUNTIF($B$1:B909,"*소계*"))</f>
        <v/>
      </c>
      <c r="H910">
        <f>IF(AND(A910&lt;&gt;"",A910=가족별!$B$1,G910&lt;&gt;""),COUNTIFS($A$2:A910,가족별!$B$1,$G$2:G910,"&gt;0"),"")</f>
        <v/>
      </c>
      <c r="I910">
        <f>IF(ISNUMBER(SEARCH("소계",B910)),COUNTIF($B$2:B910,"*소계*"),"")</f>
        <v/>
      </c>
      <c r="J910">
        <f>IF(F910="",0,1)</f>
        <v/>
      </c>
    </row>
    <row r="911">
      <c r="A911" s="41" t="n"/>
      <c r="B911" s="41" t="n"/>
      <c r="C911" s="24" t="n"/>
      <c r="D911" s="41" t="n"/>
      <c r="E911" s="41" t="n"/>
      <c r="F911" s="19">
        <f>IF(COUNTA(A911:E911)=0,"",IF(OR(ISNUMBER(SEARCH("소계",B911)),ISNUMBER(SEARCH("합계",B911))),"",TRIM(IF(B911="","이름 없음 ","")&amp;IF(A911="","받은 가족 없음 ","")&amp;IF(C911="","금액 없음 ",IF(ISNUMBER(C911),IF(C911&lt;1000,"금액 확인 ",""),"금액 확인 "))&amp;IF(AND(B911&lt;&gt;"",COUNTIFS($A$2:$A$1001,A911,$B$2:$B$1001,B911,$C$2:$C$1001,C911)&gt;1),"중복 의심",""))))</f>
        <v/>
      </c>
      <c r="G911" s="25">
        <f>IF(OR(COUNTA(A911:E911)=0,OR(ISNUMBER(SEARCH("소계",B911)),ISNUMBER(SEARCH("합계",B911)))),"",1+COUNTIF($B$1:B910,"*소계*"))</f>
        <v/>
      </c>
      <c r="H911">
        <f>IF(AND(A911&lt;&gt;"",A911=가족별!$B$1,G911&lt;&gt;""),COUNTIFS($A$2:A911,가족별!$B$1,$G$2:G911,"&gt;0"),"")</f>
        <v/>
      </c>
      <c r="I911">
        <f>IF(ISNUMBER(SEARCH("소계",B911)),COUNTIF($B$2:B911,"*소계*"),"")</f>
        <v/>
      </c>
      <c r="J911">
        <f>IF(F911="",0,1)</f>
        <v/>
      </c>
    </row>
    <row r="912">
      <c r="A912" s="41" t="n"/>
      <c r="B912" s="41" t="n"/>
      <c r="C912" s="24" t="n"/>
      <c r="D912" s="41" t="n"/>
      <c r="E912" s="41" t="n"/>
      <c r="F912" s="19">
        <f>IF(COUNTA(A912:E912)=0,"",IF(OR(ISNUMBER(SEARCH("소계",B912)),ISNUMBER(SEARCH("합계",B912))),"",TRIM(IF(B912="","이름 없음 ","")&amp;IF(A912="","받은 가족 없음 ","")&amp;IF(C912="","금액 없음 ",IF(ISNUMBER(C912),IF(C912&lt;1000,"금액 확인 ",""),"금액 확인 "))&amp;IF(AND(B912&lt;&gt;"",COUNTIFS($A$2:$A$1001,A912,$B$2:$B$1001,B912,$C$2:$C$1001,C912)&gt;1),"중복 의심",""))))</f>
        <v/>
      </c>
      <c r="G912" s="25">
        <f>IF(OR(COUNTA(A912:E912)=0,OR(ISNUMBER(SEARCH("소계",B912)),ISNUMBER(SEARCH("합계",B912)))),"",1+COUNTIF($B$1:B911,"*소계*"))</f>
        <v/>
      </c>
      <c r="H912">
        <f>IF(AND(A912&lt;&gt;"",A912=가족별!$B$1,G912&lt;&gt;""),COUNTIFS($A$2:A912,가족별!$B$1,$G$2:G912,"&gt;0"),"")</f>
        <v/>
      </c>
      <c r="I912">
        <f>IF(ISNUMBER(SEARCH("소계",B912)),COUNTIF($B$2:B912,"*소계*"),"")</f>
        <v/>
      </c>
      <c r="J912">
        <f>IF(F912="",0,1)</f>
        <v/>
      </c>
    </row>
    <row r="913">
      <c r="A913" s="41" t="n"/>
      <c r="B913" s="41" t="n"/>
      <c r="C913" s="24" t="n"/>
      <c r="D913" s="41" t="n"/>
      <c r="E913" s="41" t="n"/>
      <c r="F913" s="19">
        <f>IF(COUNTA(A913:E913)=0,"",IF(OR(ISNUMBER(SEARCH("소계",B913)),ISNUMBER(SEARCH("합계",B913))),"",TRIM(IF(B913="","이름 없음 ","")&amp;IF(A913="","받은 가족 없음 ","")&amp;IF(C913="","금액 없음 ",IF(ISNUMBER(C913),IF(C913&lt;1000,"금액 확인 ",""),"금액 확인 "))&amp;IF(AND(B913&lt;&gt;"",COUNTIFS($A$2:$A$1001,A913,$B$2:$B$1001,B913,$C$2:$C$1001,C913)&gt;1),"중복 의심",""))))</f>
        <v/>
      </c>
      <c r="G913" s="25">
        <f>IF(OR(COUNTA(A913:E913)=0,OR(ISNUMBER(SEARCH("소계",B913)),ISNUMBER(SEARCH("합계",B913)))),"",1+COUNTIF($B$1:B912,"*소계*"))</f>
        <v/>
      </c>
      <c r="H913">
        <f>IF(AND(A913&lt;&gt;"",A913=가족별!$B$1,G913&lt;&gt;""),COUNTIFS($A$2:A913,가족별!$B$1,$G$2:G913,"&gt;0"),"")</f>
        <v/>
      </c>
      <c r="I913">
        <f>IF(ISNUMBER(SEARCH("소계",B913)),COUNTIF($B$2:B913,"*소계*"),"")</f>
        <v/>
      </c>
      <c r="J913">
        <f>IF(F913="",0,1)</f>
        <v/>
      </c>
    </row>
    <row r="914">
      <c r="A914" s="41" t="n"/>
      <c r="B914" s="41" t="n"/>
      <c r="C914" s="24" t="n"/>
      <c r="D914" s="41" t="n"/>
      <c r="E914" s="41" t="n"/>
      <c r="F914" s="19">
        <f>IF(COUNTA(A914:E914)=0,"",IF(OR(ISNUMBER(SEARCH("소계",B914)),ISNUMBER(SEARCH("합계",B914))),"",TRIM(IF(B914="","이름 없음 ","")&amp;IF(A914="","받은 가족 없음 ","")&amp;IF(C914="","금액 없음 ",IF(ISNUMBER(C914),IF(C914&lt;1000,"금액 확인 ",""),"금액 확인 "))&amp;IF(AND(B914&lt;&gt;"",COUNTIFS($A$2:$A$1001,A914,$B$2:$B$1001,B914,$C$2:$C$1001,C914)&gt;1),"중복 의심",""))))</f>
        <v/>
      </c>
      <c r="G914" s="25">
        <f>IF(OR(COUNTA(A914:E914)=0,OR(ISNUMBER(SEARCH("소계",B914)),ISNUMBER(SEARCH("합계",B914)))),"",1+COUNTIF($B$1:B913,"*소계*"))</f>
        <v/>
      </c>
      <c r="H914">
        <f>IF(AND(A914&lt;&gt;"",A914=가족별!$B$1,G914&lt;&gt;""),COUNTIFS($A$2:A914,가족별!$B$1,$G$2:G914,"&gt;0"),"")</f>
        <v/>
      </c>
      <c r="I914">
        <f>IF(ISNUMBER(SEARCH("소계",B914)),COUNTIF($B$2:B914,"*소계*"),"")</f>
        <v/>
      </c>
      <c r="J914">
        <f>IF(F914="",0,1)</f>
        <v/>
      </c>
    </row>
    <row r="915">
      <c r="A915" s="41" t="n"/>
      <c r="B915" s="41" t="n"/>
      <c r="C915" s="24" t="n"/>
      <c r="D915" s="41" t="n"/>
      <c r="E915" s="41" t="n"/>
      <c r="F915" s="19">
        <f>IF(COUNTA(A915:E915)=0,"",IF(OR(ISNUMBER(SEARCH("소계",B915)),ISNUMBER(SEARCH("합계",B915))),"",TRIM(IF(B915="","이름 없음 ","")&amp;IF(A915="","받은 가족 없음 ","")&amp;IF(C915="","금액 없음 ",IF(ISNUMBER(C915),IF(C915&lt;1000,"금액 확인 ",""),"금액 확인 "))&amp;IF(AND(B915&lt;&gt;"",COUNTIFS($A$2:$A$1001,A915,$B$2:$B$1001,B915,$C$2:$C$1001,C915)&gt;1),"중복 의심",""))))</f>
        <v/>
      </c>
      <c r="G915" s="25">
        <f>IF(OR(COUNTA(A915:E915)=0,OR(ISNUMBER(SEARCH("소계",B915)),ISNUMBER(SEARCH("합계",B915)))),"",1+COUNTIF($B$1:B914,"*소계*"))</f>
        <v/>
      </c>
      <c r="H915">
        <f>IF(AND(A915&lt;&gt;"",A915=가족별!$B$1,G915&lt;&gt;""),COUNTIFS($A$2:A915,가족별!$B$1,$G$2:G915,"&gt;0"),"")</f>
        <v/>
      </c>
      <c r="I915">
        <f>IF(ISNUMBER(SEARCH("소계",B915)),COUNTIF($B$2:B915,"*소계*"),"")</f>
        <v/>
      </c>
      <c r="J915">
        <f>IF(F915="",0,1)</f>
        <v/>
      </c>
    </row>
    <row r="916">
      <c r="A916" s="41" t="n"/>
      <c r="B916" s="41" t="n"/>
      <c r="C916" s="24" t="n"/>
      <c r="D916" s="41" t="n"/>
      <c r="E916" s="41" t="n"/>
      <c r="F916" s="19">
        <f>IF(COUNTA(A916:E916)=0,"",IF(OR(ISNUMBER(SEARCH("소계",B916)),ISNUMBER(SEARCH("합계",B916))),"",TRIM(IF(B916="","이름 없음 ","")&amp;IF(A916="","받은 가족 없음 ","")&amp;IF(C916="","금액 없음 ",IF(ISNUMBER(C916),IF(C916&lt;1000,"금액 확인 ",""),"금액 확인 "))&amp;IF(AND(B916&lt;&gt;"",COUNTIFS($A$2:$A$1001,A916,$B$2:$B$1001,B916,$C$2:$C$1001,C916)&gt;1),"중복 의심",""))))</f>
        <v/>
      </c>
      <c r="G916" s="25">
        <f>IF(OR(COUNTA(A916:E916)=0,OR(ISNUMBER(SEARCH("소계",B916)),ISNUMBER(SEARCH("합계",B916)))),"",1+COUNTIF($B$1:B915,"*소계*"))</f>
        <v/>
      </c>
      <c r="H916">
        <f>IF(AND(A916&lt;&gt;"",A916=가족별!$B$1,G916&lt;&gt;""),COUNTIFS($A$2:A916,가족별!$B$1,$G$2:G916,"&gt;0"),"")</f>
        <v/>
      </c>
      <c r="I916">
        <f>IF(ISNUMBER(SEARCH("소계",B916)),COUNTIF($B$2:B916,"*소계*"),"")</f>
        <v/>
      </c>
      <c r="J916">
        <f>IF(F916="",0,1)</f>
        <v/>
      </c>
    </row>
    <row r="917">
      <c r="A917" s="41" t="n"/>
      <c r="B917" s="41" t="n"/>
      <c r="C917" s="24" t="n"/>
      <c r="D917" s="41" t="n"/>
      <c r="E917" s="41" t="n"/>
      <c r="F917" s="19">
        <f>IF(COUNTA(A917:E917)=0,"",IF(OR(ISNUMBER(SEARCH("소계",B917)),ISNUMBER(SEARCH("합계",B917))),"",TRIM(IF(B917="","이름 없음 ","")&amp;IF(A917="","받은 가족 없음 ","")&amp;IF(C917="","금액 없음 ",IF(ISNUMBER(C917),IF(C917&lt;1000,"금액 확인 ",""),"금액 확인 "))&amp;IF(AND(B917&lt;&gt;"",COUNTIFS($A$2:$A$1001,A917,$B$2:$B$1001,B917,$C$2:$C$1001,C917)&gt;1),"중복 의심",""))))</f>
        <v/>
      </c>
      <c r="G917" s="25">
        <f>IF(OR(COUNTA(A917:E917)=0,OR(ISNUMBER(SEARCH("소계",B917)),ISNUMBER(SEARCH("합계",B917)))),"",1+COUNTIF($B$1:B916,"*소계*"))</f>
        <v/>
      </c>
      <c r="H917">
        <f>IF(AND(A917&lt;&gt;"",A917=가족별!$B$1,G917&lt;&gt;""),COUNTIFS($A$2:A917,가족별!$B$1,$G$2:G917,"&gt;0"),"")</f>
        <v/>
      </c>
      <c r="I917">
        <f>IF(ISNUMBER(SEARCH("소계",B917)),COUNTIF($B$2:B917,"*소계*"),"")</f>
        <v/>
      </c>
      <c r="J917">
        <f>IF(F917="",0,1)</f>
        <v/>
      </c>
    </row>
    <row r="918">
      <c r="A918" s="41" t="n"/>
      <c r="B918" s="41" t="n"/>
      <c r="C918" s="24" t="n"/>
      <c r="D918" s="41" t="n"/>
      <c r="E918" s="41" t="n"/>
      <c r="F918" s="19">
        <f>IF(COUNTA(A918:E918)=0,"",IF(OR(ISNUMBER(SEARCH("소계",B918)),ISNUMBER(SEARCH("합계",B918))),"",TRIM(IF(B918="","이름 없음 ","")&amp;IF(A918="","받은 가족 없음 ","")&amp;IF(C918="","금액 없음 ",IF(ISNUMBER(C918),IF(C918&lt;1000,"금액 확인 ",""),"금액 확인 "))&amp;IF(AND(B918&lt;&gt;"",COUNTIFS($A$2:$A$1001,A918,$B$2:$B$1001,B918,$C$2:$C$1001,C918)&gt;1),"중복 의심",""))))</f>
        <v/>
      </c>
      <c r="G918" s="25">
        <f>IF(OR(COUNTA(A918:E918)=0,OR(ISNUMBER(SEARCH("소계",B918)),ISNUMBER(SEARCH("합계",B918)))),"",1+COUNTIF($B$1:B917,"*소계*"))</f>
        <v/>
      </c>
      <c r="H918">
        <f>IF(AND(A918&lt;&gt;"",A918=가족별!$B$1,G918&lt;&gt;""),COUNTIFS($A$2:A918,가족별!$B$1,$G$2:G918,"&gt;0"),"")</f>
        <v/>
      </c>
      <c r="I918">
        <f>IF(ISNUMBER(SEARCH("소계",B918)),COUNTIF($B$2:B918,"*소계*"),"")</f>
        <v/>
      </c>
      <c r="J918">
        <f>IF(F918="",0,1)</f>
        <v/>
      </c>
    </row>
    <row r="919">
      <c r="A919" s="41" t="n"/>
      <c r="B919" s="41" t="n"/>
      <c r="C919" s="24" t="n"/>
      <c r="D919" s="41" t="n"/>
      <c r="E919" s="41" t="n"/>
      <c r="F919" s="19">
        <f>IF(COUNTA(A919:E919)=0,"",IF(OR(ISNUMBER(SEARCH("소계",B919)),ISNUMBER(SEARCH("합계",B919))),"",TRIM(IF(B919="","이름 없음 ","")&amp;IF(A919="","받은 가족 없음 ","")&amp;IF(C919="","금액 없음 ",IF(ISNUMBER(C919),IF(C919&lt;1000,"금액 확인 ",""),"금액 확인 "))&amp;IF(AND(B919&lt;&gt;"",COUNTIFS($A$2:$A$1001,A919,$B$2:$B$1001,B919,$C$2:$C$1001,C919)&gt;1),"중복 의심",""))))</f>
        <v/>
      </c>
      <c r="G919" s="25">
        <f>IF(OR(COUNTA(A919:E919)=0,OR(ISNUMBER(SEARCH("소계",B919)),ISNUMBER(SEARCH("합계",B919)))),"",1+COUNTIF($B$1:B918,"*소계*"))</f>
        <v/>
      </c>
      <c r="H919">
        <f>IF(AND(A919&lt;&gt;"",A919=가족별!$B$1,G919&lt;&gt;""),COUNTIFS($A$2:A919,가족별!$B$1,$G$2:G919,"&gt;0"),"")</f>
        <v/>
      </c>
      <c r="I919">
        <f>IF(ISNUMBER(SEARCH("소계",B919)),COUNTIF($B$2:B919,"*소계*"),"")</f>
        <v/>
      </c>
      <c r="J919">
        <f>IF(F919="",0,1)</f>
        <v/>
      </c>
    </row>
    <row r="920">
      <c r="A920" s="41" t="n"/>
      <c r="B920" s="41" t="n"/>
      <c r="C920" s="24" t="n"/>
      <c r="D920" s="41" t="n"/>
      <c r="E920" s="41" t="n"/>
      <c r="F920" s="19">
        <f>IF(COUNTA(A920:E920)=0,"",IF(OR(ISNUMBER(SEARCH("소계",B920)),ISNUMBER(SEARCH("합계",B920))),"",TRIM(IF(B920="","이름 없음 ","")&amp;IF(A920="","받은 가족 없음 ","")&amp;IF(C920="","금액 없음 ",IF(ISNUMBER(C920),IF(C920&lt;1000,"금액 확인 ",""),"금액 확인 "))&amp;IF(AND(B920&lt;&gt;"",COUNTIFS($A$2:$A$1001,A920,$B$2:$B$1001,B920,$C$2:$C$1001,C920)&gt;1),"중복 의심",""))))</f>
        <v/>
      </c>
      <c r="G920" s="25">
        <f>IF(OR(COUNTA(A920:E920)=0,OR(ISNUMBER(SEARCH("소계",B920)),ISNUMBER(SEARCH("합계",B920)))),"",1+COUNTIF($B$1:B919,"*소계*"))</f>
        <v/>
      </c>
      <c r="H920">
        <f>IF(AND(A920&lt;&gt;"",A920=가족별!$B$1,G920&lt;&gt;""),COUNTIFS($A$2:A920,가족별!$B$1,$G$2:G920,"&gt;0"),"")</f>
        <v/>
      </c>
      <c r="I920">
        <f>IF(ISNUMBER(SEARCH("소계",B920)),COUNTIF($B$2:B920,"*소계*"),"")</f>
        <v/>
      </c>
      <c r="J920">
        <f>IF(F920="",0,1)</f>
        <v/>
      </c>
    </row>
    <row r="921">
      <c r="A921" s="41" t="n"/>
      <c r="B921" s="41" t="n"/>
      <c r="C921" s="24" t="n"/>
      <c r="D921" s="41" t="n"/>
      <c r="E921" s="41" t="n"/>
      <c r="F921" s="19">
        <f>IF(COUNTA(A921:E921)=0,"",IF(OR(ISNUMBER(SEARCH("소계",B921)),ISNUMBER(SEARCH("합계",B921))),"",TRIM(IF(B921="","이름 없음 ","")&amp;IF(A921="","받은 가족 없음 ","")&amp;IF(C921="","금액 없음 ",IF(ISNUMBER(C921),IF(C921&lt;1000,"금액 확인 ",""),"금액 확인 "))&amp;IF(AND(B921&lt;&gt;"",COUNTIFS($A$2:$A$1001,A921,$B$2:$B$1001,B921,$C$2:$C$1001,C921)&gt;1),"중복 의심",""))))</f>
        <v/>
      </c>
      <c r="G921" s="25">
        <f>IF(OR(COUNTA(A921:E921)=0,OR(ISNUMBER(SEARCH("소계",B921)),ISNUMBER(SEARCH("합계",B921)))),"",1+COUNTIF($B$1:B920,"*소계*"))</f>
        <v/>
      </c>
      <c r="H921">
        <f>IF(AND(A921&lt;&gt;"",A921=가족별!$B$1,G921&lt;&gt;""),COUNTIFS($A$2:A921,가족별!$B$1,$G$2:G921,"&gt;0"),"")</f>
        <v/>
      </c>
      <c r="I921">
        <f>IF(ISNUMBER(SEARCH("소계",B921)),COUNTIF($B$2:B921,"*소계*"),"")</f>
        <v/>
      </c>
      <c r="J921">
        <f>IF(F921="",0,1)</f>
        <v/>
      </c>
    </row>
    <row r="922">
      <c r="A922" s="41" t="n"/>
      <c r="B922" s="41" t="n"/>
      <c r="C922" s="24" t="n"/>
      <c r="D922" s="41" t="n"/>
      <c r="E922" s="41" t="n"/>
      <c r="F922" s="19">
        <f>IF(COUNTA(A922:E922)=0,"",IF(OR(ISNUMBER(SEARCH("소계",B922)),ISNUMBER(SEARCH("합계",B922))),"",TRIM(IF(B922="","이름 없음 ","")&amp;IF(A922="","받은 가족 없음 ","")&amp;IF(C922="","금액 없음 ",IF(ISNUMBER(C922),IF(C922&lt;1000,"금액 확인 ",""),"금액 확인 "))&amp;IF(AND(B922&lt;&gt;"",COUNTIFS($A$2:$A$1001,A922,$B$2:$B$1001,B922,$C$2:$C$1001,C922)&gt;1),"중복 의심",""))))</f>
        <v/>
      </c>
      <c r="G922" s="25">
        <f>IF(OR(COUNTA(A922:E922)=0,OR(ISNUMBER(SEARCH("소계",B922)),ISNUMBER(SEARCH("합계",B922)))),"",1+COUNTIF($B$1:B921,"*소계*"))</f>
        <v/>
      </c>
      <c r="H922">
        <f>IF(AND(A922&lt;&gt;"",A922=가족별!$B$1,G922&lt;&gt;""),COUNTIFS($A$2:A922,가족별!$B$1,$G$2:G922,"&gt;0"),"")</f>
        <v/>
      </c>
      <c r="I922">
        <f>IF(ISNUMBER(SEARCH("소계",B922)),COUNTIF($B$2:B922,"*소계*"),"")</f>
        <v/>
      </c>
      <c r="J922">
        <f>IF(F922="",0,1)</f>
        <v/>
      </c>
    </row>
    <row r="923">
      <c r="A923" s="41" t="n"/>
      <c r="B923" s="41" t="n"/>
      <c r="C923" s="24" t="n"/>
      <c r="D923" s="41" t="n"/>
      <c r="E923" s="41" t="n"/>
      <c r="F923" s="19">
        <f>IF(COUNTA(A923:E923)=0,"",IF(OR(ISNUMBER(SEARCH("소계",B923)),ISNUMBER(SEARCH("합계",B923))),"",TRIM(IF(B923="","이름 없음 ","")&amp;IF(A923="","받은 가족 없음 ","")&amp;IF(C923="","금액 없음 ",IF(ISNUMBER(C923),IF(C923&lt;1000,"금액 확인 ",""),"금액 확인 "))&amp;IF(AND(B923&lt;&gt;"",COUNTIFS($A$2:$A$1001,A923,$B$2:$B$1001,B923,$C$2:$C$1001,C923)&gt;1),"중복 의심",""))))</f>
        <v/>
      </c>
      <c r="G923" s="25">
        <f>IF(OR(COUNTA(A923:E923)=0,OR(ISNUMBER(SEARCH("소계",B923)),ISNUMBER(SEARCH("합계",B923)))),"",1+COUNTIF($B$1:B922,"*소계*"))</f>
        <v/>
      </c>
      <c r="H923">
        <f>IF(AND(A923&lt;&gt;"",A923=가족별!$B$1,G923&lt;&gt;""),COUNTIFS($A$2:A923,가족별!$B$1,$G$2:G923,"&gt;0"),"")</f>
        <v/>
      </c>
      <c r="I923">
        <f>IF(ISNUMBER(SEARCH("소계",B923)),COUNTIF($B$2:B923,"*소계*"),"")</f>
        <v/>
      </c>
      <c r="J923">
        <f>IF(F923="",0,1)</f>
        <v/>
      </c>
    </row>
    <row r="924">
      <c r="A924" s="41" t="n"/>
      <c r="B924" s="41" t="n"/>
      <c r="C924" s="24" t="n"/>
      <c r="D924" s="41" t="n"/>
      <c r="E924" s="41" t="n"/>
      <c r="F924" s="19">
        <f>IF(COUNTA(A924:E924)=0,"",IF(OR(ISNUMBER(SEARCH("소계",B924)),ISNUMBER(SEARCH("합계",B924))),"",TRIM(IF(B924="","이름 없음 ","")&amp;IF(A924="","받은 가족 없음 ","")&amp;IF(C924="","금액 없음 ",IF(ISNUMBER(C924),IF(C924&lt;1000,"금액 확인 ",""),"금액 확인 "))&amp;IF(AND(B924&lt;&gt;"",COUNTIFS($A$2:$A$1001,A924,$B$2:$B$1001,B924,$C$2:$C$1001,C924)&gt;1),"중복 의심",""))))</f>
        <v/>
      </c>
      <c r="G924" s="25">
        <f>IF(OR(COUNTA(A924:E924)=0,OR(ISNUMBER(SEARCH("소계",B924)),ISNUMBER(SEARCH("합계",B924)))),"",1+COUNTIF($B$1:B923,"*소계*"))</f>
        <v/>
      </c>
      <c r="H924">
        <f>IF(AND(A924&lt;&gt;"",A924=가족별!$B$1,G924&lt;&gt;""),COUNTIFS($A$2:A924,가족별!$B$1,$G$2:G924,"&gt;0"),"")</f>
        <v/>
      </c>
      <c r="I924">
        <f>IF(ISNUMBER(SEARCH("소계",B924)),COUNTIF($B$2:B924,"*소계*"),"")</f>
        <v/>
      </c>
      <c r="J924">
        <f>IF(F924="",0,1)</f>
        <v/>
      </c>
    </row>
    <row r="925">
      <c r="A925" s="41" t="n"/>
      <c r="B925" s="41" t="n"/>
      <c r="C925" s="24" t="n"/>
      <c r="D925" s="41" t="n"/>
      <c r="E925" s="41" t="n"/>
      <c r="F925" s="19">
        <f>IF(COUNTA(A925:E925)=0,"",IF(OR(ISNUMBER(SEARCH("소계",B925)),ISNUMBER(SEARCH("합계",B925))),"",TRIM(IF(B925="","이름 없음 ","")&amp;IF(A925="","받은 가족 없음 ","")&amp;IF(C925="","금액 없음 ",IF(ISNUMBER(C925),IF(C925&lt;1000,"금액 확인 ",""),"금액 확인 "))&amp;IF(AND(B925&lt;&gt;"",COUNTIFS($A$2:$A$1001,A925,$B$2:$B$1001,B925,$C$2:$C$1001,C925)&gt;1),"중복 의심",""))))</f>
        <v/>
      </c>
      <c r="G925" s="25">
        <f>IF(OR(COUNTA(A925:E925)=0,OR(ISNUMBER(SEARCH("소계",B925)),ISNUMBER(SEARCH("합계",B925)))),"",1+COUNTIF($B$1:B924,"*소계*"))</f>
        <v/>
      </c>
      <c r="H925">
        <f>IF(AND(A925&lt;&gt;"",A925=가족별!$B$1,G925&lt;&gt;""),COUNTIFS($A$2:A925,가족별!$B$1,$G$2:G925,"&gt;0"),"")</f>
        <v/>
      </c>
      <c r="I925">
        <f>IF(ISNUMBER(SEARCH("소계",B925)),COUNTIF($B$2:B925,"*소계*"),"")</f>
        <v/>
      </c>
      <c r="J925">
        <f>IF(F925="",0,1)</f>
        <v/>
      </c>
    </row>
    <row r="926">
      <c r="A926" s="41" t="n"/>
      <c r="B926" s="41" t="n"/>
      <c r="C926" s="24" t="n"/>
      <c r="D926" s="41" t="n"/>
      <c r="E926" s="41" t="n"/>
      <c r="F926" s="19">
        <f>IF(COUNTA(A926:E926)=0,"",IF(OR(ISNUMBER(SEARCH("소계",B926)),ISNUMBER(SEARCH("합계",B926))),"",TRIM(IF(B926="","이름 없음 ","")&amp;IF(A926="","받은 가족 없음 ","")&amp;IF(C926="","금액 없음 ",IF(ISNUMBER(C926),IF(C926&lt;1000,"금액 확인 ",""),"금액 확인 "))&amp;IF(AND(B926&lt;&gt;"",COUNTIFS($A$2:$A$1001,A926,$B$2:$B$1001,B926,$C$2:$C$1001,C926)&gt;1),"중복 의심",""))))</f>
        <v/>
      </c>
      <c r="G926" s="25">
        <f>IF(OR(COUNTA(A926:E926)=0,OR(ISNUMBER(SEARCH("소계",B926)),ISNUMBER(SEARCH("합계",B926)))),"",1+COUNTIF($B$1:B925,"*소계*"))</f>
        <v/>
      </c>
      <c r="H926">
        <f>IF(AND(A926&lt;&gt;"",A926=가족별!$B$1,G926&lt;&gt;""),COUNTIFS($A$2:A926,가족별!$B$1,$G$2:G926,"&gt;0"),"")</f>
        <v/>
      </c>
      <c r="I926">
        <f>IF(ISNUMBER(SEARCH("소계",B926)),COUNTIF($B$2:B926,"*소계*"),"")</f>
        <v/>
      </c>
      <c r="J926">
        <f>IF(F926="",0,1)</f>
        <v/>
      </c>
    </row>
    <row r="927">
      <c r="A927" s="41" t="n"/>
      <c r="B927" s="41" t="n"/>
      <c r="C927" s="24" t="n"/>
      <c r="D927" s="41" t="n"/>
      <c r="E927" s="41" t="n"/>
      <c r="F927" s="19">
        <f>IF(COUNTA(A927:E927)=0,"",IF(OR(ISNUMBER(SEARCH("소계",B927)),ISNUMBER(SEARCH("합계",B927))),"",TRIM(IF(B927="","이름 없음 ","")&amp;IF(A927="","받은 가족 없음 ","")&amp;IF(C927="","금액 없음 ",IF(ISNUMBER(C927),IF(C927&lt;1000,"금액 확인 ",""),"금액 확인 "))&amp;IF(AND(B927&lt;&gt;"",COUNTIFS($A$2:$A$1001,A927,$B$2:$B$1001,B927,$C$2:$C$1001,C927)&gt;1),"중복 의심",""))))</f>
        <v/>
      </c>
      <c r="G927" s="25">
        <f>IF(OR(COUNTA(A927:E927)=0,OR(ISNUMBER(SEARCH("소계",B927)),ISNUMBER(SEARCH("합계",B927)))),"",1+COUNTIF($B$1:B926,"*소계*"))</f>
        <v/>
      </c>
      <c r="H927">
        <f>IF(AND(A927&lt;&gt;"",A927=가족별!$B$1,G927&lt;&gt;""),COUNTIFS($A$2:A927,가족별!$B$1,$G$2:G927,"&gt;0"),"")</f>
        <v/>
      </c>
      <c r="I927">
        <f>IF(ISNUMBER(SEARCH("소계",B927)),COUNTIF($B$2:B927,"*소계*"),"")</f>
        <v/>
      </c>
      <c r="J927">
        <f>IF(F927="",0,1)</f>
        <v/>
      </c>
    </row>
    <row r="928">
      <c r="A928" s="41" t="n"/>
      <c r="B928" s="41" t="n"/>
      <c r="C928" s="24" t="n"/>
      <c r="D928" s="41" t="n"/>
      <c r="E928" s="41" t="n"/>
      <c r="F928" s="19">
        <f>IF(COUNTA(A928:E928)=0,"",IF(OR(ISNUMBER(SEARCH("소계",B928)),ISNUMBER(SEARCH("합계",B928))),"",TRIM(IF(B928="","이름 없음 ","")&amp;IF(A928="","받은 가족 없음 ","")&amp;IF(C928="","금액 없음 ",IF(ISNUMBER(C928),IF(C928&lt;1000,"금액 확인 ",""),"금액 확인 "))&amp;IF(AND(B928&lt;&gt;"",COUNTIFS($A$2:$A$1001,A928,$B$2:$B$1001,B928,$C$2:$C$1001,C928)&gt;1),"중복 의심",""))))</f>
        <v/>
      </c>
      <c r="G928" s="25">
        <f>IF(OR(COUNTA(A928:E928)=0,OR(ISNUMBER(SEARCH("소계",B928)),ISNUMBER(SEARCH("합계",B928)))),"",1+COUNTIF($B$1:B927,"*소계*"))</f>
        <v/>
      </c>
      <c r="H928">
        <f>IF(AND(A928&lt;&gt;"",A928=가족별!$B$1,G928&lt;&gt;""),COUNTIFS($A$2:A928,가족별!$B$1,$G$2:G928,"&gt;0"),"")</f>
        <v/>
      </c>
      <c r="I928">
        <f>IF(ISNUMBER(SEARCH("소계",B928)),COUNTIF($B$2:B928,"*소계*"),"")</f>
        <v/>
      </c>
      <c r="J928">
        <f>IF(F928="",0,1)</f>
        <v/>
      </c>
    </row>
    <row r="929">
      <c r="A929" s="41" t="n"/>
      <c r="B929" s="41" t="n"/>
      <c r="C929" s="24" t="n"/>
      <c r="D929" s="41" t="n"/>
      <c r="E929" s="41" t="n"/>
      <c r="F929" s="19">
        <f>IF(COUNTA(A929:E929)=0,"",IF(OR(ISNUMBER(SEARCH("소계",B929)),ISNUMBER(SEARCH("합계",B929))),"",TRIM(IF(B929="","이름 없음 ","")&amp;IF(A929="","받은 가족 없음 ","")&amp;IF(C929="","금액 없음 ",IF(ISNUMBER(C929),IF(C929&lt;1000,"금액 확인 ",""),"금액 확인 "))&amp;IF(AND(B929&lt;&gt;"",COUNTIFS($A$2:$A$1001,A929,$B$2:$B$1001,B929,$C$2:$C$1001,C929)&gt;1),"중복 의심",""))))</f>
        <v/>
      </c>
      <c r="G929" s="25">
        <f>IF(OR(COUNTA(A929:E929)=0,OR(ISNUMBER(SEARCH("소계",B929)),ISNUMBER(SEARCH("합계",B929)))),"",1+COUNTIF($B$1:B928,"*소계*"))</f>
        <v/>
      </c>
      <c r="H929">
        <f>IF(AND(A929&lt;&gt;"",A929=가족별!$B$1,G929&lt;&gt;""),COUNTIFS($A$2:A929,가족별!$B$1,$G$2:G929,"&gt;0"),"")</f>
        <v/>
      </c>
      <c r="I929">
        <f>IF(ISNUMBER(SEARCH("소계",B929)),COUNTIF($B$2:B929,"*소계*"),"")</f>
        <v/>
      </c>
      <c r="J929">
        <f>IF(F929="",0,1)</f>
        <v/>
      </c>
    </row>
    <row r="930">
      <c r="A930" s="41" t="n"/>
      <c r="B930" s="41" t="n"/>
      <c r="C930" s="24" t="n"/>
      <c r="D930" s="41" t="n"/>
      <c r="E930" s="41" t="n"/>
      <c r="F930" s="19">
        <f>IF(COUNTA(A930:E930)=0,"",IF(OR(ISNUMBER(SEARCH("소계",B930)),ISNUMBER(SEARCH("합계",B930))),"",TRIM(IF(B930="","이름 없음 ","")&amp;IF(A930="","받은 가족 없음 ","")&amp;IF(C930="","금액 없음 ",IF(ISNUMBER(C930),IF(C930&lt;1000,"금액 확인 ",""),"금액 확인 "))&amp;IF(AND(B930&lt;&gt;"",COUNTIFS($A$2:$A$1001,A930,$B$2:$B$1001,B930,$C$2:$C$1001,C930)&gt;1),"중복 의심",""))))</f>
        <v/>
      </c>
      <c r="G930" s="25">
        <f>IF(OR(COUNTA(A930:E930)=0,OR(ISNUMBER(SEARCH("소계",B930)),ISNUMBER(SEARCH("합계",B930)))),"",1+COUNTIF($B$1:B929,"*소계*"))</f>
        <v/>
      </c>
      <c r="H930">
        <f>IF(AND(A930&lt;&gt;"",A930=가족별!$B$1,G930&lt;&gt;""),COUNTIFS($A$2:A930,가족별!$B$1,$G$2:G930,"&gt;0"),"")</f>
        <v/>
      </c>
      <c r="I930">
        <f>IF(ISNUMBER(SEARCH("소계",B930)),COUNTIF($B$2:B930,"*소계*"),"")</f>
        <v/>
      </c>
      <c r="J930">
        <f>IF(F930="",0,1)</f>
        <v/>
      </c>
    </row>
    <row r="931">
      <c r="A931" s="41" t="n"/>
      <c r="B931" s="41" t="n"/>
      <c r="C931" s="24" t="n"/>
      <c r="D931" s="41" t="n"/>
      <c r="E931" s="41" t="n"/>
      <c r="F931" s="19">
        <f>IF(COUNTA(A931:E931)=0,"",IF(OR(ISNUMBER(SEARCH("소계",B931)),ISNUMBER(SEARCH("합계",B931))),"",TRIM(IF(B931="","이름 없음 ","")&amp;IF(A931="","받은 가족 없음 ","")&amp;IF(C931="","금액 없음 ",IF(ISNUMBER(C931),IF(C931&lt;1000,"금액 확인 ",""),"금액 확인 "))&amp;IF(AND(B931&lt;&gt;"",COUNTIFS($A$2:$A$1001,A931,$B$2:$B$1001,B931,$C$2:$C$1001,C931)&gt;1),"중복 의심",""))))</f>
        <v/>
      </c>
      <c r="G931" s="25">
        <f>IF(OR(COUNTA(A931:E931)=0,OR(ISNUMBER(SEARCH("소계",B931)),ISNUMBER(SEARCH("합계",B931)))),"",1+COUNTIF($B$1:B930,"*소계*"))</f>
        <v/>
      </c>
      <c r="H931">
        <f>IF(AND(A931&lt;&gt;"",A931=가족별!$B$1,G931&lt;&gt;""),COUNTIFS($A$2:A931,가족별!$B$1,$G$2:G931,"&gt;0"),"")</f>
        <v/>
      </c>
      <c r="I931">
        <f>IF(ISNUMBER(SEARCH("소계",B931)),COUNTIF($B$2:B931,"*소계*"),"")</f>
        <v/>
      </c>
      <c r="J931">
        <f>IF(F931="",0,1)</f>
        <v/>
      </c>
    </row>
    <row r="932">
      <c r="A932" s="41" t="n"/>
      <c r="B932" s="41" t="n"/>
      <c r="C932" s="24" t="n"/>
      <c r="D932" s="41" t="n"/>
      <c r="E932" s="41" t="n"/>
      <c r="F932" s="19">
        <f>IF(COUNTA(A932:E932)=0,"",IF(OR(ISNUMBER(SEARCH("소계",B932)),ISNUMBER(SEARCH("합계",B932))),"",TRIM(IF(B932="","이름 없음 ","")&amp;IF(A932="","받은 가족 없음 ","")&amp;IF(C932="","금액 없음 ",IF(ISNUMBER(C932),IF(C932&lt;1000,"금액 확인 ",""),"금액 확인 "))&amp;IF(AND(B932&lt;&gt;"",COUNTIFS($A$2:$A$1001,A932,$B$2:$B$1001,B932,$C$2:$C$1001,C932)&gt;1),"중복 의심",""))))</f>
        <v/>
      </c>
      <c r="G932" s="25">
        <f>IF(OR(COUNTA(A932:E932)=0,OR(ISNUMBER(SEARCH("소계",B932)),ISNUMBER(SEARCH("합계",B932)))),"",1+COUNTIF($B$1:B931,"*소계*"))</f>
        <v/>
      </c>
      <c r="H932">
        <f>IF(AND(A932&lt;&gt;"",A932=가족별!$B$1,G932&lt;&gt;""),COUNTIFS($A$2:A932,가족별!$B$1,$G$2:G932,"&gt;0"),"")</f>
        <v/>
      </c>
      <c r="I932">
        <f>IF(ISNUMBER(SEARCH("소계",B932)),COUNTIF($B$2:B932,"*소계*"),"")</f>
        <v/>
      </c>
      <c r="J932">
        <f>IF(F932="",0,1)</f>
        <v/>
      </c>
    </row>
    <row r="933">
      <c r="A933" s="41" t="n"/>
      <c r="B933" s="41" t="n"/>
      <c r="C933" s="24" t="n"/>
      <c r="D933" s="41" t="n"/>
      <c r="E933" s="41" t="n"/>
      <c r="F933" s="19">
        <f>IF(COUNTA(A933:E933)=0,"",IF(OR(ISNUMBER(SEARCH("소계",B933)),ISNUMBER(SEARCH("합계",B933))),"",TRIM(IF(B933="","이름 없음 ","")&amp;IF(A933="","받은 가족 없음 ","")&amp;IF(C933="","금액 없음 ",IF(ISNUMBER(C933),IF(C933&lt;1000,"금액 확인 ",""),"금액 확인 "))&amp;IF(AND(B933&lt;&gt;"",COUNTIFS($A$2:$A$1001,A933,$B$2:$B$1001,B933,$C$2:$C$1001,C933)&gt;1),"중복 의심",""))))</f>
        <v/>
      </c>
      <c r="G933" s="25">
        <f>IF(OR(COUNTA(A933:E933)=0,OR(ISNUMBER(SEARCH("소계",B933)),ISNUMBER(SEARCH("합계",B933)))),"",1+COUNTIF($B$1:B932,"*소계*"))</f>
        <v/>
      </c>
      <c r="H933">
        <f>IF(AND(A933&lt;&gt;"",A933=가족별!$B$1,G933&lt;&gt;""),COUNTIFS($A$2:A933,가족별!$B$1,$G$2:G933,"&gt;0"),"")</f>
        <v/>
      </c>
      <c r="I933">
        <f>IF(ISNUMBER(SEARCH("소계",B933)),COUNTIF($B$2:B933,"*소계*"),"")</f>
        <v/>
      </c>
      <c r="J933">
        <f>IF(F933="",0,1)</f>
        <v/>
      </c>
    </row>
    <row r="934">
      <c r="A934" s="41" t="n"/>
      <c r="B934" s="41" t="n"/>
      <c r="C934" s="24" t="n"/>
      <c r="D934" s="41" t="n"/>
      <c r="E934" s="41" t="n"/>
      <c r="F934" s="19">
        <f>IF(COUNTA(A934:E934)=0,"",IF(OR(ISNUMBER(SEARCH("소계",B934)),ISNUMBER(SEARCH("합계",B934))),"",TRIM(IF(B934="","이름 없음 ","")&amp;IF(A934="","받은 가족 없음 ","")&amp;IF(C934="","금액 없음 ",IF(ISNUMBER(C934),IF(C934&lt;1000,"금액 확인 ",""),"금액 확인 "))&amp;IF(AND(B934&lt;&gt;"",COUNTIFS($A$2:$A$1001,A934,$B$2:$B$1001,B934,$C$2:$C$1001,C934)&gt;1),"중복 의심",""))))</f>
        <v/>
      </c>
      <c r="G934" s="25">
        <f>IF(OR(COUNTA(A934:E934)=0,OR(ISNUMBER(SEARCH("소계",B934)),ISNUMBER(SEARCH("합계",B934)))),"",1+COUNTIF($B$1:B933,"*소계*"))</f>
        <v/>
      </c>
      <c r="H934">
        <f>IF(AND(A934&lt;&gt;"",A934=가족별!$B$1,G934&lt;&gt;""),COUNTIFS($A$2:A934,가족별!$B$1,$G$2:G934,"&gt;0"),"")</f>
        <v/>
      </c>
      <c r="I934">
        <f>IF(ISNUMBER(SEARCH("소계",B934)),COUNTIF($B$2:B934,"*소계*"),"")</f>
        <v/>
      </c>
      <c r="J934">
        <f>IF(F934="",0,1)</f>
        <v/>
      </c>
    </row>
    <row r="935">
      <c r="A935" s="41" t="n"/>
      <c r="B935" s="41" t="n"/>
      <c r="C935" s="24" t="n"/>
      <c r="D935" s="41" t="n"/>
      <c r="E935" s="41" t="n"/>
      <c r="F935" s="19">
        <f>IF(COUNTA(A935:E935)=0,"",IF(OR(ISNUMBER(SEARCH("소계",B935)),ISNUMBER(SEARCH("합계",B935))),"",TRIM(IF(B935="","이름 없음 ","")&amp;IF(A935="","받은 가족 없음 ","")&amp;IF(C935="","금액 없음 ",IF(ISNUMBER(C935),IF(C935&lt;1000,"금액 확인 ",""),"금액 확인 "))&amp;IF(AND(B935&lt;&gt;"",COUNTIFS($A$2:$A$1001,A935,$B$2:$B$1001,B935,$C$2:$C$1001,C935)&gt;1),"중복 의심",""))))</f>
        <v/>
      </c>
      <c r="G935" s="25">
        <f>IF(OR(COUNTA(A935:E935)=0,OR(ISNUMBER(SEARCH("소계",B935)),ISNUMBER(SEARCH("합계",B935)))),"",1+COUNTIF($B$1:B934,"*소계*"))</f>
        <v/>
      </c>
      <c r="H935">
        <f>IF(AND(A935&lt;&gt;"",A935=가족별!$B$1,G935&lt;&gt;""),COUNTIFS($A$2:A935,가족별!$B$1,$G$2:G935,"&gt;0"),"")</f>
        <v/>
      </c>
      <c r="I935">
        <f>IF(ISNUMBER(SEARCH("소계",B935)),COUNTIF($B$2:B935,"*소계*"),"")</f>
        <v/>
      </c>
      <c r="J935">
        <f>IF(F935="",0,1)</f>
        <v/>
      </c>
    </row>
    <row r="936">
      <c r="A936" s="41" t="n"/>
      <c r="B936" s="41" t="n"/>
      <c r="C936" s="24" t="n"/>
      <c r="D936" s="41" t="n"/>
      <c r="E936" s="41" t="n"/>
      <c r="F936" s="19">
        <f>IF(COUNTA(A936:E936)=0,"",IF(OR(ISNUMBER(SEARCH("소계",B936)),ISNUMBER(SEARCH("합계",B936))),"",TRIM(IF(B936="","이름 없음 ","")&amp;IF(A936="","받은 가족 없음 ","")&amp;IF(C936="","금액 없음 ",IF(ISNUMBER(C936),IF(C936&lt;1000,"금액 확인 ",""),"금액 확인 "))&amp;IF(AND(B936&lt;&gt;"",COUNTIFS($A$2:$A$1001,A936,$B$2:$B$1001,B936,$C$2:$C$1001,C936)&gt;1),"중복 의심",""))))</f>
        <v/>
      </c>
      <c r="G936" s="25">
        <f>IF(OR(COUNTA(A936:E936)=0,OR(ISNUMBER(SEARCH("소계",B936)),ISNUMBER(SEARCH("합계",B936)))),"",1+COUNTIF($B$1:B935,"*소계*"))</f>
        <v/>
      </c>
      <c r="H936">
        <f>IF(AND(A936&lt;&gt;"",A936=가족별!$B$1,G936&lt;&gt;""),COUNTIFS($A$2:A936,가족별!$B$1,$G$2:G936,"&gt;0"),"")</f>
        <v/>
      </c>
      <c r="I936">
        <f>IF(ISNUMBER(SEARCH("소계",B936)),COUNTIF($B$2:B936,"*소계*"),"")</f>
        <v/>
      </c>
      <c r="J936">
        <f>IF(F936="",0,1)</f>
        <v/>
      </c>
    </row>
    <row r="937">
      <c r="A937" s="41" t="n"/>
      <c r="B937" s="41" t="n"/>
      <c r="C937" s="24" t="n"/>
      <c r="D937" s="41" t="n"/>
      <c r="E937" s="41" t="n"/>
      <c r="F937" s="19">
        <f>IF(COUNTA(A937:E937)=0,"",IF(OR(ISNUMBER(SEARCH("소계",B937)),ISNUMBER(SEARCH("합계",B937))),"",TRIM(IF(B937="","이름 없음 ","")&amp;IF(A937="","받은 가족 없음 ","")&amp;IF(C937="","금액 없음 ",IF(ISNUMBER(C937),IF(C937&lt;1000,"금액 확인 ",""),"금액 확인 "))&amp;IF(AND(B937&lt;&gt;"",COUNTIFS($A$2:$A$1001,A937,$B$2:$B$1001,B937,$C$2:$C$1001,C937)&gt;1),"중복 의심",""))))</f>
        <v/>
      </c>
      <c r="G937" s="25">
        <f>IF(OR(COUNTA(A937:E937)=0,OR(ISNUMBER(SEARCH("소계",B937)),ISNUMBER(SEARCH("합계",B937)))),"",1+COUNTIF($B$1:B936,"*소계*"))</f>
        <v/>
      </c>
      <c r="H937">
        <f>IF(AND(A937&lt;&gt;"",A937=가족별!$B$1,G937&lt;&gt;""),COUNTIFS($A$2:A937,가족별!$B$1,$G$2:G937,"&gt;0"),"")</f>
        <v/>
      </c>
      <c r="I937">
        <f>IF(ISNUMBER(SEARCH("소계",B937)),COUNTIF($B$2:B937,"*소계*"),"")</f>
        <v/>
      </c>
      <c r="J937">
        <f>IF(F937="",0,1)</f>
        <v/>
      </c>
    </row>
    <row r="938">
      <c r="A938" s="41" t="n"/>
      <c r="B938" s="41" t="n"/>
      <c r="C938" s="24" t="n"/>
      <c r="D938" s="41" t="n"/>
      <c r="E938" s="41" t="n"/>
      <c r="F938" s="19">
        <f>IF(COUNTA(A938:E938)=0,"",IF(OR(ISNUMBER(SEARCH("소계",B938)),ISNUMBER(SEARCH("합계",B938))),"",TRIM(IF(B938="","이름 없음 ","")&amp;IF(A938="","받은 가족 없음 ","")&amp;IF(C938="","금액 없음 ",IF(ISNUMBER(C938),IF(C938&lt;1000,"금액 확인 ",""),"금액 확인 "))&amp;IF(AND(B938&lt;&gt;"",COUNTIFS($A$2:$A$1001,A938,$B$2:$B$1001,B938,$C$2:$C$1001,C938)&gt;1),"중복 의심",""))))</f>
        <v/>
      </c>
      <c r="G938" s="25">
        <f>IF(OR(COUNTA(A938:E938)=0,OR(ISNUMBER(SEARCH("소계",B938)),ISNUMBER(SEARCH("합계",B938)))),"",1+COUNTIF($B$1:B937,"*소계*"))</f>
        <v/>
      </c>
      <c r="H938">
        <f>IF(AND(A938&lt;&gt;"",A938=가족별!$B$1,G938&lt;&gt;""),COUNTIFS($A$2:A938,가족별!$B$1,$G$2:G938,"&gt;0"),"")</f>
        <v/>
      </c>
      <c r="I938">
        <f>IF(ISNUMBER(SEARCH("소계",B938)),COUNTIF($B$2:B938,"*소계*"),"")</f>
        <v/>
      </c>
      <c r="J938">
        <f>IF(F938="",0,1)</f>
        <v/>
      </c>
    </row>
    <row r="939">
      <c r="A939" s="41" t="n"/>
      <c r="B939" s="41" t="n"/>
      <c r="C939" s="24" t="n"/>
      <c r="D939" s="41" t="n"/>
      <c r="E939" s="41" t="n"/>
      <c r="F939" s="19">
        <f>IF(COUNTA(A939:E939)=0,"",IF(OR(ISNUMBER(SEARCH("소계",B939)),ISNUMBER(SEARCH("합계",B939))),"",TRIM(IF(B939="","이름 없음 ","")&amp;IF(A939="","받은 가족 없음 ","")&amp;IF(C939="","금액 없음 ",IF(ISNUMBER(C939),IF(C939&lt;1000,"금액 확인 ",""),"금액 확인 "))&amp;IF(AND(B939&lt;&gt;"",COUNTIFS($A$2:$A$1001,A939,$B$2:$B$1001,B939,$C$2:$C$1001,C939)&gt;1),"중복 의심",""))))</f>
        <v/>
      </c>
      <c r="G939" s="25">
        <f>IF(OR(COUNTA(A939:E939)=0,OR(ISNUMBER(SEARCH("소계",B939)),ISNUMBER(SEARCH("합계",B939)))),"",1+COUNTIF($B$1:B938,"*소계*"))</f>
        <v/>
      </c>
      <c r="H939">
        <f>IF(AND(A939&lt;&gt;"",A939=가족별!$B$1,G939&lt;&gt;""),COUNTIFS($A$2:A939,가족별!$B$1,$G$2:G939,"&gt;0"),"")</f>
        <v/>
      </c>
      <c r="I939">
        <f>IF(ISNUMBER(SEARCH("소계",B939)),COUNTIF($B$2:B939,"*소계*"),"")</f>
        <v/>
      </c>
      <c r="J939">
        <f>IF(F939="",0,1)</f>
        <v/>
      </c>
    </row>
    <row r="940">
      <c r="A940" s="41" t="n"/>
      <c r="B940" s="41" t="n"/>
      <c r="C940" s="24" t="n"/>
      <c r="D940" s="41" t="n"/>
      <c r="E940" s="41" t="n"/>
      <c r="F940" s="19">
        <f>IF(COUNTA(A940:E940)=0,"",IF(OR(ISNUMBER(SEARCH("소계",B940)),ISNUMBER(SEARCH("합계",B940))),"",TRIM(IF(B940="","이름 없음 ","")&amp;IF(A940="","받은 가족 없음 ","")&amp;IF(C940="","금액 없음 ",IF(ISNUMBER(C940),IF(C940&lt;1000,"금액 확인 ",""),"금액 확인 "))&amp;IF(AND(B940&lt;&gt;"",COUNTIFS($A$2:$A$1001,A940,$B$2:$B$1001,B940,$C$2:$C$1001,C940)&gt;1),"중복 의심",""))))</f>
        <v/>
      </c>
      <c r="G940" s="25">
        <f>IF(OR(COUNTA(A940:E940)=0,OR(ISNUMBER(SEARCH("소계",B940)),ISNUMBER(SEARCH("합계",B940)))),"",1+COUNTIF($B$1:B939,"*소계*"))</f>
        <v/>
      </c>
      <c r="H940">
        <f>IF(AND(A940&lt;&gt;"",A940=가족별!$B$1,G940&lt;&gt;""),COUNTIFS($A$2:A940,가족별!$B$1,$G$2:G940,"&gt;0"),"")</f>
        <v/>
      </c>
      <c r="I940">
        <f>IF(ISNUMBER(SEARCH("소계",B940)),COUNTIF($B$2:B940,"*소계*"),"")</f>
        <v/>
      </c>
      <c r="J940">
        <f>IF(F940="",0,1)</f>
        <v/>
      </c>
    </row>
    <row r="941">
      <c r="A941" s="41" t="n"/>
      <c r="B941" s="41" t="n"/>
      <c r="C941" s="24" t="n"/>
      <c r="D941" s="41" t="n"/>
      <c r="E941" s="41" t="n"/>
      <c r="F941" s="19">
        <f>IF(COUNTA(A941:E941)=0,"",IF(OR(ISNUMBER(SEARCH("소계",B941)),ISNUMBER(SEARCH("합계",B941))),"",TRIM(IF(B941="","이름 없음 ","")&amp;IF(A941="","받은 가족 없음 ","")&amp;IF(C941="","금액 없음 ",IF(ISNUMBER(C941),IF(C941&lt;1000,"금액 확인 ",""),"금액 확인 "))&amp;IF(AND(B941&lt;&gt;"",COUNTIFS($A$2:$A$1001,A941,$B$2:$B$1001,B941,$C$2:$C$1001,C941)&gt;1),"중복 의심",""))))</f>
        <v/>
      </c>
      <c r="G941" s="25">
        <f>IF(OR(COUNTA(A941:E941)=0,OR(ISNUMBER(SEARCH("소계",B941)),ISNUMBER(SEARCH("합계",B941)))),"",1+COUNTIF($B$1:B940,"*소계*"))</f>
        <v/>
      </c>
      <c r="H941">
        <f>IF(AND(A941&lt;&gt;"",A941=가족별!$B$1,G941&lt;&gt;""),COUNTIFS($A$2:A941,가족별!$B$1,$G$2:G941,"&gt;0"),"")</f>
        <v/>
      </c>
      <c r="I941">
        <f>IF(ISNUMBER(SEARCH("소계",B941)),COUNTIF($B$2:B941,"*소계*"),"")</f>
        <v/>
      </c>
      <c r="J941">
        <f>IF(F941="",0,1)</f>
        <v/>
      </c>
    </row>
    <row r="942">
      <c r="A942" s="41" t="n"/>
      <c r="B942" s="41" t="n"/>
      <c r="C942" s="24" t="n"/>
      <c r="D942" s="41" t="n"/>
      <c r="E942" s="41" t="n"/>
      <c r="F942" s="19">
        <f>IF(COUNTA(A942:E942)=0,"",IF(OR(ISNUMBER(SEARCH("소계",B942)),ISNUMBER(SEARCH("합계",B942))),"",TRIM(IF(B942="","이름 없음 ","")&amp;IF(A942="","받은 가족 없음 ","")&amp;IF(C942="","금액 없음 ",IF(ISNUMBER(C942),IF(C942&lt;1000,"금액 확인 ",""),"금액 확인 "))&amp;IF(AND(B942&lt;&gt;"",COUNTIFS($A$2:$A$1001,A942,$B$2:$B$1001,B942,$C$2:$C$1001,C942)&gt;1),"중복 의심",""))))</f>
        <v/>
      </c>
      <c r="G942" s="25">
        <f>IF(OR(COUNTA(A942:E942)=0,OR(ISNUMBER(SEARCH("소계",B942)),ISNUMBER(SEARCH("합계",B942)))),"",1+COUNTIF($B$1:B941,"*소계*"))</f>
        <v/>
      </c>
      <c r="H942">
        <f>IF(AND(A942&lt;&gt;"",A942=가족별!$B$1,G942&lt;&gt;""),COUNTIFS($A$2:A942,가족별!$B$1,$G$2:G942,"&gt;0"),"")</f>
        <v/>
      </c>
      <c r="I942">
        <f>IF(ISNUMBER(SEARCH("소계",B942)),COUNTIF($B$2:B942,"*소계*"),"")</f>
        <v/>
      </c>
      <c r="J942">
        <f>IF(F942="",0,1)</f>
        <v/>
      </c>
    </row>
    <row r="943">
      <c r="A943" s="41" t="n"/>
      <c r="B943" s="41" t="n"/>
      <c r="C943" s="24" t="n"/>
      <c r="D943" s="41" t="n"/>
      <c r="E943" s="41" t="n"/>
      <c r="F943" s="19">
        <f>IF(COUNTA(A943:E943)=0,"",IF(OR(ISNUMBER(SEARCH("소계",B943)),ISNUMBER(SEARCH("합계",B943))),"",TRIM(IF(B943="","이름 없음 ","")&amp;IF(A943="","받은 가족 없음 ","")&amp;IF(C943="","금액 없음 ",IF(ISNUMBER(C943),IF(C943&lt;1000,"금액 확인 ",""),"금액 확인 "))&amp;IF(AND(B943&lt;&gt;"",COUNTIFS($A$2:$A$1001,A943,$B$2:$B$1001,B943,$C$2:$C$1001,C943)&gt;1),"중복 의심",""))))</f>
        <v/>
      </c>
      <c r="G943" s="25">
        <f>IF(OR(COUNTA(A943:E943)=0,OR(ISNUMBER(SEARCH("소계",B943)),ISNUMBER(SEARCH("합계",B943)))),"",1+COUNTIF($B$1:B942,"*소계*"))</f>
        <v/>
      </c>
      <c r="H943">
        <f>IF(AND(A943&lt;&gt;"",A943=가족별!$B$1,G943&lt;&gt;""),COUNTIFS($A$2:A943,가족별!$B$1,$G$2:G943,"&gt;0"),"")</f>
        <v/>
      </c>
      <c r="I943">
        <f>IF(ISNUMBER(SEARCH("소계",B943)),COUNTIF($B$2:B943,"*소계*"),"")</f>
        <v/>
      </c>
      <c r="J943">
        <f>IF(F943="",0,1)</f>
        <v/>
      </c>
    </row>
    <row r="944">
      <c r="A944" s="41" t="n"/>
      <c r="B944" s="41" t="n"/>
      <c r="C944" s="24" t="n"/>
      <c r="D944" s="41" t="n"/>
      <c r="E944" s="41" t="n"/>
      <c r="F944" s="19">
        <f>IF(COUNTA(A944:E944)=0,"",IF(OR(ISNUMBER(SEARCH("소계",B944)),ISNUMBER(SEARCH("합계",B944))),"",TRIM(IF(B944="","이름 없음 ","")&amp;IF(A944="","받은 가족 없음 ","")&amp;IF(C944="","금액 없음 ",IF(ISNUMBER(C944),IF(C944&lt;1000,"금액 확인 ",""),"금액 확인 "))&amp;IF(AND(B944&lt;&gt;"",COUNTIFS($A$2:$A$1001,A944,$B$2:$B$1001,B944,$C$2:$C$1001,C944)&gt;1),"중복 의심",""))))</f>
        <v/>
      </c>
      <c r="G944" s="25">
        <f>IF(OR(COUNTA(A944:E944)=0,OR(ISNUMBER(SEARCH("소계",B944)),ISNUMBER(SEARCH("합계",B944)))),"",1+COUNTIF($B$1:B943,"*소계*"))</f>
        <v/>
      </c>
      <c r="H944">
        <f>IF(AND(A944&lt;&gt;"",A944=가족별!$B$1,G944&lt;&gt;""),COUNTIFS($A$2:A944,가족별!$B$1,$G$2:G944,"&gt;0"),"")</f>
        <v/>
      </c>
      <c r="I944">
        <f>IF(ISNUMBER(SEARCH("소계",B944)),COUNTIF($B$2:B944,"*소계*"),"")</f>
        <v/>
      </c>
      <c r="J944">
        <f>IF(F944="",0,1)</f>
        <v/>
      </c>
    </row>
    <row r="945">
      <c r="A945" s="41" t="n"/>
      <c r="B945" s="41" t="n"/>
      <c r="C945" s="24" t="n"/>
      <c r="D945" s="41" t="n"/>
      <c r="E945" s="41" t="n"/>
      <c r="F945" s="19">
        <f>IF(COUNTA(A945:E945)=0,"",IF(OR(ISNUMBER(SEARCH("소계",B945)),ISNUMBER(SEARCH("합계",B945))),"",TRIM(IF(B945="","이름 없음 ","")&amp;IF(A945="","받은 가족 없음 ","")&amp;IF(C945="","금액 없음 ",IF(ISNUMBER(C945),IF(C945&lt;1000,"금액 확인 ",""),"금액 확인 "))&amp;IF(AND(B945&lt;&gt;"",COUNTIFS($A$2:$A$1001,A945,$B$2:$B$1001,B945,$C$2:$C$1001,C945)&gt;1),"중복 의심",""))))</f>
        <v/>
      </c>
      <c r="G945" s="25">
        <f>IF(OR(COUNTA(A945:E945)=0,OR(ISNUMBER(SEARCH("소계",B945)),ISNUMBER(SEARCH("합계",B945)))),"",1+COUNTIF($B$1:B944,"*소계*"))</f>
        <v/>
      </c>
      <c r="H945">
        <f>IF(AND(A945&lt;&gt;"",A945=가족별!$B$1,G945&lt;&gt;""),COUNTIFS($A$2:A945,가족별!$B$1,$G$2:G945,"&gt;0"),"")</f>
        <v/>
      </c>
      <c r="I945">
        <f>IF(ISNUMBER(SEARCH("소계",B945)),COUNTIF($B$2:B945,"*소계*"),"")</f>
        <v/>
      </c>
      <c r="J945">
        <f>IF(F945="",0,1)</f>
        <v/>
      </c>
    </row>
    <row r="946">
      <c r="A946" s="41" t="n"/>
      <c r="B946" s="41" t="n"/>
      <c r="C946" s="24" t="n"/>
      <c r="D946" s="41" t="n"/>
      <c r="E946" s="41" t="n"/>
      <c r="F946" s="19">
        <f>IF(COUNTA(A946:E946)=0,"",IF(OR(ISNUMBER(SEARCH("소계",B946)),ISNUMBER(SEARCH("합계",B946))),"",TRIM(IF(B946="","이름 없음 ","")&amp;IF(A946="","받은 가족 없음 ","")&amp;IF(C946="","금액 없음 ",IF(ISNUMBER(C946),IF(C946&lt;1000,"금액 확인 ",""),"금액 확인 "))&amp;IF(AND(B946&lt;&gt;"",COUNTIFS($A$2:$A$1001,A946,$B$2:$B$1001,B946,$C$2:$C$1001,C946)&gt;1),"중복 의심",""))))</f>
        <v/>
      </c>
      <c r="G946" s="25">
        <f>IF(OR(COUNTA(A946:E946)=0,OR(ISNUMBER(SEARCH("소계",B946)),ISNUMBER(SEARCH("합계",B946)))),"",1+COUNTIF($B$1:B945,"*소계*"))</f>
        <v/>
      </c>
      <c r="H946">
        <f>IF(AND(A946&lt;&gt;"",A946=가족별!$B$1,G946&lt;&gt;""),COUNTIFS($A$2:A946,가족별!$B$1,$G$2:G946,"&gt;0"),"")</f>
        <v/>
      </c>
      <c r="I946">
        <f>IF(ISNUMBER(SEARCH("소계",B946)),COUNTIF($B$2:B946,"*소계*"),"")</f>
        <v/>
      </c>
      <c r="J946">
        <f>IF(F946="",0,1)</f>
        <v/>
      </c>
    </row>
    <row r="947">
      <c r="A947" s="41" t="n"/>
      <c r="B947" s="41" t="n"/>
      <c r="C947" s="24" t="n"/>
      <c r="D947" s="41" t="n"/>
      <c r="E947" s="41" t="n"/>
      <c r="F947" s="19">
        <f>IF(COUNTA(A947:E947)=0,"",IF(OR(ISNUMBER(SEARCH("소계",B947)),ISNUMBER(SEARCH("합계",B947))),"",TRIM(IF(B947="","이름 없음 ","")&amp;IF(A947="","받은 가족 없음 ","")&amp;IF(C947="","금액 없음 ",IF(ISNUMBER(C947),IF(C947&lt;1000,"금액 확인 ",""),"금액 확인 "))&amp;IF(AND(B947&lt;&gt;"",COUNTIFS($A$2:$A$1001,A947,$B$2:$B$1001,B947,$C$2:$C$1001,C947)&gt;1),"중복 의심",""))))</f>
        <v/>
      </c>
      <c r="G947" s="25">
        <f>IF(OR(COUNTA(A947:E947)=0,OR(ISNUMBER(SEARCH("소계",B947)),ISNUMBER(SEARCH("합계",B947)))),"",1+COUNTIF($B$1:B946,"*소계*"))</f>
        <v/>
      </c>
      <c r="H947">
        <f>IF(AND(A947&lt;&gt;"",A947=가족별!$B$1,G947&lt;&gt;""),COUNTIFS($A$2:A947,가족별!$B$1,$G$2:G947,"&gt;0"),"")</f>
        <v/>
      </c>
      <c r="I947">
        <f>IF(ISNUMBER(SEARCH("소계",B947)),COUNTIF($B$2:B947,"*소계*"),"")</f>
        <v/>
      </c>
      <c r="J947">
        <f>IF(F947="",0,1)</f>
        <v/>
      </c>
    </row>
    <row r="948">
      <c r="A948" s="41" t="n"/>
      <c r="B948" s="41" t="n"/>
      <c r="C948" s="24" t="n"/>
      <c r="D948" s="41" t="n"/>
      <c r="E948" s="41" t="n"/>
      <c r="F948" s="19">
        <f>IF(COUNTA(A948:E948)=0,"",IF(OR(ISNUMBER(SEARCH("소계",B948)),ISNUMBER(SEARCH("합계",B948))),"",TRIM(IF(B948="","이름 없음 ","")&amp;IF(A948="","받은 가족 없음 ","")&amp;IF(C948="","금액 없음 ",IF(ISNUMBER(C948),IF(C948&lt;1000,"금액 확인 ",""),"금액 확인 "))&amp;IF(AND(B948&lt;&gt;"",COUNTIFS($A$2:$A$1001,A948,$B$2:$B$1001,B948,$C$2:$C$1001,C948)&gt;1),"중복 의심",""))))</f>
        <v/>
      </c>
      <c r="G948" s="25">
        <f>IF(OR(COUNTA(A948:E948)=0,OR(ISNUMBER(SEARCH("소계",B948)),ISNUMBER(SEARCH("합계",B948)))),"",1+COUNTIF($B$1:B947,"*소계*"))</f>
        <v/>
      </c>
      <c r="H948">
        <f>IF(AND(A948&lt;&gt;"",A948=가족별!$B$1,G948&lt;&gt;""),COUNTIFS($A$2:A948,가족별!$B$1,$G$2:G948,"&gt;0"),"")</f>
        <v/>
      </c>
      <c r="I948">
        <f>IF(ISNUMBER(SEARCH("소계",B948)),COUNTIF($B$2:B948,"*소계*"),"")</f>
        <v/>
      </c>
      <c r="J948">
        <f>IF(F948="",0,1)</f>
        <v/>
      </c>
    </row>
    <row r="949">
      <c r="A949" s="41" t="n"/>
      <c r="B949" s="41" t="n"/>
      <c r="C949" s="24" t="n"/>
      <c r="D949" s="41" t="n"/>
      <c r="E949" s="41" t="n"/>
      <c r="F949" s="19">
        <f>IF(COUNTA(A949:E949)=0,"",IF(OR(ISNUMBER(SEARCH("소계",B949)),ISNUMBER(SEARCH("합계",B949))),"",TRIM(IF(B949="","이름 없음 ","")&amp;IF(A949="","받은 가족 없음 ","")&amp;IF(C949="","금액 없음 ",IF(ISNUMBER(C949),IF(C949&lt;1000,"금액 확인 ",""),"금액 확인 "))&amp;IF(AND(B949&lt;&gt;"",COUNTIFS($A$2:$A$1001,A949,$B$2:$B$1001,B949,$C$2:$C$1001,C949)&gt;1),"중복 의심",""))))</f>
        <v/>
      </c>
      <c r="G949" s="25">
        <f>IF(OR(COUNTA(A949:E949)=0,OR(ISNUMBER(SEARCH("소계",B949)),ISNUMBER(SEARCH("합계",B949)))),"",1+COUNTIF($B$1:B948,"*소계*"))</f>
        <v/>
      </c>
      <c r="H949">
        <f>IF(AND(A949&lt;&gt;"",A949=가족별!$B$1,G949&lt;&gt;""),COUNTIFS($A$2:A949,가족별!$B$1,$G$2:G949,"&gt;0"),"")</f>
        <v/>
      </c>
      <c r="I949">
        <f>IF(ISNUMBER(SEARCH("소계",B949)),COUNTIF($B$2:B949,"*소계*"),"")</f>
        <v/>
      </c>
      <c r="J949">
        <f>IF(F949="",0,1)</f>
        <v/>
      </c>
    </row>
    <row r="950">
      <c r="A950" s="41" t="n"/>
      <c r="B950" s="41" t="n"/>
      <c r="C950" s="24" t="n"/>
      <c r="D950" s="41" t="n"/>
      <c r="E950" s="41" t="n"/>
      <c r="F950" s="19">
        <f>IF(COUNTA(A950:E950)=0,"",IF(OR(ISNUMBER(SEARCH("소계",B950)),ISNUMBER(SEARCH("합계",B950))),"",TRIM(IF(B950="","이름 없음 ","")&amp;IF(A950="","받은 가족 없음 ","")&amp;IF(C950="","금액 없음 ",IF(ISNUMBER(C950),IF(C950&lt;1000,"금액 확인 ",""),"금액 확인 "))&amp;IF(AND(B950&lt;&gt;"",COUNTIFS($A$2:$A$1001,A950,$B$2:$B$1001,B950,$C$2:$C$1001,C950)&gt;1),"중복 의심",""))))</f>
        <v/>
      </c>
      <c r="G950" s="25">
        <f>IF(OR(COUNTA(A950:E950)=0,OR(ISNUMBER(SEARCH("소계",B950)),ISNUMBER(SEARCH("합계",B950)))),"",1+COUNTIF($B$1:B949,"*소계*"))</f>
        <v/>
      </c>
      <c r="H950">
        <f>IF(AND(A950&lt;&gt;"",A950=가족별!$B$1,G950&lt;&gt;""),COUNTIFS($A$2:A950,가족별!$B$1,$G$2:G950,"&gt;0"),"")</f>
        <v/>
      </c>
      <c r="I950">
        <f>IF(ISNUMBER(SEARCH("소계",B950)),COUNTIF($B$2:B950,"*소계*"),"")</f>
        <v/>
      </c>
      <c r="J950">
        <f>IF(F950="",0,1)</f>
        <v/>
      </c>
    </row>
    <row r="951">
      <c r="A951" s="41" t="n"/>
      <c r="B951" s="41" t="n"/>
      <c r="C951" s="24" t="n"/>
      <c r="D951" s="41" t="n"/>
      <c r="E951" s="41" t="n"/>
      <c r="F951" s="19">
        <f>IF(COUNTA(A951:E951)=0,"",IF(OR(ISNUMBER(SEARCH("소계",B951)),ISNUMBER(SEARCH("합계",B951))),"",TRIM(IF(B951="","이름 없음 ","")&amp;IF(A951="","받은 가족 없음 ","")&amp;IF(C951="","금액 없음 ",IF(ISNUMBER(C951),IF(C951&lt;1000,"금액 확인 ",""),"금액 확인 "))&amp;IF(AND(B951&lt;&gt;"",COUNTIFS($A$2:$A$1001,A951,$B$2:$B$1001,B951,$C$2:$C$1001,C951)&gt;1),"중복 의심",""))))</f>
        <v/>
      </c>
      <c r="G951" s="25">
        <f>IF(OR(COUNTA(A951:E951)=0,OR(ISNUMBER(SEARCH("소계",B951)),ISNUMBER(SEARCH("합계",B951)))),"",1+COUNTIF($B$1:B950,"*소계*"))</f>
        <v/>
      </c>
      <c r="H951">
        <f>IF(AND(A951&lt;&gt;"",A951=가족별!$B$1,G951&lt;&gt;""),COUNTIFS($A$2:A951,가족별!$B$1,$G$2:G951,"&gt;0"),"")</f>
        <v/>
      </c>
      <c r="I951">
        <f>IF(ISNUMBER(SEARCH("소계",B951)),COUNTIF($B$2:B951,"*소계*"),"")</f>
        <v/>
      </c>
      <c r="J951">
        <f>IF(F951="",0,1)</f>
        <v/>
      </c>
    </row>
    <row r="952">
      <c r="A952" s="41" t="n"/>
      <c r="B952" s="41" t="n"/>
      <c r="C952" s="24" t="n"/>
      <c r="D952" s="41" t="n"/>
      <c r="E952" s="41" t="n"/>
      <c r="F952" s="19">
        <f>IF(COUNTA(A952:E952)=0,"",IF(OR(ISNUMBER(SEARCH("소계",B952)),ISNUMBER(SEARCH("합계",B952))),"",TRIM(IF(B952="","이름 없음 ","")&amp;IF(A952="","받은 가족 없음 ","")&amp;IF(C952="","금액 없음 ",IF(ISNUMBER(C952),IF(C952&lt;1000,"금액 확인 ",""),"금액 확인 "))&amp;IF(AND(B952&lt;&gt;"",COUNTIFS($A$2:$A$1001,A952,$B$2:$B$1001,B952,$C$2:$C$1001,C952)&gt;1),"중복 의심",""))))</f>
        <v/>
      </c>
      <c r="G952" s="25">
        <f>IF(OR(COUNTA(A952:E952)=0,OR(ISNUMBER(SEARCH("소계",B952)),ISNUMBER(SEARCH("합계",B952)))),"",1+COUNTIF($B$1:B951,"*소계*"))</f>
        <v/>
      </c>
      <c r="H952">
        <f>IF(AND(A952&lt;&gt;"",A952=가족별!$B$1,G952&lt;&gt;""),COUNTIFS($A$2:A952,가족별!$B$1,$G$2:G952,"&gt;0"),"")</f>
        <v/>
      </c>
      <c r="I952">
        <f>IF(ISNUMBER(SEARCH("소계",B952)),COUNTIF($B$2:B952,"*소계*"),"")</f>
        <v/>
      </c>
      <c r="J952">
        <f>IF(F952="",0,1)</f>
        <v/>
      </c>
    </row>
    <row r="953">
      <c r="A953" s="41" t="n"/>
      <c r="B953" s="41" t="n"/>
      <c r="C953" s="24" t="n"/>
      <c r="D953" s="41" t="n"/>
      <c r="E953" s="41" t="n"/>
      <c r="F953" s="19">
        <f>IF(COUNTA(A953:E953)=0,"",IF(OR(ISNUMBER(SEARCH("소계",B953)),ISNUMBER(SEARCH("합계",B953))),"",TRIM(IF(B953="","이름 없음 ","")&amp;IF(A953="","받은 가족 없음 ","")&amp;IF(C953="","금액 없음 ",IF(ISNUMBER(C953),IF(C953&lt;1000,"금액 확인 ",""),"금액 확인 "))&amp;IF(AND(B953&lt;&gt;"",COUNTIFS($A$2:$A$1001,A953,$B$2:$B$1001,B953,$C$2:$C$1001,C953)&gt;1),"중복 의심",""))))</f>
        <v/>
      </c>
      <c r="G953" s="25">
        <f>IF(OR(COUNTA(A953:E953)=0,OR(ISNUMBER(SEARCH("소계",B953)),ISNUMBER(SEARCH("합계",B953)))),"",1+COUNTIF($B$1:B952,"*소계*"))</f>
        <v/>
      </c>
      <c r="H953">
        <f>IF(AND(A953&lt;&gt;"",A953=가족별!$B$1,G953&lt;&gt;""),COUNTIFS($A$2:A953,가족별!$B$1,$G$2:G953,"&gt;0"),"")</f>
        <v/>
      </c>
      <c r="I953">
        <f>IF(ISNUMBER(SEARCH("소계",B953)),COUNTIF($B$2:B953,"*소계*"),"")</f>
        <v/>
      </c>
      <c r="J953">
        <f>IF(F953="",0,1)</f>
        <v/>
      </c>
    </row>
    <row r="954">
      <c r="A954" s="41" t="n"/>
      <c r="B954" s="41" t="n"/>
      <c r="C954" s="24" t="n"/>
      <c r="D954" s="41" t="n"/>
      <c r="E954" s="41" t="n"/>
      <c r="F954" s="19">
        <f>IF(COUNTA(A954:E954)=0,"",IF(OR(ISNUMBER(SEARCH("소계",B954)),ISNUMBER(SEARCH("합계",B954))),"",TRIM(IF(B954="","이름 없음 ","")&amp;IF(A954="","받은 가족 없음 ","")&amp;IF(C954="","금액 없음 ",IF(ISNUMBER(C954),IF(C954&lt;1000,"금액 확인 ",""),"금액 확인 "))&amp;IF(AND(B954&lt;&gt;"",COUNTIFS($A$2:$A$1001,A954,$B$2:$B$1001,B954,$C$2:$C$1001,C954)&gt;1),"중복 의심",""))))</f>
        <v/>
      </c>
      <c r="G954" s="25">
        <f>IF(OR(COUNTA(A954:E954)=0,OR(ISNUMBER(SEARCH("소계",B954)),ISNUMBER(SEARCH("합계",B954)))),"",1+COUNTIF($B$1:B953,"*소계*"))</f>
        <v/>
      </c>
      <c r="H954">
        <f>IF(AND(A954&lt;&gt;"",A954=가족별!$B$1,G954&lt;&gt;""),COUNTIFS($A$2:A954,가족별!$B$1,$G$2:G954,"&gt;0"),"")</f>
        <v/>
      </c>
      <c r="I954">
        <f>IF(ISNUMBER(SEARCH("소계",B954)),COUNTIF($B$2:B954,"*소계*"),"")</f>
        <v/>
      </c>
      <c r="J954">
        <f>IF(F954="",0,1)</f>
        <v/>
      </c>
    </row>
    <row r="955">
      <c r="A955" s="41" t="n"/>
      <c r="B955" s="41" t="n"/>
      <c r="C955" s="24" t="n"/>
      <c r="D955" s="41" t="n"/>
      <c r="E955" s="41" t="n"/>
      <c r="F955" s="19">
        <f>IF(COUNTA(A955:E955)=0,"",IF(OR(ISNUMBER(SEARCH("소계",B955)),ISNUMBER(SEARCH("합계",B955))),"",TRIM(IF(B955="","이름 없음 ","")&amp;IF(A955="","받은 가족 없음 ","")&amp;IF(C955="","금액 없음 ",IF(ISNUMBER(C955),IF(C955&lt;1000,"금액 확인 ",""),"금액 확인 "))&amp;IF(AND(B955&lt;&gt;"",COUNTIFS($A$2:$A$1001,A955,$B$2:$B$1001,B955,$C$2:$C$1001,C955)&gt;1),"중복 의심",""))))</f>
        <v/>
      </c>
      <c r="G955" s="25">
        <f>IF(OR(COUNTA(A955:E955)=0,OR(ISNUMBER(SEARCH("소계",B955)),ISNUMBER(SEARCH("합계",B955)))),"",1+COUNTIF($B$1:B954,"*소계*"))</f>
        <v/>
      </c>
      <c r="H955">
        <f>IF(AND(A955&lt;&gt;"",A955=가족별!$B$1,G955&lt;&gt;""),COUNTIFS($A$2:A955,가족별!$B$1,$G$2:G955,"&gt;0"),"")</f>
        <v/>
      </c>
      <c r="I955">
        <f>IF(ISNUMBER(SEARCH("소계",B955)),COUNTIF($B$2:B955,"*소계*"),"")</f>
        <v/>
      </c>
      <c r="J955">
        <f>IF(F955="",0,1)</f>
        <v/>
      </c>
    </row>
    <row r="956">
      <c r="A956" s="41" t="n"/>
      <c r="B956" s="41" t="n"/>
      <c r="C956" s="24" t="n"/>
      <c r="D956" s="41" t="n"/>
      <c r="E956" s="41" t="n"/>
      <c r="F956" s="19">
        <f>IF(COUNTA(A956:E956)=0,"",IF(OR(ISNUMBER(SEARCH("소계",B956)),ISNUMBER(SEARCH("합계",B956))),"",TRIM(IF(B956="","이름 없음 ","")&amp;IF(A956="","받은 가족 없음 ","")&amp;IF(C956="","금액 없음 ",IF(ISNUMBER(C956),IF(C956&lt;1000,"금액 확인 ",""),"금액 확인 "))&amp;IF(AND(B956&lt;&gt;"",COUNTIFS($A$2:$A$1001,A956,$B$2:$B$1001,B956,$C$2:$C$1001,C956)&gt;1),"중복 의심",""))))</f>
        <v/>
      </c>
      <c r="G956" s="25">
        <f>IF(OR(COUNTA(A956:E956)=0,OR(ISNUMBER(SEARCH("소계",B956)),ISNUMBER(SEARCH("합계",B956)))),"",1+COUNTIF($B$1:B955,"*소계*"))</f>
        <v/>
      </c>
      <c r="H956">
        <f>IF(AND(A956&lt;&gt;"",A956=가족별!$B$1,G956&lt;&gt;""),COUNTIFS($A$2:A956,가족별!$B$1,$G$2:G956,"&gt;0"),"")</f>
        <v/>
      </c>
      <c r="I956">
        <f>IF(ISNUMBER(SEARCH("소계",B956)),COUNTIF($B$2:B956,"*소계*"),"")</f>
        <v/>
      </c>
      <c r="J956">
        <f>IF(F956="",0,1)</f>
        <v/>
      </c>
    </row>
    <row r="957">
      <c r="A957" s="41" t="n"/>
      <c r="B957" s="41" t="n"/>
      <c r="C957" s="24" t="n"/>
      <c r="D957" s="41" t="n"/>
      <c r="E957" s="41" t="n"/>
      <c r="F957" s="19">
        <f>IF(COUNTA(A957:E957)=0,"",IF(OR(ISNUMBER(SEARCH("소계",B957)),ISNUMBER(SEARCH("합계",B957))),"",TRIM(IF(B957="","이름 없음 ","")&amp;IF(A957="","받은 가족 없음 ","")&amp;IF(C957="","금액 없음 ",IF(ISNUMBER(C957),IF(C957&lt;1000,"금액 확인 ",""),"금액 확인 "))&amp;IF(AND(B957&lt;&gt;"",COUNTIFS($A$2:$A$1001,A957,$B$2:$B$1001,B957,$C$2:$C$1001,C957)&gt;1),"중복 의심",""))))</f>
        <v/>
      </c>
      <c r="G957" s="25">
        <f>IF(OR(COUNTA(A957:E957)=0,OR(ISNUMBER(SEARCH("소계",B957)),ISNUMBER(SEARCH("합계",B957)))),"",1+COUNTIF($B$1:B956,"*소계*"))</f>
        <v/>
      </c>
      <c r="H957">
        <f>IF(AND(A957&lt;&gt;"",A957=가족별!$B$1,G957&lt;&gt;""),COUNTIFS($A$2:A957,가족별!$B$1,$G$2:G957,"&gt;0"),"")</f>
        <v/>
      </c>
      <c r="I957">
        <f>IF(ISNUMBER(SEARCH("소계",B957)),COUNTIF($B$2:B957,"*소계*"),"")</f>
        <v/>
      </c>
      <c r="J957">
        <f>IF(F957="",0,1)</f>
        <v/>
      </c>
    </row>
    <row r="958">
      <c r="A958" s="41" t="n"/>
      <c r="B958" s="41" t="n"/>
      <c r="C958" s="24" t="n"/>
      <c r="D958" s="41" t="n"/>
      <c r="E958" s="41" t="n"/>
      <c r="F958" s="19">
        <f>IF(COUNTA(A958:E958)=0,"",IF(OR(ISNUMBER(SEARCH("소계",B958)),ISNUMBER(SEARCH("합계",B958))),"",TRIM(IF(B958="","이름 없음 ","")&amp;IF(A958="","받은 가족 없음 ","")&amp;IF(C958="","금액 없음 ",IF(ISNUMBER(C958),IF(C958&lt;1000,"금액 확인 ",""),"금액 확인 "))&amp;IF(AND(B958&lt;&gt;"",COUNTIFS($A$2:$A$1001,A958,$B$2:$B$1001,B958,$C$2:$C$1001,C958)&gt;1),"중복 의심",""))))</f>
        <v/>
      </c>
      <c r="G958" s="25">
        <f>IF(OR(COUNTA(A958:E958)=0,OR(ISNUMBER(SEARCH("소계",B958)),ISNUMBER(SEARCH("합계",B958)))),"",1+COUNTIF($B$1:B957,"*소계*"))</f>
        <v/>
      </c>
      <c r="H958">
        <f>IF(AND(A958&lt;&gt;"",A958=가족별!$B$1,G958&lt;&gt;""),COUNTIFS($A$2:A958,가족별!$B$1,$G$2:G958,"&gt;0"),"")</f>
        <v/>
      </c>
      <c r="I958">
        <f>IF(ISNUMBER(SEARCH("소계",B958)),COUNTIF($B$2:B958,"*소계*"),"")</f>
        <v/>
      </c>
      <c r="J958">
        <f>IF(F958="",0,1)</f>
        <v/>
      </c>
    </row>
    <row r="959">
      <c r="A959" s="41" t="n"/>
      <c r="B959" s="41" t="n"/>
      <c r="C959" s="24" t="n"/>
      <c r="D959" s="41" t="n"/>
      <c r="E959" s="41" t="n"/>
      <c r="F959" s="19">
        <f>IF(COUNTA(A959:E959)=0,"",IF(OR(ISNUMBER(SEARCH("소계",B959)),ISNUMBER(SEARCH("합계",B959))),"",TRIM(IF(B959="","이름 없음 ","")&amp;IF(A959="","받은 가족 없음 ","")&amp;IF(C959="","금액 없음 ",IF(ISNUMBER(C959),IF(C959&lt;1000,"금액 확인 ",""),"금액 확인 "))&amp;IF(AND(B959&lt;&gt;"",COUNTIFS($A$2:$A$1001,A959,$B$2:$B$1001,B959,$C$2:$C$1001,C959)&gt;1),"중복 의심",""))))</f>
        <v/>
      </c>
      <c r="G959" s="25">
        <f>IF(OR(COUNTA(A959:E959)=0,OR(ISNUMBER(SEARCH("소계",B959)),ISNUMBER(SEARCH("합계",B959)))),"",1+COUNTIF($B$1:B958,"*소계*"))</f>
        <v/>
      </c>
      <c r="H959">
        <f>IF(AND(A959&lt;&gt;"",A959=가족별!$B$1,G959&lt;&gt;""),COUNTIFS($A$2:A959,가족별!$B$1,$G$2:G959,"&gt;0"),"")</f>
        <v/>
      </c>
      <c r="I959">
        <f>IF(ISNUMBER(SEARCH("소계",B959)),COUNTIF($B$2:B959,"*소계*"),"")</f>
        <v/>
      </c>
      <c r="J959">
        <f>IF(F959="",0,1)</f>
        <v/>
      </c>
    </row>
    <row r="960">
      <c r="A960" s="41" t="n"/>
      <c r="B960" s="41" t="n"/>
      <c r="C960" s="24" t="n"/>
      <c r="D960" s="41" t="n"/>
      <c r="E960" s="41" t="n"/>
      <c r="F960" s="19">
        <f>IF(COUNTA(A960:E960)=0,"",IF(OR(ISNUMBER(SEARCH("소계",B960)),ISNUMBER(SEARCH("합계",B960))),"",TRIM(IF(B960="","이름 없음 ","")&amp;IF(A960="","받은 가족 없음 ","")&amp;IF(C960="","금액 없음 ",IF(ISNUMBER(C960),IF(C960&lt;1000,"금액 확인 ",""),"금액 확인 "))&amp;IF(AND(B960&lt;&gt;"",COUNTIFS($A$2:$A$1001,A960,$B$2:$B$1001,B960,$C$2:$C$1001,C960)&gt;1),"중복 의심",""))))</f>
        <v/>
      </c>
      <c r="G960" s="25">
        <f>IF(OR(COUNTA(A960:E960)=0,OR(ISNUMBER(SEARCH("소계",B960)),ISNUMBER(SEARCH("합계",B960)))),"",1+COUNTIF($B$1:B959,"*소계*"))</f>
        <v/>
      </c>
      <c r="H960">
        <f>IF(AND(A960&lt;&gt;"",A960=가족별!$B$1,G960&lt;&gt;""),COUNTIFS($A$2:A960,가족별!$B$1,$G$2:G960,"&gt;0"),"")</f>
        <v/>
      </c>
      <c r="I960">
        <f>IF(ISNUMBER(SEARCH("소계",B960)),COUNTIF($B$2:B960,"*소계*"),"")</f>
        <v/>
      </c>
      <c r="J960">
        <f>IF(F960="",0,1)</f>
        <v/>
      </c>
    </row>
    <row r="961">
      <c r="A961" s="41" t="n"/>
      <c r="B961" s="41" t="n"/>
      <c r="C961" s="24" t="n"/>
      <c r="D961" s="41" t="n"/>
      <c r="E961" s="41" t="n"/>
      <c r="F961" s="19">
        <f>IF(COUNTA(A961:E961)=0,"",IF(OR(ISNUMBER(SEARCH("소계",B961)),ISNUMBER(SEARCH("합계",B961))),"",TRIM(IF(B961="","이름 없음 ","")&amp;IF(A961="","받은 가족 없음 ","")&amp;IF(C961="","금액 없음 ",IF(ISNUMBER(C961),IF(C961&lt;1000,"금액 확인 ",""),"금액 확인 "))&amp;IF(AND(B961&lt;&gt;"",COUNTIFS($A$2:$A$1001,A961,$B$2:$B$1001,B961,$C$2:$C$1001,C961)&gt;1),"중복 의심",""))))</f>
        <v/>
      </c>
      <c r="G961" s="25">
        <f>IF(OR(COUNTA(A961:E961)=0,OR(ISNUMBER(SEARCH("소계",B961)),ISNUMBER(SEARCH("합계",B961)))),"",1+COUNTIF($B$1:B960,"*소계*"))</f>
        <v/>
      </c>
      <c r="H961">
        <f>IF(AND(A961&lt;&gt;"",A961=가족별!$B$1,G961&lt;&gt;""),COUNTIFS($A$2:A961,가족별!$B$1,$G$2:G961,"&gt;0"),"")</f>
        <v/>
      </c>
      <c r="I961">
        <f>IF(ISNUMBER(SEARCH("소계",B961)),COUNTIF($B$2:B961,"*소계*"),"")</f>
        <v/>
      </c>
      <c r="J961">
        <f>IF(F961="",0,1)</f>
        <v/>
      </c>
    </row>
    <row r="962">
      <c r="A962" s="41" t="n"/>
      <c r="B962" s="41" t="n"/>
      <c r="C962" s="24" t="n"/>
      <c r="D962" s="41" t="n"/>
      <c r="E962" s="41" t="n"/>
      <c r="F962" s="19">
        <f>IF(COUNTA(A962:E962)=0,"",IF(OR(ISNUMBER(SEARCH("소계",B962)),ISNUMBER(SEARCH("합계",B962))),"",TRIM(IF(B962="","이름 없음 ","")&amp;IF(A962="","받은 가족 없음 ","")&amp;IF(C962="","금액 없음 ",IF(ISNUMBER(C962),IF(C962&lt;1000,"금액 확인 ",""),"금액 확인 "))&amp;IF(AND(B962&lt;&gt;"",COUNTIFS($A$2:$A$1001,A962,$B$2:$B$1001,B962,$C$2:$C$1001,C962)&gt;1),"중복 의심",""))))</f>
        <v/>
      </c>
      <c r="G962" s="25">
        <f>IF(OR(COUNTA(A962:E962)=0,OR(ISNUMBER(SEARCH("소계",B962)),ISNUMBER(SEARCH("합계",B962)))),"",1+COUNTIF($B$1:B961,"*소계*"))</f>
        <v/>
      </c>
      <c r="H962">
        <f>IF(AND(A962&lt;&gt;"",A962=가족별!$B$1,G962&lt;&gt;""),COUNTIFS($A$2:A962,가족별!$B$1,$G$2:G962,"&gt;0"),"")</f>
        <v/>
      </c>
      <c r="I962">
        <f>IF(ISNUMBER(SEARCH("소계",B962)),COUNTIF($B$2:B962,"*소계*"),"")</f>
        <v/>
      </c>
      <c r="J962">
        <f>IF(F962="",0,1)</f>
        <v/>
      </c>
    </row>
    <row r="963">
      <c r="A963" s="41" t="n"/>
      <c r="B963" s="41" t="n"/>
      <c r="C963" s="24" t="n"/>
      <c r="D963" s="41" t="n"/>
      <c r="E963" s="41" t="n"/>
      <c r="F963" s="19">
        <f>IF(COUNTA(A963:E963)=0,"",IF(OR(ISNUMBER(SEARCH("소계",B963)),ISNUMBER(SEARCH("합계",B963))),"",TRIM(IF(B963="","이름 없음 ","")&amp;IF(A963="","받은 가족 없음 ","")&amp;IF(C963="","금액 없음 ",IF(ISNUMBER(C963),IF(C963&lt;1000,"금액 확인 ",""),"금액 확인 "))&amp;IF(AND(B963&lt;&gt;"",COUNTIFS($A$2:$A$1001,A963,$B$2:$B$1001,B963,$C$2:$C$1001,C963)&gt;1),"중복 의심",""))))</f>
        <v/>
      </c>
      <c r="G963" s="25">
        <f>IF(OR(COUNTA(A963:E963)=0,OR(ISNUMBER(SEARCH("소계",B963)),ISNUMBER(SEARCH("합계",B963)))),"",1+COUNTIF($B$1:B962,"*소계*"))</f>
        <v/>
      </c>
      <c r="H963">
        <f>IF(AND(A963&lt;&gt;"",A963=가족별!$B$1,G963&lt;&gt;""),COUNTIFS($A$2:A963,가족별!$B$1,$G$2:G963,"&gt;0"),"")</f>
        <v/>
      </c>
      <c r="I963">
        <f>IF(ISNUMBER(SEARCH("소계",B963)),COUNTIF($B$2:B963,"*소계*"),"")</f>
        <v/>
      </c>
      <c r="J963">
        <f>IF(F963="",0,1)</f>
        <v/>
      </c>
    </row>
    <row r="964">
      <c r="A964" s="41" t="n"/>
      <c r="B964" s="41" t="n"/>
      <c r="C964" s="24" t="n"/>
      <c r="D964" s="41" t="n"/>
      <c r="E964" s="41" t="n"/>
      <c r="F964" s="19">
        <f>IF(COUNTA(A964:E964)=0,"",IF(OR(ISNUMBER(SEARCH("소계",B964)),ISNUMBER(SEARCH("합계",B964))),"",TRIM(IF(B964="","이름 없음 ","")&amp;IF(A964="","받은 가족 없음 ","")&amp;IF(C964="","금액 없음 ",IF(ISNUMBER(C964),IF(C964&lt;1000,"금액 확인 ",""),"금액 확인 "))&amp;IF(AND(B964&lt;&gt;"",COUNTIFS($A$2:$A$1001,A964,$B$2:$B$1001,B964,$C$2:$C$1001,C964)&gt;1),"중복 의심",""))))</f>
        <v/>
      </c>
      <c r="G964" s="25">
        <f>IF(OR(COUNTA(A964:E964)=0,OR(ISNUMBER(SEARCH("소계",B964)),ISNUMBER(SEARCH("합계",B964)))),"",1+COUNTIF($B$1:B963,"*소계*"))</f>
        <v/>
      </c>
      <c r="H964">
        <f>IF(AND(A964&lt;&gt;"",A964=가족별!$B$1,G964&lt;&gt;""),COUNTIFS($A$2:A964,가족별!$B$1,$G$2:G964,"&gt;0"),"")</f>
        <v/>
      </c>
      <c r="I964">
        <f>IF(ISNUMBER(SEARCH("소계",B964)),COUNTIF($B$2:B964,"*소계*"),"")</f>
        <v/>
      </c>
      <c r="J964">
        <f>IF(F964="",0,1)</f>
        <v/>
      </c>
    </row>
    <row r="965">
      <c r="A965" s="41" t="n"/>
      <c r="B965" s="41" t="n"/>
      <c r="C965" s="24" t="n"/>
      <c r="D965" s="41" t="n"/>
      <c r="E965" s="41" t="n"/>
      <c r="F965" s="19">
        <f>IF(COUNTA(A965:E965)=0,"",IF(OR(ISNUMBER(SEARCH("소계",B965)),ISNUMBER(SEARCH("합계",B965))),"",TRIM(IF(B965="","이름 없음 ","")&amp;IF(A965="","받은 가족 없음 ","")&amp;IF(C965="","금액 없음 ",IF(ISNUMBER(C965),IF(C965&lt;1000,"금액 확인 ",""),"금액 확인 "))&amp;IF(AND(B965&lt;&gt;"",COUNTIFS($A$2:$A$1001,A965,$B$2:$B$1001,B965,$C$2:$C$1001,C965)&gt;1),"중복 의심",""))))</f>
        <v/>
      </c>
      <c r="G965" s="25">
        <f>IF(OR(COUNTA(A965:E965)=0,OR(ISNUMBER(SEARCH("소계",B965)),ISNUMBER(SEARCH("합계",B965)))),"",1+COUNTIF($B$1:B964,"*소계*"))</f>
        <v/>
      </c>
      <c r="H965">
        <f>IF(AND(A965&lt;&gt;"",A965=가족별!$B$1,G965&lt;&gt;""),COUNTIFS($A$2:A965,가족별!$B$1,$G$2:G965,"&gt;0"),"")</f>
        <v/>
      </c>
      <c r="I965">
        <f>IF(ISNUMBER(SEARCH("소계",B965)),COUNTIF($B$2:B965,"*소계*"),"")</f>
        <v/>
      </c>
      <c r="J965">
        <f>IF(F965="",0,1)</f>
        <v/>
      </c>
    </row>
    <row r="966">
      <c r="A966" s="41" t="n"/>
      <c r="B966" s="41" t="n"/>
      <c r="C966" s="24" t="n"/>
      <c r="D966" s="41" t="n"/>
      <c r="E966" s="41" t="n"/>
      <c r="F966" s="19">
        <f>IF(COUNTA(A966:E966)=0,"",IF(OR(ISNUMBER(SEARCH("소계",B966)),ISNUMBER(SEARCH("합계",B966))),"",TRIM(IF(B966="","이름 없음 ","")&amp;IF(A966="","받은 가족 없음 ","")&amp;IF(C966="","금액 없음 ",IF(ISNUMBER(C966),IF(C966&lt;1000,"금액 확인 ",""),"금액 확인 "))&amp;IF(AND(B966&lt;&gt;"",COUNTIFS($A$2:$A$1001,A966,$B$2:$B$1001,B966,$C$2:$C$1001,C966)&gt;1),"중복 의심",""))))</f>
        <v/>
      </c>
      <c r="G966" s="25">
        <f>IF(OR(COUNTA(A966:E966)=0,OR(ISNUMBER(SEARCH("소계",B966)),ISNUMBER(SEARCH("합계",B966)))),"",1+COUNTIF($B$1:B965,"*소계*"))</f>
        <v/>
      </c>
      <c r="H966">
        <f>IF(AND(A966&lt;&gt;"",A966=가족별!$B$1,G966&lt;&gt;""),COUNTIFS($A$2:A966,가족별!$B$1,$G$2:G966,"&gt;0"),"")</f>
        <v/>
      </c>
      <c r="I966">
        <f>IF(ISNUMBER(SEARCH("소계",B966)),COUNTIF($B$2:B966,"*소계*"),"")</f>
        <v/>
      </c>
      <c r="J966">
        <f>IF(F966="",0,1)</f>
        <v/>
      </c>
    </row>
    <row r="967">
      <c r="A967" s="41" t="n"/>
      <c r="B967" s="41" t="n"/>
      <c r="C967" s="24" t="n"/>
      <c r="D967" s="41" t="n"/>
      <c r="E967" s="41" t="n"/>
      <c r="F967" s="19">
        <f>IF(COUNTA(A967:E967)=0,"",IF(OR(ISNUMBER(SEARCH("소계",B967)),ISNUMBER(SEARCH("합계",B967))),"",TRIM(IF(B967="","이름 없음 ","")&amp;IF(A967="","받은 가족 없음 ","")&amp;IF(C967="","금액 없음 ",IF(ISNUMBER(C967),IF(C967&lt;1000,"금액 확인 ",""),"금액 확인 "))&amp;IF(AND(B967&lt;&gt;"",COUNTIFS($A$2:$A$1001,A967,$B$2:$B$1001,B967,$C$2:$C$1001,C967)&gt;1),"중복 의심",""))))</f>
        <v/>
      </c>
      <c r="G967" s="25">
        <f>IF(OR(COUNTA(A967:E967)=0,OR(ISNUMBER(SEARCH("소계",B967)),ISNUMBER(SEARCH("합계",B967)))),"",1+COUNTIF($B$1:B966,"*소계*"))</f>
        <v/>
      </c>
      <c r="H967">
        <f>IF(AND(A967&lt;&gt;"",A967=가족별!$B$1,G967&lt;&gt;""),COUNTIFS($A$2:A967,가족별!$B$1,$G$2:G967,"&gt;0"),"")</f>
        <v/>
      </c>
      <c r="I967">
        <f>IF(ISNUMBER(SEARCH("소계",B967)),COUNTIF($B$2:B967,"*소계*"),"")</f>
        <v/>
      </c>
      <c r="J967">
        <f>IF(F967="",0,1)</f>
        <v/>
      </c>
    </row>
    <row r="968">
      <c r="A968" s="41" t="n"/>
      <c r="B968" s="41" t="n"/>
      <c r="C968" s="24" t="n"/>
      <c r="D968" s="41" t="n"/>
      <c r="E968" s="41" t="n"/>
      <c r="F968" s="19">
        <f>IF(COUNTA(A968:E968)=0,"",IF(OR(ISNUMBER(SEARCH("소계",B968)),ISNUMBER(SEARCH("합계",B968))),"",TRIM(IF(B968="","이름 없음 ","")&amp;IF(A968="","받은 가족 없음 ","")&amp;IF(C968="","금액 없음 ",IF(ISNUMBER(C968),IF(C968&lt;1000,"금액 확인 ",""),"금액 확인 "))&amp;IF(AND(B968&lt;&gt;"",COUNTIFS($A$2:$A$1001,A968,$B$2:$B$1001,B968,$C$2:$C$1001,C968)&gt;1),"중복 의심",""))))</f>
        <v/>
      </c>
      <c r="G968" s="25">
        <f>IF(OR(COUNTA(A968:E968)=0,OR(ISNUMBER(SEARCH("소계",B968)),ISNUMBER(SEARCH("합계",B968)))),"",1+COUNTIF($B$1:B967,"*소계*"))</f>
        <v/>
      </c>
      <c r="H968">
        <f>IF(AND(A968&lt;&gt;"",A968=가족별!$B$1,G968&lt;&gt;""),COUNTIFS($A$2:A968,가족별!$B$1,$G$2:G968,"&gt;0"),"")</f>
        <v/>
      </c>
      <c r="I968">
        <f>IF(ISNUMBER(SEARCH("소계",B968)),COUNTIF($B$2:B968,"*소계*"),"")</f>
        <v/>
      </c>
      <c r="J968">
        <f>IF(F968="",0,1)</f>
        <v/>
      </c>
    </row>
    <row r="969">
      <c r="A969" s="41" t="n"/>
      <c r="B969" s="41" t="n"/>
      <c r="C969" s="24" t="n"/>
      <c r="D969" s="41" t="n"/>
      <c r="E969" s="41" t="n"/>
      <c r="F969" s="19">
        <f>IF(COUNTA(A969:E969)=0,"",IF(OR(ISNUMBER(SEARCH("소계",B969)),ISNUMBER(SEARCH("합계",B969))),"",TRIM(IF(B969="","이름 없음 ","")&amp;IF(A969="","받은 가족 없음 ","")&amp;IF(C969="","금액 없음 ",IF(ISNUMBER(C969),IF(C969&lt;1000,"금액 확인 ",""),"금액 확인 "))&amp;IF(AND(B969&lt;&gt;"",COUNTIFS($A$2:$A$1001,A969,$B$2:$B$1001,B969,$C$2:$C$1001,C969)&gt;1),"중복 의심",""))))</f>
        <v/>
      </c>
      <c r="G969" s="25">
        <f>IF(OR(COUNTA(A969:E969)=0,OR(ISNUMBER(SEARCH("소계",B969)),ISNUMBER(SEARCH("합계",B969)))),"",1+COUNTIF($B$1:B968,"*소계*"))</f>
        <v/>
      </c>
      <c r="H969">
        <f>IF(AND(A969&lt;&gt;"",A969=가족별!$B$1,G969&lt;&gt;""),COUNTIFS($A$2:A969,가족별!$B$1,$G$2:G969,"&gt;0"),"")</f>
        <v/>
      </c>
      <c r="I969">
        <f>IF(ISNUMBER(SEARCH("소계",B969)),COUNTIF($B$2:B969,"*소계*"),"")</f>
        <v/>
      </c>
      <c r="J969">
        <f>IF(F969="",0,1)</f>
        <v/>
      </c>
    </row>
    <row r="970">
      <c r="A970" s="41" t="n"/>
      <c r="B970" s="41" t="n"/>
      <c r="C970" s="24" t="n"/>
      <c r="D970" s="41" t="n"/>
      <c r="E970" s="41" t="n"/>
      <c r="F970" s="19">
        <f>IF(COUNTA(A970:E970)=0,"",IF(OR(ISNUMBER(SEARCH("소계",B970)),ISNUMBER(SEARCH("합계",B970))),"",TRIM(IF(B970="","이름 없음 ","")&amp;IF(A970="","받은 가족 없음 ","")&amp;IF(C970="","금액 없음 ",IF(ISNUMBER(C970),IF(C970&lt;1000,"금액 확인 ",""),"금액 확인 "))&amp;IF(AND(B970&lt;&gt;"",COUNTIFS($A$2:$A$1001,A970,$B$2:$B$1001,B970,$C$2:$C$1001,C970)&gt;1),"중복 의심",""))))</f>
        <v/>
      </c>
      <c r="G970" s="25">
        <f>IF(OR(COUNTA(A970:E970)=0,OR(ISNUMBER(SEARCH("소계",B970)),ISNUMBER(SEARCH("합계",B970)))),"",1+COUNTIF($B$1:B969,"*소계*"))</f>
        <v/>
      </c>
      <c r="H970">
        <f>IF(AND(A970&lt;&gt;"",A970=가족별!$B$1,G970&lt;&gt;""),COUNTIFS($A$2:A970,가족별!$B$1,$G$2:G970,"&gt;0"),"")</f>
        <v/>
      </c>
      <c r="I970">
        <f>IF(ISNUMBER(SEARCH("소계",B970)),COUNTIF($B$2:B970,"*소계*"),"")</f>
        <v/>
      </c>
      <c r="J970">
        <f>IF(F970="",0,1)</f>
        <v/>
      </c>
    </row>
    <row r="971">
      <c r="A971" s="41" t="n"/>
      <c r="B971" s="41" t="n"/>
      <c r="C971" s="24" t="n"/>
      <c r="D971" s="41" t="n"/>
      <c r="E971" s="41" t="n"/>
      <c r="F971" s="19">
        <f>IF(COUNTA(A971:E971)=0,"",IF(OR(ISNUMBER(SEARCH("소계",B971)),ISNUMBER(SEARCH("합계",B971))),"",TRIM(IF(B971="","이름 없음 ","")&amp;IF(A971="","받은 가족 없음 ","")&amp;IF(C971="","금액 없음 ",IF(ISNUMBER(C971),IF(C971&lt;1000,"금액 확인 ",""),"금액 확인 "))&amp;IF(AND(B971&lt;&gt;"",COUNTIFS($A$2:$A$1001,A971,$B$2:$B$1001,B971,$C$2:$C$1001,C971)&gt;1),"중복 의심",""))))</f>
        <v/>
      </c>
      <c r="G971" s="25">
        <f>IF(OR(COUNTA(A971:E971)=0,OR(ISNUMBER(SEARCH("소계",B971)),ISNUMBER(SEARCH("합계",B971)))),"",1+COUNTIF($B$1:B970,"*소계*"))</f>
        <v/>
      </c>
      <c r="H971">
        <f>IF(AND(A971&lt;&gt;"",A971=가족별!$B$1,G971&lt;&gt;""),COUNTIFS($A$2:A971,가족별!$B$1,$G$2:G971,"&gt;0"),"")</f>
        <v/>
      </c>
      <c r="I971">
        <f>IF(ISNUMBER(SEARCH("소계",B971)),COUNTIF($B$2:B971,"*소계*"),"")</f>
        <v/>
      </c>
      <c r="J971">
        <f>IF(F971="",0,1)</f>
        <v/>
      </c>
    </row>
    <row r="972">
      <c r="A972" s="41" t="n"/>
      <c r="B972" s="41" t="n"/>
      <c r="C972" s="24" t="n"/>
      <c r="D972" s="41" t="n"/>
      <c r="E972" s="41" t="n"/>
      <c r="F972" s="19">
        <f>IF(COUNTA(A972:E972)=0,"",IF(OR(ISNUMBER(SEARCH("소계",B972)),ISNUMBER(SEARCH("합계",B972))),"",TRIM(IF(B972="","이름 없음 ","")&amp;IF(A972="","받은 가족 없음 ","")&amp;IF(C972="","금액 없음 ",IF(ISNUMBER(C972),IF(C972&lt;1000,"금액 확인 ",""),"금액 확인 "))&amp;IF(AND(B972&lt;&gt;"",COUNTIFS($A$2:$A$1001,A972,$B$2:$B$1001,B972,$C$2:$C$1001,C972)&gt;1),"중복 의심",""))))</f>
        <v/>
      </c>
      <c r="G972" s="25">
        <f>IF(OR(COUNTA(A972:E972)=0,OR(ISNUMBER(SEARCH("소계",B972)),ISNUMBER(SEARCH("합계",B972)))),"",1+COUNTIF($B$1:B971,"*소계*"))</f>
        <v/>
      </c>
      <c r="H972">
        <f>IF(AND(A972&lt;&gt;"",A972=가족별!$B$1,G972&lt;&gt;""),COUNTIFS($A$2:A972,가족별!$B$1,$G$2:G972,"&gt;0"),"")</f>
        <v/>
      </c>
      <c r="I972">
        <f>IF(ISNUMBER(SEARCH("소계",B972)),COUNTIF($B$2:B972,"*소계*"),"")</f>
        <v/>
      </c>
      <c r="J972">
        <f>IF(F972="",0,1)</f>
        <v/>
      </c>
    </row>
    <row r="973">
      <c r="A973" s="41" t="n"/>
      <c r="B973" s="41" t="n"/>
      <c r="C973" s="24" t="n"/>
      <c r="D973" s="41" t="n"/>
      <c r="E973" s="41" t="n"/>
      <c r="F973" s="19">
        <f>IF(COUNTA(A973:E973)=0,"",IF(OR(ISNUMBER(SEARCH("소계",B973)),ISNUMBER(SEARCH("합계",B973))),"",TRIM(IF(B973="","이름 없음 ","")&amp;IF(A973="","받은 가족 없음 ","")&amp;IF(C973="","금액 없음 ",IF(ISNUMBER(C973),IF(C973&lt;1000,"금액 확인 ",""),"금액 확인 "))&amp;IF(AND(B973&lt;&gt;"",COUNTIFS($A$2:$A$1001,A973,$B$2:$B$1001,B973,$C$2:$C$1001,C973)&gt;1),"중복 의심",""))))</f>
        <v/>
      </c>
      <c r="G973" s="25">
        <f>IF(OR(COUNTA(A973:E973)=0,OR(ISNUMBER(SEARCH("소계",B973)),ISNUMBER(SEARCH("합계",B973)))),"",1+COUNTIF($B$1:B972,"*소계*"))</f>
        <v/>
      </c>
      <c r="H973">
        <f>IF(AND(A973&lt;&gt;"",A973=가족별!$B$1,G973&lt;&gt;""),COUNTIFS($A$2:A973,가족별!$B$1,$G$2:G973,"&gt;0"),"")</f>
        <v/>
      </c>
      <c r="I973">
        <f>IF(ISNUMBER(SEARCH("소계",B973)),COUNTIF($B$2:B973,"*소계*"),"")</f>
        <v/>
      </c>
      <c r="J973">
        <f>IF(F973="",0,1)</f>
        <v/>
      </c>
    </row>
    <row r="974">
      <c r="A974" s="41" t="n"/>
      <c r="B974" s="41" t="n"/>
      <c r="C974" s="24" t="n"/>
      <c r="D974" s="41" t="n"/>
      <c r="E974" s="41" t="n"/>
      <c r="F974" s="19">
        <f>IF(COUNTA(A974:E974)=0,"",IF(OR(ISNUMBER(SEARCH("소계",B974)),ISNUMBER(SEARCH("합계",B974))),"",TRIM(IF(B974="","이름 없음 ","")&amp;IF(A974="","받은 가족 없음 ","")&amp;IF(C974="","금액 없음 ",IF(ISNUMBER(C974),IF(C974&lt;1000,"금액 확인 ",""),"금액 확인 "))&amp;IF(AND(B974&lt;&gt;"",COUNTIFS($A$2:$A$1001,A974,$B$2:$B$1001,B974,$C$2:$C$1001,C974)&gt;1),"중복 의심",""))))</f>
        <v/>
      </c>
      <c r="G974" s="25">
        <f>IF(OR(COUNTA(A974:E974)=0,OR(ISNUMBER(SEARCH("소계",B974)),ISNUMBER(SEARCH("합계",B974)))),"",1+COUNTIF($B$1:B973,"*소계*"))</f>
        <v/>
      </c>
      <c r="H974">
        <f>IF(AND(A974&lt;&gt;"",A974=가족별!$B$1,G974&lt;&gt;""),COUNTIFS($A$2:A974,가족별!$B$1,$G$2:G974,"&gt;0"),"")</f>
        <v/>
      </c>
      <c r="I974">
        <f>IF(ISNUMBER(SEARCH("소계",B974)),COUNTIF($B$2:B974,"*소계*"),"")</f>
        <v/>
      </c>
      <c r="J974">
        <f>IF(F974="",0,1)</f>
        <v/>
      </c>
    </row>
    <row r="975">
      <c r="A975" s="41" t="n"/>
      <c r="B975" s="41" t="n"/>
      <c r="C975" s="24" t="n"/>
      <c r="D975" s="41" t="n"/>
      <c r="E975" s="41" t="n"/>
      <c r="F975" s="19">
        <f>IF(COUNTA(A975:E975)=0,"",IF(OR(ISNUMBER(SEARCH("소계",B975)),ISNUMBER(SEARCH("합계",B975))),"",TRIM(IF(B975="","이름 없음 ","")&amp;IF(A975="","받은 가족 없음 ","")&amp;IF(C975="","금액 없음 ",IF(ISNUMBER(C975),IF(C975&lt;1000,"금액 확인 ",""),"금액 확인 "))&amp;IF(AND(B975&lt;&gt;"",COUNTIFS($A$2:$A$1001,A975,$B$2:$B$1001,B975,$C$2:$C$1001,C975)&gt;1),"중복 의심",""))))</f>
        <v/>
      </c>
      <c r="G975" s="25">
        <f>IF(OR(COUNTA(A975:E975)=0,OR(ISNUMBER(SEARCH("소계",B975)),ISNUMBER(SEARCH("합계",B975)))),"",1+COUNTIF($B$1:B974,"*소계*"))</f>
        <v/>
      </c>
      <c r="H975">
        <f>IF(AND(A975&lt;&gt;"",A975=가족별!$B$1,G975&lt;&gt;""),COUNTIFS($A$2:A975,가족별!$B$1,$G$2:G975,"&gt;0"),"")</f>
        <v/>
      </c>
      <c r="I975">
        <f>IF(ISNUMBER(SEARCH("소계",B975)),COUNTIF($B$2:B975,"*소계*"),"")</f>
        <v/>
      </c>
      <c r="J975">
        <f>IF(F975="",0,1)</f>
        <v/>
      </c>
    </row>
    <row r="976">
      <c r="A976" s="41" t="n"/>
      <c r="B976" s="41" t="n"/>
      <c r="C976" s="24" t="n"/>
      <c r="D976" s="41" t="n"/>
      <c r="E976" s="41" t="n"/>
      <c r="F976" s="19">
        <f>IF(COUNTA(A976:E976)=0,"",IF(OR(ISNUMBER(SEARCH("소계",B976)),ISNUMBER(SEARCH("합계",B976))),"",TRIM(IF(B976="","이름 없음 ","")&amp;IF(A976="","받은 가족 없음 ","")&amp;IF(C976="","금액 없음 ",IF(ISNUMBER(C976),IF(C976&lt;1000,"금액 확인 ",""),"금액 확인 "))&amp;IF(AND(B976&lt;&gt;"",COUNTIFS($A$2:$A$1001,A976,$B$2:$B$1001,B976,$C$2:$C$1001,C976)&gt;1),"중복 의심",""))))</f>
        <v/>
      </c>
      <c r="G976" s="25">
        <f>IF(OR(COUNTA(A976:E976)=0,OR(ISNUMBER(SEARCH("소계",B976)),ISNUMBER(SEARCH("합계",B976)))),"",1+COUNTIF($B$1:B975,"*소계*"))</f>
        <v/>
      </c>
      <c r="H976">
        <f>IF(AND(A976&lt;&gt;"",A976=가족별!$B$1,G976&lt;&gt;""),COUNTIFS($A$2:A976,가족별!$B$1,$G$2:G976,"&gt;0"),"")</f>
        <v/>
      </c>
      <c r="I976">
        <f>IF(ISNUMBER(SEARCH("소계",B976)),COUNTIF($B$2:B976,"*소계*"),"")</f>
        <v/>
      </c>
      <c r="J976">
        <f>IF(F976="",0,1)</f>
        <v/>
      </c>
    </row>
    <row r="977">
      <c r="A977" s="41" t="n"/>
      <c r="B977" s="41" t="n"/>
      <c r="C977" s="24" t="n"/>
      <c r="D977" s="41" t="n"/>
      <c r="E977" s="41" t="n"/>
      <c r="F977" s="19">
        <f>IF(COUNTA(A977:E977)=0,"",IF(OR(ISNUMBER(SEARCH("소계",B977)),ISNUMBER(SEARCH("합계",B977))),"",TRIM(IF(B977="","이름 없음 ","")&amp;IF(A977="","받은 가족 없음 ","")&amp;IF(C977="","금액 없음 ",IF(ISNUMBER(C977),IF(C977&lt;1000,"금액 확인 ",""),"금액 확인 "))&amp;IF(AND(B977&lt;&gt;"",COUNTIFS($A$2:$A$1001,A977,$B$2:$B$1001,B977,$C$2:$C$1001,C977)&gt;1),"중복 의심",""))))</f>
        <v/>
      </c>
      <c r="G977" s="25">
        <f>IF(OR(COUNTA(A977:E977)=0,OR(ISNUMBER(SEARCH("소계",B977)),ISNUMBER(SEARCH("합계",B977)))),"",1+COUNTIF($B$1:B976,"*소계*"))</f>
        <v/>
      </c>
      <c r="H977">
        <f>IF(AND(A977&lt;&gt;"",A977=가족별!$B$1,G977&lt;&gt;""),COUNTIFS($A$2:A977,가족별!$B$1,$G$2:G977,"&gt;0"),"")</f>
        <v/>
      </c>
      <c r="I977">
        <f>IF(ISNUMBER(SEARCH("소계",B977)),COUNTIF($B$2:B977,"*소계*"),"")</f>
        <v/>
      </c>
      <c r="J977">
        <f>IF(F977="",0,1)</f>
        <v/>
      </c>
    </row>
    <row r="978">
      <c r="A978" s="41" t="n"/>
      <c r="B978" s="41" t="n"/>
      <c r="C978" s="24" t="n"/>
      <c r="D978" s="41" t="n"/>
      <c r="E978" s="41" t="n"/>
      <c r="F978" s="19">
        <f>IF(COUNTA(A978:E978)=0,"",IF(OR(ISNUMBER(SEARCH("소계",B978)),ISNUMBER(SEARCH("합계",B978))),"",TRIM(IF(B978="","이름 없음 ","")&amp;IF(A978="","받은 가족 없음 ","")&amp;IF(C978="","금액 없음 ",IF(ISNUMBER(C978),IF(C978&lt;1000,"금액 확인 ",""),"금액 확인 "))&amp;IF(AND(B978&lt;&gt;"",COUNTIFS($A$2:$A$1001,A978,$B$2:$B$1001,B978,$C$2:$C$1001,C978)&gt;1),"중복 의심",""))))</f>
        <v/>
      </c>
      <c r="G978" s="25">
        <f>IF(OR(COUNTA(A978:E978)=0,OR(ISNUMBER(SEARCH("소계",B978)),ISNUMBER(SEARCH("합계",B978)))),"",1+COUNTIF($B$1:B977,"*소계*"))</f>
        <v/>
      </c>
      <c r="H978">
        <f>IF(AND(A978&lt;&gt;"",A978=가족별!$B$1,G978&lt;&gt;""),COUNTIFS($A$2:A978,가족별!$B$1,$G$2:G978,"&gt;0"),"")</f>
        <v/>
      </c>
      <c r="I978">
        <f>IF(ISNUMBER(SEARCH("소계",B978)),COUNTIF($B$2:B978,"*소계*"),"")</f>
        <v/>
      </c>
      <c r="J978">
        <f>IF(F978="",0,1)</f>
        <v/>
      </c>
    </row>
    <row r="979">
      <c r="A979" s="41" t="n"/>
      <c r="B979" s="41" t="n"/>
      <c r="C979" s="24" t="n"/>
      <c r="D979" s="41" t="n"/>
      <c r="E979" s="41" t="n"/>
      <c r="F979" s="19">
        <f>IF(COUNTA(A979:E979)=0,"",IF(OR(ISNUMBER(SEARCH("소계",B979)),ISNUMBER(SEARCH("합계",B979))),"",TRIM(IF(B979="","이름 없음 ","")&amp;IF(A979="","받은 가족 없음 ","")&amp;IF(C979="","금액 없음 ",IF(ISNUMBER(C979),IF(C979&lt;1000,"금액 확인 ",""),"금액 확인 "))&amp;IF(AND(B979&lt;&gt;"",COUNTIFS($A$2:$A$1001,A979,$B$2:$B$1001,B979,$C$2:$C$1001,C979)&gt;1),"중복 의심",""))))</f>
        <v/>
      </c>
      <c r="G979" s="25">
        <f>IF(OR(COUNTA(A979:E979)=0,OR(ISNUMBER(SEARCH("소계",B979)),ISNUMBER(SEARCH("합계",B979)))),"",1+COUNTIF($B$1:B978,"*소계*"))</f>
        <v/>
      </c>
      <c r="H979">
        <f>IF(AND(A979&lt;&gt;"",A979=가족별!$B$1,G979&lt;&gt;""),COUNTIFS($A$2:A979,가족별!$B$1,$G$2:G979,"&gt;0"),"")</f>
        <v/>
      </c>
      <c r="I979">
        <f>IF(ISNUMBER(SEARCH("소계",B979)),COUNTIF($B$2:B979,"*소계*"),"")</f>
        <v/>
      </c>
      <c r="J979">
        <f>IF(F979="",0,1)</f>
        <v/>
      </c>
    </row>
    <row r="980">
      <c r="A980" s="41" t="n"/>
      <c r="B980" s="41" t="n"/>
      <c r="C980" s="24" t="n"/>
      <c r="D980" s="41" t="n"/>
      <c r="E980" s="41" t="n"/>
      <c r="F980" s="19">
        <f>IF(COUNTA(A980:E980)=0,"",IF(OR(ISNUMBER(SEARCH("소계",B980)),ISNUMBER(SEARCH("합계",B980))),"",TRIM(IF(B980="","이름 없음 ","")&amp;IF(A980="","받은 가족 없음 ","")&amp;IF(C980="","금액 없음 ",IF(ISNUMBER(C980),IF(C980&lt;1000,"금액 확인 ",""),"금액 확인 "))&amp;IF(AND(B980&lt;&gt;"",COUNTIFS($A$2:$A$1001,A980,$B$2:$B$1001,B980,$C$2:$C$1001,C980)&gt;1),"중복 의심",""))))</f>
        <v/>
      </c>
      <c r="G980" s="25">
        <f>IF(OR(COUNTA(A980:E980)=0,OR(ISNUMBER(SEARCH("소계",B980)),ISNUMBER(SEARCH("합계",B980)))),"",1+COUNTIF($B$1:B979,"*소계*"))</f>
        <v/>
      </c>
      <c r="H980">
        <f>IF(AND(A980&lt;&gt;"",A980=가족별!$B$1,G980&lt;&gt;""),COUNTIFS($A$2:A980,가족별!$B$1,$G$2:G980,"&gt;0"),"")</f>
        <v/>
      </c>
      <c r="I980">
        <f>IF(ISNUMBER(SEARCH("소계",B980)),COUNTIF($B$2:B980,"*소계*"),"")</f>
        <v/>
      </c>
      <c r="J980">
        <f>IF(F980="",0,1)</f>
        <v/>
      </c>
    </row>
    <row r="981">
      <c r="A981" s="41" t="n"/>
      <c r="B981" s="41" t="n"/>
      <c r="C981" s="24" t="n"/>
      <c r="D981" s="41" t="n"/>
      <c r="E981" s="41" t="n"/>
      <c r="F981" s="19">
        <f>IF(COUNTA(A981:E981)=0,"",IF(OR(ISNUMBER(SEARCH("소계",B981)),ISNUMBER(SEARCH("합계",B981))),"",TRIM(IF(B981="","이름 없음 ","")&amp;IF(A981="","받은 가족 없음 ","")&amp;IF(C981="","금액 없음 ",IF(ISNUMBER(C981),IF(C981&lt;1000,"금액 확인 ",""),"금액 확인 "))&amp;IF(AND(B981&lt;&gt;"",COUNTIFS($A$2:$A$1001,A981,$B$2:$B$1001,B981,$C$2:$C$1001,C981)&gt;1),"중복 의심",""))))</f>
        <v/>
      </c>
      <c r="G981" s="25">
        <f>IF(OR(COUNTA(A981:E981)=0,OR(ISNUMBER(SEARCH("소계",B981)),ISNUMBER(SEARCH("합계",B981)))),"",1+COUNTIF($B$1:B980,"*소계*"))</f>
        <v/>
      </c>
      <c r="H981">
        <f>IF(AND(A981&lt;&gt;"",A981=가족별!$B$1,G981&lt;&gt;""),COUNTIFS($A$2:A981,가족별!$B$1,$G$2:G981,"&gt;0"),"")</f>
        <v/>
      </c>
      <c r="I981">
        <f>IF(ISNUMBER(SEARCH("소계",B981)),COUNTIF($B$2:B981,"*소계*"),"")</f>
        <v/>
      </c>
      <c r="J981">
        <f>IF(F981="",0,1)</f>
        <v/>
      </c>
    </row>
    <row r="982">
      <c r="A982" s="41" t="n"/>
      <c r="B982" s="41" t="n"/>
      <c r="C982" s="24" t="n"/>
      <c r="D982" s="41" t="n"/>
      <c r="E982" s="41" t="n"/>
      <c r="F982" s="19">
        <f>IF(COUNTA(A982:E982)=0,"",IF(OR(ISNUMBER(SEARCH("소계",B982)),ISNUMBER(SEARCH("합계",B982))),"",TRIM(IF(B982="","이름 없음 ","")&amp;IF(A982="","받은 가족 없음 ","")&amp;IF(C982="","금액 없음 ",IF(ISNUMBER(C982),IF(C982&lt;1000,"금액 확인 ",""),"금액 확인 "))&amp;IF(AND(B982&lt;&gt;"",COUNTIFS($A$2:$A$1001,A982,$B$2:$B$1001,B982,$C$2:$C$1001,C982)&gt;1),"중복 의심",""))))</f>
        <v/>
      </c>
      <c r="G982" s="25">
        <f>IF(OR(COUNTA(A982:E982)=0,OR(ISNUMBER(SEARCH("소계",B982)),ISNUMBER(SEARCH("합계",B982)))),"",1+COUNTIF($B$1:B981,"*소계*"))</f>
        <v/>
      </c>
      <c r="H982">
        <f>IF(AND(A982&lt;&gt;"",A982=가족별!$B$1,G982&lt;&gt;""),COUNTIFS($A$2:A982,가족별!$B$1,$G$2:G982,"&gt;0"),"")</f>
        <v/>
      </c>
      <c r="I982">
        <f>IF(ISNUMBER(SEARCH("소계",B982)),COUNTIF($B$2:B982,"*소계*"),"")</f>
        <v/>
      </c>
      <c r="J982">
        <f>IF(F982="",0,1)</f>
        <v/>
      </c>
    </row>
    <row r="983">
      <c r="A983" s="41" t="n"/>
      <c r="B983" s="41" t="n"/>
      <c r="C983" s="24" t="n"/>
      <c r="D983" s="41" t="n"/>
      <c r="E983" s="41" t="n"/>
      <c r="F983" s="19">
        <f>IF(COUNTA(A983:E983)=0,"",IF(OR(ISNUMBER(SEARCH("소계",B983)),ISNUMBER(SEARCH("합계",B983))),"",TRIM(IF(B983="","이름 없음 ","")&amp;IF(A983="","받은 가족 없음 ","")&amp;IF(C983="","금액 없음 ",IF(ISNUMBER(C983),IF(C983&lt;1000,"금액 확인 ",""),"금액 확인 "))&amp;IF(AND(B983&lt;&gt;"",COUNTIFS($A$2:$A$1001,A983,$B$2:$B$1001,B983,$C$2:$C$1001,C983)&gt;1),"중복 의심",""))))</f>
        <v/>
      </c>
      <c r="G983" s="25">
        <f>IF(OR(COUNTA(A983:E983)=0,OR(ISNUMBER(SEARCH("소계",B983)),ISNUMBER(SEARCH("합계",B983)))),"",1+COUNTIF($B$1:B982,"*소계*"))</f>
        <v/>
      </c>
      <c r="H983">
        <f>IF(AND(A983&lt;&gt;"",A983=가족별!$B$1,G983&lt;&gt;""),COUNTIFS($A$2:A983,가족별!$B$1,$G$2:G983,"&gt;0"),"")</f>
        <v/>
      </c>
      <c r="I983">
        <f>IF(ISNUMBER(SEARCH("소계",B983)),COUNTIF($B$2:B983,"*소계*"),"")</f>
        <v/>
      </c>
      <c r="J983">
        <f>IF(F983="",0,1)</f>
        <v/>
      </c>
    </row>
    <row r="984">
      <c r="A984" s="41" t="n"/>
      <c r="B984" s="41" t="n"/>
      <c r="C984" s="24" t="n"/>
      <c r="D984" s="41" t="n"/>
      <c r="E984" s="41" t="n"/>
      <c r="F984" s="19">
        <f>IF(COUNTA(A984:E984)=0,"",IF(OR(ISNUMBER(SEARCH("소계",B984)),ISNUMBER(SEARCH("합계",B984))),"",TRIM(IF(B984="","이름 없음 ","")&amp;IF(A984="","받은 가족 없음 ","")&amp;IF(C984="","금액 없음 ",IF(ISNUMBER(C984),IF(C984&lt;1000,"금액 확인 ",""),"금액 확인 "))&amp;IF(AND(B984&lt;&gt;"",COUNTIFS($A$2:$A$1001,A984,$B$2:$B$1001,B984,$C$2:$C$1001,C984)&gt;1),"중복 의심",""))))</f>
        <v/>
      </c>
      <c r="G984" s="25">
        <f>IF(OR(COUNTA(A984:E984)=0,OR(ISNUMBER(SEARCH("소계",B984)),ISNUMBER(SEARCH("합계",B984)))),"",1+COUNTIF($B$1:B983,"*소계*"))</f>
        <v/>
      </c>
      <c r="H984">
        <f>IF(AND(A984&lt;&gt;"",A984=가족별!$B$1,G984&lt;&gt;""),COUNTIFS($A$2:A984,가족별!$B$1,$G$2:G984,"&gt;0"),"")</f>
        <v/>
      </c>
      <c r="I984">
        <f>IF(ISNUMBER(SEARCH("소계",B984)),COUNTIF($B$2:B984,"*소계*"),"")</f>
        <v/>
      </c>
      <c r="J984">
        <f>IF(F984="",0,1)</f>
        <v/>
      </c>
    </row>
    <row r="985">
      <c r="A985" s="41" t="n"/>
      <c r="B985" s="41" t="n"/>
      <c r="C985" s="24" t="n"/>
      <c r="D985" s="41" t="n"/>
      <c r="E985" s="41" t="n"/>
      <c r="F985" s="19">
        <f>IF(COUNTA(A985:E985)=0,"",IF(OR(ISNUMBER(SEARCH("소계",B985)),ISNUMBER(SEARCH("합계",B985))),"",TRIM(IF(B985="","이름 없음 ","")&amp;IF(A985="","받은 가족 없음 ","")&amp;IF(C985="","금액 없음 ",IF(ISNUMBER(C985),IF(C985&lt;1000,"금액 확인 ",""),"금액 확인 "))&amp;IF(AND(B985&lt;&gt;"",COUNTIFS($A$2:$A$1001,A985,$B$2:$B$1001,B985,$C$2:$C$1001,C985)&gt;1),"중복 의심",""))))</f>
        <v/>
      </c>
      <c r="G985" s="25">
        <f>IF(OR(COUNTA(A985:E985)=0,OR(ISNUMBER(SEARCH("소계",B985)),ISNUMBER(SEARCH("합계",B985)))),"",1+COUNTIF($B$1:B984,"*소계*"))</f>
        <v/>
      </c>
      <c r="H985">
        <f>IF(AND(A985&lt;&gt;"",A985=가족별!$B$1,G985&lt;&gt;""),COUNTIFS($A$2:A985,가족별!$B$1,$G$2:G985,"&gt;0"),"")</f>
        <v/>
      </c>
      <c r="I985">
        <f>IF(ISNUMBER(SEARCH("소계",B985)),COUNTIF($B$2:B985,"*소계*"),"")</f>
        <v/>
      </c>
      <c r="J985">
        <f>IF(F985="",0,1)</f>
        <v/>
      </c>
    </row>
    <row r="986">
      <c r="A986" s="41" t="n"/>
      <c r="B986" s="41" t="n"/>
      <c r="C986" s="24" t="n"/>
      <c r="D986" s="41" t="n"/>
      <c r="E986" s="41" t="n"/>
      <c r="F986" s="19">
        <f>IF(COUNTA(A986:E986)=0,"",IF(OR(ISNUMBER(SEARCH("소계",B986)),ISNUMBER(SEARCH("합계",B986))),"",TRIM(IF(B986="","이름 없음 ","")&amp;IF(A986="","받은 가족 없음 ","")&amp;IF(C986="","금액 없음 ",IF(ISNUMBER(C986),IF(C986&lt;1000,"금액 확인 ",""),"금액 확인 "))&amp;IF(AND(B986&lt;&gt;"",COUNTIFS($A$2:$A$1001,A986,$B$2:$B$1001,B986,$C$2:$C$1001,C986)&gt;1),"중복 의심",""))))</f>
        <v/>
      </c>
      <c r="G986" s="25">
        <f>IF(OR(COUNTA(A986:E986)=0,OR(ISNUMBER(SEARCH("소계",B986)),ISNUMBER(SEARCH("합계",B986)))),"",1+COUNTIF($B$1:B985,"*소계*"))</f>
        <v/>
      </c>
      <c r="H986">
        <f>IF(AND(A986&lt;&gt;"",A986=가족별!$B$1,G986&lt;&gt;""),COUNTIFS($A$2:A986,가족별!$B$1,$G$2:G986,"&gt;0"),"")</f>
        <v/>
      </c>
      <c r="I986">
        <f>IF(ISNUMBER(SEARCH("소계",B986)),COUNTIF($B$2:B986,"*소계*"),"")</f>
        <v/>
      </c>
      <c r="J986">
        <f>IF(F986="",0,1)</f>
        <v/>
      </c>
    </row>
    <row r="987">
      <c r="A987" s="41" t="n"/>
      <c r="B987" s="41" t="n"/>
      <c r="C987" s="24" t="n"/>
      <c r="D987" s="41" t="n"/>
      <c r="E987" s="41" t="n"/>
      <c r="F987" s="19">
        <f>IF(COUNTA(A987:E987)=0,"",IF(OR(ISNUMBER(SEARCH("소계",B987)),ISNUMBER(SEARCH("합계",B987))),"",TRIM(IF(B987="","이름 없음 ","")&amp;IF(A987="","받은 가족 없음 ","")&amp;IF(C987="","금액 없음 ",IF(ISNUMBER(C987),IF(C987&lt;1000,"금액 확인 ",""),"금액 확인 "))&amp;IF(AND(B987&lt;&gt;"",COUNTIFS($A$2:$A$1001,A987,$B$2:$B$1001,B987,$C$2:$C$1001,C987)&gt;1),"중복 의심",""))))</f>
        <v/>
      </c>
      <c r="G987" s="25">
        <f>IF(OR(COUNTA(A987:E987)=0,OR(ISNUMBER(SEARCH("소계",B987)),ISNUMBER(SEARCH("합계",B987)))),"",1+COUNTIF($B$1:B986,"*소계*"))</f>
        <v/>
      </c>
      <c r="H987">
        <f>IF(AND(A987&lt;&gt;"",A987=가족별!$B$1,G987&lt;&gt;""),COUNTIFS($A$2:A987,가족별!$B$1,$G$2:G987,"&gt;0"),"")</f>
        <v/>
      </c>
      <c r="I987">
        <f>IF(ISNUMBER(SEARCH("소계",B987)),COUNTIF($B$2:B987,"*소계*"),"")</f>
        <v/>
      </c>
      <c r="J987">
        <f>IF(F987="",0,1)</f>
        <v/>
      </c>
    </row>
    <row r="988">
      <c r="A988" s="41" t="n"/>
      <c r="B988" s="41" t="n"/>
      <c r="C988" s="24" t="n"/>
      <c r="D988" s="41" t="n"/>
      <c r="E988" s="41" t="n"/>
      <c r="F988" s="19">
        <f>IF(COUNTA(A988:E988)=0,"",IF(OR(ISNUMBER(SEARCH("소계",B988)),ISNUMBER(SEARCH("합계",B988))),"",TRIM(IF(B988="","이름 없음 ","")&amp;IF(A988="","받은 가족 없음 ","")&amp;IF(C988="","금액 없음 ",IF(ISNUMBER(C988),IF(C988&lt;1000,"금액 확인 ",""),"금액 확인 "))&amp;IF(AND(B988&lt;&gt;"",COUNTIFS($A$2:$A$1001,A988,$B$2:$B$1001,B988,$C$2:$C$1001,C988)&gt;1),"중복 의심",""))))</f>
        <v/>
      </c>
      <c r="G988" s="25">
        <f>IF(OR(COUNTA(A988:E988)=0,OR(ISNUMBER(SEARCH("소계",B988)),ISNUMBER(SEARCH("합계",B988)))),"",1+COUNTIF($B$1:B987,"*소계*"))</f>
        <v/>
      </c>
      <c r="H988">
        <f>IF(AND(A988&lt;&gt;"",A988=가족별!$B$1,G988&lt;&gt;""),COUNTIFS($A$2:A988,가족별!$B$1,$G$2:G988,"&gt;0"),"")</f>
        <v/>
      </c>
      <c r="I988">
        <f>IF(ISNUMBER(SEARCH("소계",B988)),COUNTIF($B$2:B988,"*소계*"),"")</f>
        <v/>
      </c>
      <c r="J988">
        <f>IF(F988="",0,1)</f>
        <v/>
      </c>
    </row>
    <row r="989">
      <c r="A989" s="41" t="n"/>
      <c r="B989" s="41" t="n"/>
      <c r="C989" s="24" t="n"/>
      <c r="D989" s="41" t="n"/>
      <c r="E989" s="41" t="n"/>
      <c r="F989" s="19">
        <f>IF(COUNTA(A989:E989)=0,"",IF(OR(ISNUMBER(SEARCH("소계",B989)),ISNUMBER(SEARCH("합계",B989))),"",TRIM(IF(B989="","이름 없음 ","")&amp;IF(A989="","받은 가족 없음 ","")&amp;IF(C989="","금액 없음 ",IF(ISNUMBER(C989),IF(C989&lt;1000,"금액 확인 ",""),"금액 확인 "))&amp;IF(AND(B989&lt;&gt;"",COUNTIFS($A$2:$A$1001,A989,$B$2:$B$1001,B989,$C$2:$C$1001,C989)&gt;1),"중복 의심",""))))</f>
        <v/>
      </c>
      <c r="G989" s="25">
        <f>IF(OR(COUNTA(A989:E989)=0,OR(ISNUMBER(SEARCH("소계",B989)),ISNUMBER(SEARCH("합계",B989)))),"",1+COUNTIF($B$1:B988,"*소계*"))</f>
        <v/>
      </c>
      <c r="H989">
        <f>IF(AND(A989&lt;&gt;"",A989=가족별!$B$1,G989&lt;&gt;""),COUNTIFS($A$2:A989,가족별!$B$1,$G$2:G989,"&gt;0"),"")</f>
        <v/>
      </c>
      <c r="I989">
        <f>IF(ISNUMBER(SEARCH("소계",B989)),COUNTIF($B$2:B989,"*소계*"),"")</f>
        <v/>
      </c>
      <c r="J989">
        <f>IF(F989="",0,1)</f>
        <v/>
      </c>
    </row>
    <row r="990">
      <c r="A990" s="41" t="n"/>
      <c r="B990" s="41" t="n"/>
      <c r="C990" s="24" t="n"/>
      <c r="D990" s="41" t="n"/>
      <c r="E990" s="41" t="n"/>
      <c r="F990" s="19">
        <f>IF(COUNTA(A990:E990)=0,"",IF(OR(ISNUMBER(SEARCH("소계",B990)),ISNUMBER(SEARCH("합계",B990))),"",TRIM(IF(B990="","이름 없음 ","")&amp;IF(A990="","받은 가족 없음 ","")&amp;IF(C990="","금액 없음 ",IF(ISNUMBER(C990),IF(C990&lt;1000,"금액 확인 ",""),"금액 확인 "))&amp;IF(AND(B990&lt;&gt;"",COUNTIFS($A$2:$A$1001,A990,$B$2:$B$1001,B990,$C$2:$C$1001,C990)&gt;1),"중복 의심",""))))</f>
        <v/>
      </c>
      <c r="G990" s="25">
        <f>IF(OR(COUNTA(A990:E990)=0,OR(ISNUMBER(SEARCH("소계",B990)),ISNUMBER(SEARCH("합계",B990)))),"",1+COUNTIF($B$1:B989,"*소계*"))</f>
        <v/>
      </c>
      <c r="H990">
        <f>IF(AND(A990&lt;&gt;"",A990=가족별!$B$1,G990&lt;&gt;""),COUNTIFS($A$2:A990,가족별!$B$1,$G$2:G990,"&gt;0"),"")</f>
        <v/>
      </c>
      <c r="I990">
        <f>IF(ISNUMBER(SEARCH("소계",B990)),COUNTIF($B$2:B990,"*소계*"),"")</f>
        <v/>
      </c>
      <c r="J990">
        <f>IF(F990="",0,1)</f>
        <v/>
      </c>
    </row>
    <row r="991">
      <c r="A991" s="41" t="n"/>
      <c r="B991" s="41" t="n"/>
      <c r="C991" s="24" t="n"/>
      <c r="D991" s="41" t="n"/>
      <c r="E991" s="41" t="n"/>
      <c r="F991" s="19">
        <f>IF(COUNTA(A991:E991)=0,"",IF(OR(ISNUMBER(SEARCH("소계",B991)),ISNUMBER(SEARCH("합계",B991))),"",TRIM(IF(B991="","이름 없음 ","")&amp;IF(A991="","받은 가족 없음 ","")&amp;IF(C991="","금액 없음 ",IF(ISNUMBER(C991),IF(C991&lt;1000,"금액 확인 ",""),"금액 확인 "))&amp;IF(AND(B991&lt;&gt;"",COUNTIFS($A$2:$A$1001,A991,$B$2:$B$1001,B991,$C$2:$C$1001,C991)&gt;1),"중복 의심",""))))</f>
        <v/>
      </c>
      <c r="G991" s="25">
        <f>IF(OR(COUNTA(A991:E991)=0,OR(ISNUMBER(SEARCH("소계",B991)),ISNUMBER(SEARCH("합계",B991)))),"",1+COUNTIF($B$1:B990,"*소계*"))</f>
        <v/>
      </c>
      <c r="H991">
        <f>IF(AND(A991&lt;&gt;"",A991=가족별!$B$1,G991&lt;&gt;""),COUNTIFS($A$2:A991,가족별!$B$1,$G$2:G991,"&gt;0"),"")</f>
        <v/>
      </c>
      <c r="I991">
        <f>IF(ISNUMBER(SEARCH("소계",B991)),COUNTIF($B$2:B991,"*소계*"),"")</f>
        <v/>
      </c>
      <c r="J991">
        <f>IF(F991="",0,1)</f>
        <v/>
      </c>
    </row>
    <row r="992">
      <c r="A992" s="41" t="n"/>
      <c r="B992" s="41" t="n"/>
      <c r="C992" s="24" t="n"/>
      <c r="D992" s="41" t="n"/>
      <c r="E992" s="41" t="n"/>
      <c r="F992" s="19">
        <f>IF(COUNTA(A992:E992)=0,"",IF(OR(ISNUMBER(SEARCH("소계",B992)),ISNUMBER(SEARCH("합계",B992))),"",TRIM(IF(B992="","이름 없음 ","")&amp;IF(A992="","받은 가족 없음 ","")&amp;IF(C992="","금액 없음 ",IF(ISNUMBER(C992),IF(C992&lt;1000,"금액 확인 ",""),"금액 확인 "))&amp;IF(AND(B992&lt;&gt;"",COUNTIFS($A$2:$A$1001,A992,$B$2:$B$1001,B992,$C$2:$C$1001,C992)&gt;1),"중복 의심",""))))</f>
        <v/>
      </c>
      <c r="G992" s="25">
        <f>IF(OR(COUNTA(A992:E992)=0,OR(ISNUMBER(SEARCH("소계",B992)),ISNUMBER(SEARCH("합계",B992)))),"",1+COUNTIF($B$1:B991,"*소계*"))</f>
        <v/>
      </c>
      <c r="H992">
        <f>IF(AND(A992&lt;&gt;"",A992=가족별!$B$1,G992&lt;&gt;""),COUNTIFS($A$2:A992,가족별!$B$1,$G$2:G992,"&gt;0"),"")</f>
        <v/>
      </c>
      <c r="I992">
        <f>IF(ISNUMBER(SEARCH("소계",B992)),COUNTIF($B$2:B992,"*소계*"),"")</f>
        <v/>
      </c>
      <c r="J992">
        <f>IF(F992="",0,1)</f>
        <v/>
      </c>
    </row>
    <row r="993">
      <c r="A993" s="41" t="n"/>
      <c r="B993" s="41" t="n"/>
      <c r="C993" s="24" t="n"/>
      <c r="D993" s="41" t="n"/>
      <c r="E993" s="41" t="n"/>
      <c r="F993" s="19">
        <f>IF(COUNTA(A993:E993)=0,"",IF(OR(ISNUMBER(SEARCH("소계",B993)),ISNUMBER(SEARCH("합계",B993))),"",TRIM(IF(B993="","이름 없음 ","")&amp;IF(A993="","받은 가족 없음 ","")&amp;IF(C993="","금액 없음 ",IF(ISNUMBER(C993),IF(C993&lt;1000,"금액 확인 ",""),"금액 확인 "))&amp;IF(AND(B993&lt;&gt;"",COUNTIFS($A$2:$A$1001,A993,$B$2:$B$1001,B993,$C$2:$C$1001,C993)&gt;1),"중복 의심",""))))</f>
        <v/>
      </c>
      <c r="G993" s="25">
        <f>IF(OR(COUNTA(A993:E993)=0,OR(ISNUMBER(SEARCH("소계",B993)),ISNUMBER(SEARCH("합계",B993)))),"",1+COUNTIF($B$1:B992,"*소계*"))</f>
        <v/>
      </c>
      <c r="H993">
        <f>IF(AND(A993&lt;&gt;"",A993=가족별!$B$1,G993&lt;&gt;""),COUNTIFS($A$2:A993,가족별!$B$1,$G$2:G993,"&gt;0"),"")</f>
        <v/>
      </c>
      <c r="I993">
        <f>IF(ISNUMBER(SEARCH("소계",B993)),COUNTIF($B$2:B993,"*소계*"),"")</f>
        <v/>
      </c>
      <c r="J993">
        <f>IF(F993="",0,1)</f>
        <v/>
      </c>
    </row>
    <row r="994">
      <c r="A994" s="41" t="n"/>
      <c r="B994" s="41" t="n"/>
      <c r="C994" s="24" t="n"/>
      <c r="D994" s="41" t="n"/>
      <c r="E994" s="41" t="n"/>
      <c r="F994" s="19">
        <f>IF(COUNTA(A994:E994)=0,"",IF(OR(ISNUMBER(SEARCH("소계",B994)),ISNUMBER(SEARCH("합계",B994))),"",TRIM(IF(B994="","이름 없음 ","")&amp;IF(A994="","받은 가족 없음 ","")&amp;IF(C994="","금액 없음 ",IF(ISNUMBER(C994),IF(C994&lt;1000,"금액 확인 ",""),"금액 확인 "))&amp;IF(AND(B994&lt;&gt;"",COUNTIFS($A$2:$A$1001,A994,$B$2:$B$1001,B994,$C$2:$C$1001,C994)&gt;1),"중복 의심",""))))</f>
        <v/>
      </c>
      <c r="G994" s="25">
        <f>IF(OR(COUNTA(A994:E994)=0,OR(ISNUMBER(SEARCH("소계",B994)),ISNUMBER(SEARCH("합계",B994)))),"",1+COUNTIF($B$1:B993,"*소계*"))</f>
        <v/>
      </c>
      <c r="H994">
        <f>IF(AND(A994&lt;&gt;"",A994=가족별!$B$1,G994&lt;&gt;""),COUNTIFS($A$2:A994,가족별!$B$1,$G$2:G994,"&gt;0"),"")</f>
        <v/>
      </c>
      <c r="I994">
        <f>IF(ISNUMBER(SEARCH("소계",B994)),COUNTIF($B$2:B994,"*소계*"),"")</f>
        <v/>
      </c>
      <c r="J994">
        <f>IF(F994="",0,1)</f>
        <v/>
      </c>
    </row>
    <row r="995">
      <c r="A995" s="41" t="n"/>
      <c r="B995" s="41" t="n"/>
      <c r="C995" s="24" t="n"/>
      <c r="D995" s="41" t="n"/>
      <c r="E995" s="41" t="n"/>
      <c r="F995" s="19">
        <f>IF(COUNTA(A995:E995)=0,"",IF(OR(ISNUMBER(SEARCH("소계",B995)),ISNUMBER(SEARCH("합계",B995))),"",TRIM(IF(B995="","이름 없음 ","")&amp;IF(A995="","받은 가족 없음 ","")&amp;IF(C995="","금액 없음 ",IF(ISNUMBER(C995),IF(C995&lt;1000,"금액 확인 ",""),"금액 확인 "))&amp;IF(AND(B995&lt;&gt;"",COUNTIFS($A$2:$A$1001,A995,$B$2:$B$1001,B995,$C$2:$C$1001,C995)&gt;1),"중복 의심",""))))</f>
        <v/>
      </c>
      <c r="G995" s="25">
        <f>IF(OR(COUNTA(A995:E995)=0,OR(ISNUMBER(SEARCH("소계",B995)),ISNUMBER(SEARCH("합계",B995)))),"",1+COUNTIF($B$1:B994,"*소계*"))</f>
        <v/>
      </c>
      <c r="H995">
        <f>IF(AND(A995&lt;&gt;"",A995=가족별!$B$1,G995&lt;&gt;""),COUNTIFS($A$2:A995,가족별!$B$1,$G$2:G995,"&gt;0"),"")</f>
        <v/>
      </c>
      <c r="I995">
        <f>IF(ISNUMBER(SEARCH("소계",B995)),COUNTIF($B$2:B995,"*소계*"),"")</f>
        <v/>
      </c>
      <c r="J995">
        <f>IF(F995="",0,1)</f>
        <v/>
      </c>
    </row>
    <row r="996">
      <c r="A996" s="41" t="n"/>
      <c r="B996" s="41" t="n"/>
      <c r="C996" s="24" t="n"/>
      <c r="D996" s="41" t="n"/>
      <c r="E996" s="41" t="n"/>
      <c r="F996" s="19">
        <f>IF(COUNTA(A996:E996)=0,"",IF(OR(ISNUMBER(SEARCH("소계",B996)),ISNUMBER(SEARCH("합계",B996))),"",TRIM(IF(B996="","이름 없음 ","")&amp;IF(A996="","받은 가족 없음 ","")&amp;IF(C996="","금액 없음 ",IF(ISNUMBER(C996),IF(C996&lt;1000,"금액 확인 ",""),"금액 확인 "))&amp;IF(AND(B996&lt;&gt;"",COUNTIFS($A$2:$A$1001,A996,$B$2:$B$1001,B996,$C$2:$C$1001,C996)&gt;1),"중복 의심",""))))</f>
        <v/>
      </c>
      <c r="G996" s="25">
        <f>IF(OR(COUNTA(A996:E996)=0,OR(ISNUMBER(SEARCH("소계",B996)),ISNUMBER(SEARCH("합계",B996)))),"",1+COUNTIF($B$1:B995,"*소계*"))</f>
        <v/>
      </c>
      <c r="H996">
        <f>IF(AND(A996&lt;&gt;"",A996=가족별!$B$1,G996&lt;&gt;""),COUNTIFS($A$2:A996,가족별!$B$1,$G$2:G996,"&gt;0"),"")</f>
        <v/>
      </c>
      <c r="I996">
        <f>IF(ISNUMBER(SEARCH("소계",B996)),COUNTIF($B$2:B996,"*소계*"),"")</f>
        <v/>
      </c>
      <c r="J996">
        <f>IF(F996="",0,1)</f>
        <v/>
      </c>
    </row>
    <row r="997">
      <c r="A997" s="41" t="n"/>
      <c r="B997" s="41" t="n"/>
      <c r="C997" s="24" t="n"/>
      <c r="D997" s="41" t="n"/>
      <c r="E997" s="41" t="n"/>
      <c r="F997" s="19">
        <f>IF(COUNTA(A997:E997)=0,"",IF(OR(ISNUMBER(SEARCH("소계",B997)),ISNUMBER(SEARCH("합계",B997))),"",TRIM(IF(B997="","이름 없음 ","")&amp;IF(A997="","받은 가족 없음 ","")&amp;IF(C997="","금액 없음 ",IF(ISNUMBER(C997),IF(C997&lt;1000,"금액 확인 ",""),"금액 확인 "))&amp;IF(AND(B997&lt;&gt;"",COUNTIFS($A$2:$A$1001,A997,$B$2:$B$1001,B997,$C$2:$C$1001,C997)&gt;1),"중복 의심",""))))</f>
        <v/>
      </c>
      <c r="G997" s="25">
        <f>IF(OR(COUNTA(A997:E997)=0,OR(ISNUMBER(SEARCH("소계",B997)),ISNUMBER(SEARCH("합계",B997)))),"",1+COUNTIF($B$1:B996,"*소계*"))</f>
        <v/>
      </c>
      <c r="H997">
        <f>IF(AND(A997&lt;&gt;"",A997=가족별!$B$1,G997&lt;&gt;""),COUNTIFS($A$2:A997,가족별!$B$1,$G$2:G997,"&gt;0"),"")</f>
        <v/>
      </c>
      <c r="I997">
        <f>IF(ISNUMBER(SEARCH("소계",B997)),COUNTIF($B$2:B997,"*소계*"),"")</f>
        <v/>
      </c>
      <c r="J997">
        <f>IF(F997="",0,1)</f>
        <v/>
      </c>
    </row>
    <row r="998">
      <c r="A998" s="41" t="n"/>
      <c r="B998" s="41" t="n"/>
      <c r="C998" s="24" t="n"/>
      <c r="D998" s="41" t="n"/>
      <c r="E998" s="41" t="n"/>
      <c r="F998" s="19">
        <f>IF(COUNTA(A998:E998)=0,"",IF(OR(ISNUMBER(SEARCH("소계",B998)),ISNUMBER(SEARCH("합계",B998))),"",TRIM(IF(B998="","이름 없음 ","")&amp;IF(A998="","받은 가족 없음 ","")&amp;IF(C998="","금액 없음 ",IF(ISNUMBER(C998),IF(C998&lt;1000,"금액 확인 ",""),"금액 확인 "))&amp;IF(AND(B998&lt;&gt;"",COUNTIFS($A$2:$A$1001,A998,$B$2:$B$1001,B998,$C$2:$C$1001,C998)&gt;1),"중복 의심",""))))</f>
        <v/>
      </c>
      <c r="G998" s="25">
        <f>IF(OR(COUNTA(A998:E998)=0,OR(ISNUMBER(SEARCH("소계",B998)),ISNUMBER(SEARCH("합계",B998)))),"",1+COUNTIF($B$1:B997,"*소계*"))</f>
        <v/>
      </c>
      <c r="H998">
        <f>IF(AND(A998&lt;&gt;"",A998=가족별!$B$1,G998&lt;&gt;""),COUNTIFS($A$2:A998,가족별!$B$1,$G$2:G998,"&gt;0"),"")</f>
        <v/>
      </c>
      <c r="I998">
        <f>IF(ISNUMBER(SEARCH("소계",B998)),COUNTIF($B$2:B998,"*소계*"),"")</f>
        <v/>
      </c>
      <c r="J998">
        <f>IF(F998="",0,1)</f>
        <v/>
      </c>
    </row>
    <row r="999">
      <c r="A999" s="41" t="n"/>
      <c r="B999" s="41" t="n"/>
      <c r="C999" s="24" t="n"/>
      <c r="D999" s="41" t="n"/>
      <c r="E999" s="41" t="n"/>
      <c r="F999" s="19">
        <f>IF(COUNTA(A999:E999)=0,"",IF(OR(ISNUMBER(SEARCH("소계",B999)),ISNUMBER(SEARCH("합계",B999))),"",TRIM(IF(B999="","이름 없음 ","")&amp;IF(A999="","받은 가족 없음 ","")&amp;IF(C999="","금액 없음 ",IF(ISNUMBER(C999),IF(C999&lt;1000,"금액 확인 ",""),"금액 확인 "))&amp;IF(AND(B999&lt;&gt;"",COUNTIFS($A$2:$A$1001,A999,$B$2:$B$1001,B999,$C$2:$C$1001,C999)&gt;1),"중복 의심",""))))</f>
        <v/>
      </c>
      <c r="G999" s="25">
        <f>IF(OR(COUNTA(A999:E999)=0,OR(ISNUMBER(SEARCH("소계",B999)),ISNUMBER(SEARCH("합계",B999)))),"",1+COUNTIF($B$1:B998,"*소계*"))</f>
        <v/>
      </c>
      <c r="H999">
        <f>IF(AND(A999&lt;&gt;"",A999=가족별!$B$1,G999&lt;&gt;""),COUNTIFS($A$2:A999,가족별!$B$1,$G$2:G999,"&gt;0"),"")</f>
        <v/>
      </c>
      <c r="I999">
        <f>IF(ISNUMBER(SEARCH("소계",B999)),COUNTIF($B$2:B999,"*소계*"),"")</f>
        <v/>
      </c>
      <c r="J999">
        <f>IF(F999="",0,1)</f>
        <v/>
      </c>
    </row>
    <row r="1000">
      <c r="A1000" s="41" t="n"/>
      <c r="B1000" s="41" t="n"/>
      <c r="C1000" s="24" t="n"/>
      <c r="D1000" s="41" t="n"/>
      <c r="E1000" s="41" t="n"/>
      <c r="F1000" s="19">
        <f>IF(COUNTA(A1000:E1000)=0,"",IF(OR(ISNUMBER(SEARCH("소계",B1000)),ISNUMBER(SEARCH("합계",B1000))),"",TRIM(IF(B1000="","이름 없음 ","")&amp;IF(A1000="","받은 가족 없음 ","")&amp;IF(C1000="","금액 없음 ",IF(ISNUMBER(C1000),IF(C1000&lt;1000,"금액 확인 ",""),"금액 확인 "))&amp;IF(AND(B1000&lt;&gt;"",COUNTIFS($A$2:$A$1001,A1000,$B$2:$B$1001,B1000,$C$2:$C$1001,C1000)&gt;1),"중복 의심",""))))</f>
        <v/>
      </c>
      <c r="G1000" s="25">
        <f>IF(OR(COUNTA(A1000:E1000)=0,OR(ISNUMBER(SEARCH("소계",B1000)),ISNUMBER(SEARCH("합계",B1000)))),"",1+COUNTIF($B$1:B999,"*소계*"))</f>
        <v/>
      </c>
      <c r="H1000">
        <f>IF(AND(A1000&lt;&gt;"",A1000=가족별!$B$1,G1000&lt;&gt;""),COUNTIFS($A$2:A1000,가족별!$B$1,$G$2:G1000,"&gt;0"),"")</f>
        <v/>
      </c>
      <c r="I1000">
        <f>IF(ISNUMBER(SEARCH("소계",B1000)),COUNTIF($B$2:B1000,"*소계*"),"")</f>
        <v/>
      </c>
      <c r="J1000">
        <f>IF(F1000="",0,1)</f>
        <v/>
      </c>
    </row>
    <row r="1001">
      <c r="A1001" s="41" t="n"/>
      <c r="B1001" s="41" t="n"/>
      <c r="C1001" s="24" t="n"/>
      <c r="D1001" s="41" t="n"/>
      <c r="E1001" s="41" t="n"/>
      <c r="F1001" s="19">
        <f>IF(COUNTA(A1001:E1001)=0,"",IF(OR(ISNUMBER(SEARCH("소계",B1001)),ISNUMBER(SEARCH("합계",B1001))),"",TRIM(IF(B1001="","이름 없음 ","")&amp;IF(A1001="","받은 가족 없음 ","")&amp;IF(C1001="","금액 없음 ",IF(ISNUMBER(C1001),IF(C1001&lt;1000,"금액 확인 ",""),"금액 확인 "))&amp;IF(AND(B1001&lt;&gt;"",COUNTIFS($A$2:$A$1001,A1001,$B$2:$B$1001,B1001,$C$2:$C$1001,C1001)&gt;1),"중복 의심",""))))</f>
        <v/>
      </c>
      <c r="G1001" s="25">
        <f>IF(OR(COUNTA(A1001:E1001)=0,OR(ISNUMBER(SEARCH("소계",B1001)),ISNUMBER(SEARCH("합계",B1001)))),"",1+COUNTIF($B$1:B1000,"*소계*"))</f>
        <v/>
      </c>
      <c r="H1001">
        <f>IF(AND(A1001&lt;&gt;"",A1001=가족별!$B$1,G1001&lt;&gt;""),COUNTIFS($A$2:A1001,가족별!$B$1,$G$2:G1001,"&gt;0"),"")</f>
        <v/>
      </c>
      <c r="I1001">
        <f>IF(ISNUMBER(SEARCH("소계",B1001)),COUNTIF($B$2:B1001,"*소계*"),"")</f>
        <v/>
      </c>
      <c r="J1001">
        <f>IF(F1001="",0,1)</f>
        <v/>
      </c>
    </row>
  </sheetData>
  <conditionalFormatting sqref="A2:G1001">
    <cfRule type="expression" priority="1" dxfId="0" stopIfTrue="1">
      <formula>OR(ISNUMBER(SEARCH("소계",$B2)),ISNUMBER(SEARCH("합계",$B2)))</formula>
    </cfRule>
    <cfRule type="expression" priority="2" dxfId="1">
      <formula>$F2&lt;&gt;""</formula>
    </cfRule>
  </conditionalFormatting>
  <dataValidations count="1">
    <dataValidation sqref="A2:A1001" showDropDown="0" showInputMessage="0" showErrorMessage="0" allowBlank="1" type="list">
      <formula1>='가족 목록'!$A$2:$A$21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F4B342"/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3" customWidth="1" min="3" max="3"/>
    <col width="18" customWidth="1" min="4" max="4"/>
    <col width="16" customWidth="1" min="5" max="5"/>
    <col width="20" customWidth="1" min="6" max="6"/>
    <col hidden="1" width="13" customWidth="1" min="7" max="7"/>
    <col hidden="1" width="13" customWidth="1" min="8" max="8"/>
    <col hidden="1" width="13" customWidth="1" min="9" max="9"/>
  </cols>
  <sheetData>
    <row r="1">
      <c r="A1" s="18" t="inlineStr">
        <is>
          <t>받은 가족</t>
        </is>
      </c>
      <c r="B1" s="18" t="inlineStr">
        <is>
          <t>보낸 분</t>
        </is>
      </c>
      <c r="C1" s="18" t="inlineStr">
        <is>
          <t>종류</t>
        </is>
      </c>
      <c r="D1" s="18" t="inlineStr">
        <is>
          <t>소속·관계</t>
        </is>
      </c>
      <c r="E1" s="18" t="inlineStr">
        <is>
          <t>메모</t>
        </is>
      </c>
      <c r="F1" s="43" t="inlineStr">
        <is>
          <t>확인 필요</t>
        </is>
      </c>
      <c r="G1" s="43" t="inlineStr">
        <is>
          <t>가족별 순번</t>
        </is>
      </c>
      <c r="H1" s="43" t="inlineStr">
        <is>
          <t>기록 있음</t>
        </is>
      </c>
      <c r="I1" s="43" t="inlineStr">
        <is>
          <t>확인 표시</t>
        </is>
      </c>
    </row>
    <row r="2">
      <c r="A2" s="41" t="n"/>
      <c r="B2" s="41" t="n"/>
      <c r="C2" s="41" t="n"/>
      <c r="D2" s="41" t="n"/>
      <c r="E2" s="41" t="n"/>
      <c r="F2" s="19">
        <f>IF(COUNTA(A2:E2)=0,"",TRIM(IF(A2="","받은 가족 없음 ","")&amp;IF(B2="","보낸 분 없음 ","")&amp;IF(AND(B2&lt;&gt;"",COUNTIFS($B$2:$B$501,B2,$C$2:$C$501,C2)&gt;1),"중복 의심","")))</f>
        <v/>
      </c>
      <c r="G2">
        <f>IF(AND(A2&lt;&gt;"",A2=가족별!$B$1),COUNTIF($A$2:A2,가족별!$B$1),"")</f>
        <v/>
      </c>
      <c r="H2">
        <f>IF(COUNTA(B2:C2)&gt;0,1,0)</f>
        <v/>
      </c>
      <c r="I2">
        <f>IF(F2="",0,1)</f>
        <v/>
      </c>
    </row>
    <row r="3">
      <c r="A3" s="41" t="n"/>
      <c r="B3" s="41" t="n"/>
      <c r="C3" s="41" t="n"/>
      <c r="D3" s="41" t="n"/>
      <c r="E3" s="41" t="n"/>
      <c r="F3" s="19">
        <f>IF(COUNTA(A3:E3)=0,"",TRIM(IF(A3="","받은 가족 없음 ","")&amp;IF(B3="","보낸 분 없음 ","")&amp;IF(AND(B3&lt;&gt;"",COUNTIFS($B$2:$B$501,B3,$C$2:$C$501,C3)&gt;1),"중복 의심","")))</f>
        <v/>
      </c>
      <c r="G3">
        <f>IF(AND(A3&lt;&gt;"",A3=가족별!$B$1),COUNTIF($A$2:A3,가족별!$B$1),"")</f>
        <v/>
      </c>
      <c r="H3">
        <f>IF(COUNTA(B3:C3)&gt;0,1,0)</f>
        <v/>
      </c>
      <c r="I3">
        <f>IF(F3="",0,1)</f>
        <v/>
      </c>
    </row>
    <row r="4">
      <c r="A4" s="41" t="n"/>
      <c r="B4" s="41" t="n"/>
      <c r="C4" s="41" t="n"/>
      <c r="D4" s="41" t="n"/>
      <c r="E4" s="41" t="n"/>
      <c r="F4" s="19">
        <f>IF(COUNTA(A4:E4)=0,"",TRIM(IF(A4="","받은 가족 없음 ","")&amp;IF(B4="","보낸 분 없음 ","")&amp;IF(AND(B4&lt;&gt;"",COUNTIFS($B$2:$B$501,B4,$C$2:$C$501,C4)&gt;1),"중복 의심","")))</f>
        <v/>
      </c>
      <c r="G4">
        <f>IF(AND(A4&lt;&gt;"",A4=가족별!$B$1),COUNTIF($A$2:A4,가족별!$B$1),"")</f>
        <v/>
      </c>
      <c r="H4">
        <f>IF(COUNTA(B4:C4)&gt;0,1,0)</f>
        <v/>
      </c>
      <c r="I4">
        <f>IF(F4="",0,1)</f>
        <v/>
      </c>
    </row>
    <row r="5">
      <c r="A5" s="41" t="n"/>
      <c r="B5" s="41" t="n"/>
      <c r="C5" s="41" t="n"/>
      <c r="D5" s="41" t="n"/>
      <c r="E5" s="41" t="n"/>
      <c r="F5" s="19">
        <f>IF(COUNTA(A5:E5)=0,"",TRIM(IF(A5="","받은 가족 없음 ","")&amp;IF(B5="","보낸 분 없음 ","")&amp;IF(AND(B5&lt;&gt;"",COUNTIFS($B$2:$B$501,B5,$C$2:$C$501,C5)&gt;1),"중복 의심","")))</f>
        <v/>
      </c>
      <c r="G5">
        <f>IF(AND(A5&lt;&gt;"",A5=가족별!$B$1),COUNTIF($A$2:A5,가족별!$B$1),"")</f>
        <v/>
      </c>
      <c r="H5">
        <f>IF(COUNTA(B5:C5)&gt;0,1,0)</f>
        <v/>
      </c>
      <c r="I5">
        <f>IF(F5="",0,1)</f>
        <v/>
      </c>
    </row>
    <row r="6">
      <c r="A6" s="41" t="n"/>
      <c r="B6" s="41" t="n"/>
      <c r="C6" s="41" t="n"/>
      <c r="D6" s="41" t="n"/>
      <c r="E6" s="41" t="n"/>
      <c r="F6" s="19">
        <f>IF(COUNTA(A6:E6)=0,"",TRIM(IF(A6="","받은 가족 없음 ","")&amp;IF(B6="","보낸 분 없음 ","")&amp;IF(AND(B6&lt;&gt;"",COUNTIFS($B$2:$B$501,B6,$C$2:$C$501,C6)&gt;1),"중복 의심","")))</f>
        <v/>
      </c>
      <c r="G6">
        <f>IF(AND(A6&lt;&gt;"",A6=가족별!$B$1),COUNTIF($A$2:A6,가족별!$B$1),"")</f>
        <v/>
      </c>
      <c r="H6">
        <f>IF(COUNTA(B6:C6)&gt;0,1,0)</f>
        <v/>
      </c>
      <c r="I6">
        <f>IF(F6="",0,1)</f>
        <v/>
      </c>
    </row>
    <row r="7">
      <c r="A7" s="41" t="n"/>
      <c r="B7" s="41" t="n"/>
      <c r="C7" s="41" t="n"/>
      <c r="D7" s="41" t="n"/>
      <c r="E7" s="41" t="n"/>
      <c r="F7" s="19">
        <f>IF(COUNTA(A7:E7)=0,"",TRIM(IF(A7="","받은 가족 없음 ","")&amp;IF(B7="","보낸 분 없음 ","")&amp;IF(AND(B7&lt;&gt;"",COUNTIFS($B$2:$B$501,B7,$C$2:$C$501,C7)&gt;1),"중복 의심","")))</f>
        <v/>
      </c>
      <c r="G7">
        <f>IF(AND(A7&lt;&gt;"",A7=가족별!$B$1),COUNTIF($A$2:A7,가족별!$B$1),"")</f>
        <v/>
      </c>
      <c r="H7">
        <f>IF(COUNTA(B7:C7)&gt;0,1,0)</f>
        <v/>
      </c>
      <c r="I7">
        <f>IF(F7="",0,1)</f>
        <v/>
      </c>
    </row>
    <row r="8">
      <c r="A8" s="41" t="n"/>
      <c r="B8" s="41" t="n"/>
      <c r="C8" s="41" t="n"/>
      <c r="D8" s="41" t="n"/>
      <c r="E8" s="41" t="n"/>
      <c r="F8" s="19">
        <f>IF(COUNTA(A8:E8)=0,"",TRIM(IF(A8="","받은 가족 없음 ","")&amp;IF(B8="","보낸 분 없음 ","")&amp;IF(AND(B8&lt;&gt;"",COUNTIFS($B$2:$B$501,B8,$C$2:$C$501,C8)&gt;1),"중복 의심","")))</f>
        <v/>
      </c>
      <c r="G8">
        <f>IF(AND(A8&lt;&gt;"",A8=가족별!$B$1),COUNTIF($A$2:A8,가족별!$B$1),"")</f>
        <v/>
      </c>
      <c r="H8">
        <f>IF(COUNTA(B8:C8)&gt;0,1,0)</f>
        <v/>
      </c>
      <c r="I8">
        <f>IF(F8="",0,1)</f>
        <v/>
      </c>
    </row>
    <row r="9">
      <c r="A9" s="41" t="n"/>
      <c r="B9" s="41" t="n"/>
      <c r="C9" s="41" t="n"/>
      <c r="D9" s="41" t="n"/>
      <c r="E9" s="41" t="n"/>
      <c r="F9" s="19">
        <f>IF(COUNTA(A9:E9)=0,"",TRIM(IF(A9="","받은 가족 없음 ","")&amp;IF(B9="","보낸 분 없음 ","")&amp;IF(AND(B9&lt;&gt;"",COUNTIFS($B$2:$B$501,B9,$C$2:$C$501,C9)&gt;1),"중복 의심","")))</f>
        <v/>
      </c>
      <c r="G9">
        <f>IF(AND(A9&lt;&gt;"",A9=가족별!$B$1),COUNTIF($A$2:A9,가족별!$B$1),"")</f>
        <v/>
      </c>
      <c r="H9">
        <f>IF(COUNTA(B9:C9)&gt;0,1,0)</f>
        <v/>
      </c>
      <c r="I9">
        <f>IF(F9="",0,1)</f>
        <v/>
      </c>
    </row>
    <row r="10">
      <c r="A10" s="41" t="n"/>
      <c r="B10" s="41" t="n"/>
      <c r="C10" s="41" t="n"/>
      <c r="D10" s="41" t="n"/>
      <c r="E10" s="41" t="n"/>
      <c r="F10" s="19">
        <f>IF(COUNTA(A10:E10)=0,"",TRIM(IF(A10="","받은 가족 없음 ","")&amp;IF(B10="","보낸 분 없음 ","")&amp;IF(AND(B10&lt;&gt;"",COUNTIFS($B$2:$B$501,B10,$C$2:$C$501,C10)&gt;1),"중복 의심","")))</f>
        <v/>
      </c>
      <c r="G10">
        <f>IF(AND(A10&lt;&gt;"",A10=가족별!$B$1),COUNTIF($A$2:A10,가족별!$B$1),"")</f>
        <v/>
      </c>
      <c r="H10">
        <f>IF(COUNTA(B10:C10)&gt;0,1,0)</f>
        <v/>
      </c>
      <c r="I10">
        <f>IF(F10="",0,1)</f>
        <v/>
      </c>
    </row>
    <row r="11">
      <c r="A11" s="41" t="n"/>
      <c r="B11" s="41" t="n"/>
      <c r="C11" s="41" t="n"/>
      <c r="D11" s="41" t="n"/>
      <c r="E11" s="41" t="n"/>
      <c r="F11" s="19">
        <f>IF(COUNTA(A11:E11)=0,"",TRIM(IF(A11="","받은 가족 없음 ","")&amp;IF(B11="","보낸 분 없음 ","")&amp;IF(AND(B11&lt;&gt;"",COUNTIFS($B$2:$B$501,B11,$C$2:$C$501,C11)&gt;1),"중복 의심","")))</f>
        <v/>
      </c>
      <c r="G11">
        <f>IF(AND(A11&lt;&gt;"",A11=가족별!$B$1),COUNTIF($A$2:A11,가족별!$B$1),"")</f>
        <v/>
      </c>
      <c r="H11">
        <f>IF(COUNTA(B11:C11)&gt;0,1,0)</f>
        <v/>
      </c>
      <c r="I11">
        <f>IF(F11="",0,1)</f>
        <v/>
      </c>
    </row>
    <row r="12">
      <c r="A12" s="41" t="n"/>
      <c r="B12" s="41" t="n"/>
      <c r="C12" s="41" t="n"/>
      <c r="D12" s="41" t="n"/>
      <c r="E12" s="41" t="n"/>
      <c r="F12" s="19">
        <f>IF(COUNTA(A12:E12)=0,"",TRIM(IF(A12="","받은 가족 없음 ","")&amp;IF(B12="","보낸 분 없음 ","")&amp;IF(AND(B12&lt;&gt;"",COUNTIFS($B$2:$B$501,B12,$C$2:$C$501,C12)&gt;1),"중복 의심","")))</f>
        <v/>
      </c>
      <c r="G12">
        <f>IF(AND(A12&lt;&gt;"",A12=가족별!$B$1),COUNTIF($A$2:A12,가족별!$B$1),"")</f>
        <v/>
      </c>
      <c r="H12">
        <f>IF(COUNTA(B12:C12)&gt;0,1,0)</f>
        <v/>
      </c>
      <c r="I12">
        <f>IF(F12="",0,1)</f>
        <v/>
      </c>
    </row>
    <row r="13">
      <c r="A13" s="41" t="n"/>
      <c r="B13" s="41" t="n"/>
      <c r="C13" s="41" t="n"/>
      <c r="D13" s="41" t="n"/>
      <c r="E13" s="41" t="n"/>
      <c r="F13" s="19">
        <f>IF(COUNTA(A13:E13)=0,"",TRIM(IF(A13="","받은 가족 없음 ","")&amp;IF(B13="","보낸 분 없음 ","")&amp;IF(AND(B13&lt;&gt;"",COUNTIFS($B$2:$B$501,B13,$C$2:$C$501,C13)&gt;1),"중복 의심","")))</f>
        <v/>
      </c>
      <c r="G13">
        <f>IF(AND(A13&lt;&gt;"",A13=가족별!$B$1),COUNTIF($A$2:A13,가족별!$B$1),"")</f>
        <v/>
      </c>
      <c r="H13">
        <f>IF(COUNTA(B13:C13)&gt;0,1,0)</f>
        <v/>
      </c>
      <c r="I13">
        <f>IF(F13="",0,1)</f>
        <v/>
      </c>
    </row>
    <row r="14">
      <c r="A14" s="41" t="n"/>
      <c r="B14" s="41" t="n"/>
      <c r="C14" s="41" t="n"/>
      <c r="D14" s="41" t="n"/>
      <c r="E14" s="41" t="n"/>
      <c r="F14" s="19">
        <f>IF(COUNTA(A14:E14)=0,"",TRIM(IF(A14="","받은 가족 없음 ","")&amp;IF(B14="","보낸 분 없음 ","")&amp;IF(AND(B14&lt;&gt;"",COUNTIFS($B$2:$B$501,B14,$C$2:$C$501,C14)&gt;1),"중복 의심","")))</f>
        <v/>
      </c>
      <c r="G14">
        <f>IF(AND(A14&lt;&gt;"",A14=가족별!$B$1),COUNTIF($A$2:A14,가족별!$B$1),"")</f>
        <v/>
      </c>
      <c r="H14">
        <f>IF(COUNTA(B14:C14)&gt;0,1,0)</f>
        <v/>
      </c>
      <c r="I14">
        <f>IF(F14="",0,1)</f>
        <v/>
      </c>
    </row>
    <row r="15">
      <c r="A15" s="41" t="n"/>
      <c r="B15" s="41" t="n"/>
      <c r="C15" s="41" t="n"/>
      <c r="D15" s="41" t="n"/>
      <c r="E15" s="41" t="n"/>
      <c r="F15" s="19">
        <f>IF(COUNTA(A15:E15)=0,"",TRIM(IF(A15="","받은 가족 없음 ","")&amp;IF(B15="","보낸 분 없음 ","")&amp;IF(AND(B15&lt;&gt;"",COUNTIFS($B$2:$B$501,B15,$C$2:$C$501,C15)&gt;1),"중복 의심","")))</f>
        <v/>
      </c>
      <c r="G15">
        <f>IF(AND(A15&lt;&gt;"",A15=가족별!$B$1),COUNTIF($A$2:A15,가족별!$B$1),"")</f>
        <v/>
      </c>
      <c r="H15">
        <f>IF(COUNTA(B15:C15)&gt;0,1,0)</f>
        <v/>
      </c>
      <c r="I15">
        <f>IF(F15="",0,1)</f>
        <v/>
      </c>
    </row>
    <row r="16">
      <c r="A16" s="41" t="n"/>
      <c r="B16" s="41" t="n"/>
      <c r="C16" s="41" t="n"/>
      <c r="D16" s="41" t="n"/>
      <c r="E16" s="41" t="n"/>
      <c r="F16" s="19">
        <f>IF(COUNTA(A16:E16)=0,"",TRIM(IF(A16="","받은 가족 없음 ","")&amp;IF(B16="","보낸 분 없음 ","")&amp;IF(AND(B16&lt;&gt;"",COUNTIFS($B$2:$B$501,B16,$C$2:$C$501,C16)&gt;1),"중복 의심","")))</f>
        <v/>
      </c>
      <c r="G16">
        <f>IF(AND(A16&lt;&gt;"",A16=가족별!$B$1),COUNTIF($A$2:A16,가족별!$B$1),"")</f>
        <v/>
      </c>
      <c r="H16">
        <f>IF(COUNTA(B16:C16)&gt;0,1,0)</f>
        <v/>
      </c>
      <c r="I16">
        <f>IF(F16="",0,1)</f>
        <v/>
      </c>
    </row>
    <row r="17">
      <c r="A17" s="41" t="n"/>
      <c r="B17" s="41" t="n"/>
      <c r="C17" s="41" t="n"/>
      <c r="D17" s="41" t="n"/>
      <c r="E17" s="41" t="n"/>
      <c r="F17" s="19">
        <f>IF(COUNTA(A17:E17)=0,"",TRIM(IF(A17="","받은 가족 없음 ","")&amp;IF(B17="","보낸 분 없음 ","")&amp;IF(AND(B17&lt;&gt;"",COUNTIFS($B$2:$B$501,B17,$C$2:$C$501,C17)&gt;1),"중복 의심","")))</f>
        <v/>
      </c>
      <c r="G17">
        <f>IF(AND(A17&lt;&gt;"",A17=가족별!$B$1),COUNTIF($A$2:A17,가족별!$B$1),"")</f>
        <v/>
      </c>
      <c r="H17">
        <f>IF(COUNTA(B17:C17)&gt;0,1,0)</f>
        <v/>
      </c>
      <c r="I17">
        <f>IF(F17="",0,1)</f>
        <v/>
      </c>
    </row>
    <row r="18">
      <c r="A18" s="41" t="n"/>
      <c r="B18" s="41" t="n"/>
      <c r="C18" s="41" t="n"/>
      <c r="D18" s="41" t="n"/>
      <c r="E18" s="41" t="n"/>
      <c r="F18" s="19">
        <f>IF(COUNTA(A18:E18)=0,"",TRIM(IF(A18="","받은 가족 없음 ","")&amp;IF(B18="","보낸 분 없음 ","")&amp;IF(AND(B18&lt;&gt;"",COUNTIFS($B$2:$B$501,B18,$C$2:$C$501,C18)&gt;1),"중복 의심","")))</f>
        <v/>
      </c>
      <c r="G18">
        <f>IF(AND(A18&lt;&gt;"",A18=가족별!$B$1),COUNTIF($A$2:A18,가족별!$B$1),"")</f>
        <v/>
      </c>
      <c r="H18">
        <f>IF(COUNTA(B18:C18)&gt;0,1,0)</f>
        <v/>
      </c>
      <c r="I18">
        <f>IF(F18="",0,1)</f>
        <v/>
      </c>
    </row>
    <row r="19">
      <c r="A19" s="41" t="n"/>
      <c r="B19" s="41" t="n"/>
      <c r="C19" s="41" t="n"/>
      <c r="D19" s="41" t="n"/>
      <c r="E19" s="41" t="n"/>
      <c r="F19" s="19">
        <f>IF(COUNTA(A19:E19)=0,"",TRIM(IF(A19="","받은 가족 없음 ","")&amp;IF(B19="","보낸 분 없음 ","")&amp;IF(AND(B19&lt;&gt;"",COUNTIFS($B$2:$B$501,B19,$C$2:$C$501,C19)&gt;1),"중복 의심","")))</f>
        <v/>
      </c>
      <c r="G19">
        <f>IF(AND(A19&lt;&gt;"",A19=가족별!$B$1),COUNTIF($A$2:A19,가족별!$B$1),"")</f>
        <v/>
      </c>
      <c r="H19">
        <f>IF(COUNTA(B19:C19)&gt;0,1,0)</f>
        <v/>
      </c>
      <c r="I19">
        <f>IF(F19="",0,1)</f>
        <v/>
      </c>
    </row>
    <row r="20">
      <c r="A20" s="41" t="n"/>
      <c r="B20" s="41" t="n"/>
      <c r="C20" s="41" t="n"/>
      <c r="D20" s="41" t="n"/>
      <c r="E20" s="41" t="n"/>
      <c r="F20" s="19">
        <f>IF(COUNTA(A20:E20)=0,"",TRIM(IF(A20="","받은 가족 없음 ","")&amp;IF(B20="","보낸 분 없음 ","")&amp;IF(AND(B20&lt;&gt;"",COUNTIFS($B$2:$B$501,B20,$C$2:$C$501,C20)&gt;1),"중복 의심","")))</f>
        <v/>
      </c>
      <c r="G20">
        <f>IF(AND(A20&lt;&gt;"",A20=가족별!$B$1),COUNTIF($A$2:A20,가족별!$B$1),"")</f>
        <v/>
      </c>
      <c r="H20">
        <f>IF(COUNTA(B20:C20)&gt;0,1,0)</f>
        <v/>
      </c>
      <c r="I20">
        <f>IF(F20="",0,1)</f>
        <v/>
      </c>
    </row>
    <row r="21">
      <c r="A21" s="41" t="n"/>
      <c r="B21" s="41" t="n"/>
      <c r="C21" s="41" t="n"/>
      <c r="D21" s="41" t="n"/>
      <c r="E21" s="41" t="n"/>
      <c r="F21" s="19">
        <f>IF(COUNTA(A21:E21)=0,"",TRIM(IF(A21="","받은 가족 없음 ","")&amp;IF(B21="","보낸 분 없음 ","")&amp;IF(AND(B21&lt;&gt;"",COUNTIFS($B$2:$B$501,B21,$C$2:$C$501,C21)&gt;1),"중복 의심","")))</f>
        <v/>
      </c>
      <c r="G21">
        <f>IF(AND(A21&lt;&gt;"",A21=가족별!$B$1),COUNTIF($A$2:A21,가족별!$B$1),"")</f>
        <v/>
      </c>
      <c r="H21">
        <f>IF(COUNTA(B21:C21)&gt;0,1,0)</f>
        <v/>
      </c>
      <c r="I21">
        <f>IF(F21="",0,1)</f>
        <v/>
      </c>
    </row>
    <row r="22">
      <c r="A22" s="41" t="n"/>
      <c r="B22" s="41" t="n"/>
      <c r="C22" s="41" t="n"/>
      <c r="D22" s="41" t="n"/>
      <c r="E22" s="41" t="n"/>
      <c r="F22" s="19">
        <f>IF(COUNTA(A22:E22)=0,"",TRIM(IF(A22="","받은 가족 없음 ","")&amp;IF(B22="","보낸 분 없음 ","")&amp;IF(AND(B22&lt;&gt;"",COUNTIFS($B$2:$B$501,B22,$C$2:$C$501,C22)&gt;1),"중복 의심","")))</f>
        <v/>
      </c>
      <c r="G22">
        <f>IF(AND(A22&lt;&gt;"",A22=가족별!$B$1),COUNTIF($A$2:A22,가족별!$B$1),"")</f>
        <v/>
      </c>
      <c r="H22">
        <f>IF(COUNTA(B22:C22)&gt;0,1,0)</f>
        <v/>
      </c>
      <c r="I22">
        <f>IF(F22="",0,1)</f>
        <v/>
      </c>
    </row>
    <row r="23">
      <c r="A23" s="41" t="n"/>
      <c r="B23" s="41" t="n"/>
      <c r="C23" s="41" t="n"/>
      <c r="D23" s="41" t="n"/>
      <c r="E23" s="41" t="n"/>
      <c r="F23" s="19">
        <f>IF(COUNTA(A23:E23)=0,"",TRIM(IF(A23="","받은 가족 없음 ","")&amp;IF(B23="","보낸 분 없음 ","")&amp;IF(AND(B23&lt;&gt;"",COUNTIFS($B$2:$B$501,B23,$C$2:$C$501,C23)&gt;1),"중복 의심","")))</f>
        <v/>
      </c>
      <c r="G23">
        <f>IF(AND(A23&lt;&gt;"",A23=가족별!$B$1),COUNTIF($A$2:A23,가족별!$B$1),"")</f>
        <v/>
      </c>
      <c r="H23">
        <f>IF(COUNTA(B23:C23)&gt;0,1,0)</f>
        <v/>
      </c>
      <c r="I23">
        <f>IF(F23="",0,1)</f>
        <v/>
      </c>
    </row>
    <row r="24">
      <c r="A24" s="41" t="n"/>
      <c r="B24" s="41" t="n"/>
      <c r="C24" s="41" t="n"/>
      <c r="D24" s="41" t="n"/>
      <c r="E24" s="41" t="n"/>
      <c r="F24" s="19">
        <f>IF(COUNTA(A24:E24)=0,"",TRIM(IF(A24="","받은 가족 없음 ","")&amp;IF(B24="","보낸 분 없음 ","")&amp;IF(AND(B24&lt;&gt;"",COUNTIFS($B$2:$B$501,B24,$C$2:$C$501,C24)&gt;1),"중복 의심","")))</f>
        <v/>
      </c>
      <c r="G24">
        <f>IF(AND(A24&lt;&gt;"",A24=가족별!$B$1),COUNTIF($A$2:A24,가족별!$B$1),"")</f>
        <v/>
      </c>
      <c r="H24">
        <f>IF(COUNTA(B24:C24)&gt;0,1,0)</f>
        <v/>
      </c>
      <c r="I24">
        <f>IF(F24="",0,1)</f>
        <v/>
      </c>
    </row>
    <row r="25">
      <c r="A25" s="41" t="n"/>
      <c r="B25" s="41" t="n"/>
      <c r="C25" s="41" t="n"/>
      <c r="D25" s="41" t="n"/>
      <c r="E25" s="41" t="n"/>
      <c r="F25" s="19">
        <f>IF(COUNTA(A25:E25)=0,"",TRIM(IF(A25="","받은 가족 없음 ","")&amp;IF(B25="","보낸 분 없음 ","")&amp;IF(AND(B25&lt;&gt;"",COUNTIFS($B$2:$B$501,B25,$C$2:$C$501,C25)&gt;1),"중복 의심","")))</f>
        <v/>
      </c>
      <c r="G25">
        <f>IF(AND(A25&lt;&gt;"",A25=가족별!$B$1),COUNTIF($A$2:A25,가족별!$B$1),"")</f>
        <v/>
      </c>
      <c r="H25">
        <f>IF(COUNTA(B25:C25)&gt;0,1,0)</f>
        <v/>
      </c>
      <c r="I25">
        <f>IF(F25="",0,1)</f>
        <v/>
      </c>
    </row>
    <row r="26">
      <c r="A26" s="41" t="n"/>
      <c r="B26" s="41" t="n"/>
      <c r="C26" s="41" t="n"/>
      <c r="D26" s="41" t="n"/>
      <c r="E26" s="41" t="n"/>
      <c r="F26" s="19">
        <f>IF(COUNTA(A26:E26)=0,"",TRIM(IF(A26="","받은 가족 없음 ","")&amp;IF(B26="","보낸 분 없음 ","")&amp;IF(AND(B26&lt;&gt;"",COUNTIFS($B$2:$B$501,B26,$C$2:$C$501,C26)&gt;1),"중복 의심","")))</f>
        <v/>
      </c>
      <c r="G26">
        <f>IF(AND(A26&lt;&gt;"",A26=가족별!$B$1),COUNTIF($A$2:A26,가족별!$B$1),"")</f>
        <v/>
      </c>
      <c r="H26">
        <f>IF(COUNTA(B26:C26)&gt;0,1,0)</f>
        <v/>
      </c>
      <c r="I26">
        <f>IF(F26="",0,1)</f>
        <v/>
      </c>
    </row>
    <row r="27">
      <c r="A27" s="41" t="n"/>
      <c r="B27" s="41" t="n"/>
      <c r="C27" s="41" t="n"/>
      <c r="D27" s="41" t="n"/>
      <c r="E27" s="41" t="n"/>
      <c r="F27" s="19">
        <f>IF(COUNTA(A27:E27)=0,"",TRIM(IF(A27="","받은 가족 없음 ","")&amp;IF(B27="","보낸 분 없음 ","")&amp;IF(AND(B27&lt;&gt;"",COUNTIFS($B$2:$B$501,B27,$C$2:$C$501,C27)&gt;1),"중복 의심","")))</f>
        <v/>
      </c>
      <c r="G27">
        <f>IF(AND(A27&lt;&gt;"",A27=가족별!$B$1),COUNTIF($A$2:A27,가족별!$B$1),"")</f>
        <v/>
      </c>
      <c r="H27">
        <f>IF(COUNTA(B27:C27)&gt;0,1,0)</f>
        <v/>
      </c>
      <c r="I27">
        <f>IF(F27="",0,1)</f>
        <v/>
      </c>
    </row>
    <row r="28">
      <c r="A28" s="41" t="n"/>
      <c r="B28" s="41" t="n"/>
      <c r="C28" s="41" t="n"/>
      <c r="D28" s="41" t="n"/>
      <c r="E28" s="41" t="n"/>
      <c r="F28" s="19">
        <f>IF(COUNTA(A28:E28)=0,"",TRIM(IF(A28="","받은 가족 없음 ","")&amp;IF(B28="","보낸 분 없음 ","")&amp;IF(AND(B28&lt;&gt;"",COUNTIFS($B$2:$B$501,B28,$C$2:$C$501,C28)&gt;1),"중복 의심","")))</f>
        <v/>
      </c>
      <c r="G28">
        <f>IF(AND(A28&lt;&gt;"",A28=가족별!$B$1),COUNTIF($A$2:A28,가족별!$B$1),"")</f>
        <v/>
      </c>
      <c r="H28">
        <f>IF(COUNTA(B28:C28)&gt;0,1,0)</f>
        <v/>
      </c>
      <c r="I28">
        <f>IF(F28="",0,1)</f>
        <v/>
      </c>
    </row>
    <row r="29">
      <c r="A29" s="41" t="n"/>
      <c r="B29" s="41" t="n"/>
      <c r="C29" s="41" t="n"/>
      <c r="D29" s="41" t="n"/>
      <c r="E29" s="41" t="n"/>
      <c r="F29" s="19">
        <f>IF(COUNTA(A29:E29)=0,"",TRIM(IF(A29="","받은 가족 없음 ","")&amp;IF(B29="","보낸 분 없음 ","")&amp;IF(AND(B29&lt;&gt;"",COUNTIFS($B$2:$B$501,B29,$C$2:$C$501,C29)&gt;1),"중복 의심","")))</f>
        <v/>
      </c>
      <c r="G29">
        <f>IF(AND(A29&lt;&gt;"",A29=가족별!$B$1),COUNTIF($A$2:A29,가족별!$B$1),"")</f>
        <v/>
      </c>
      <c r="H29">
        <f>IF(COUNTA(B29:C29)&gt;0,1,0)</f>
        <v/>
      </c>
      <c r="I29">
        <f>IF(F29="",0,1)</f>
        <v/>
      </c>
    </row>
    <row r="30">
      <c r="A30" s="41" t="n"/>
      <c r="B30" s="41" t="n"/>
      <c r="C30" s="41" t="n"/>
      <c r="D30" s="41" t="n"/>
      <c r="E30" s="41" t="n"/>
      <c r="F30" s="19">
        <f>IF(COUNTA(A30:E30)=0,"",TRIM(IF(A30="","받은 가족 없음 ","")&amp;IF(B30="","보낸 분 없음 ","")&amp;IF(AND(B30&lt;&gt;"",COUNTIFS($B$2:$B$501,B30,$C$2:$C$501,C30)&gt;1),"중복 의심","")))</f>
        <v/>
      </c>
      <c r="G30">
        <f>IF(AND(A30&lt;&gt;"",A30=가족별!$B$1),COUNTIF($A$2:A30,가족별!$B$1),"")</f>
        <v/>
      </c>
      <c r="H30">
        <f>IF(COUNTA(B30:C30)&gt;0,1,0)</f>
        <v/>
      </c>
      <c r="I30">
        <f>IF(F30="",0,1)</f>
        <v/>
      </c>
    </row>
    <row r="31">
      <c r="A31" s="41" t="n"/>
      <c r="B31" s="41" t="n"/>
      <c r="C31" s="41" t="n"/>
      <c r="D31" s="41" t="n"/>
      <c r="E31" s="41" t="n"/>
      <c r="F31" s="19">
        <f>IF(COUNTA(A31:E31)=0,"",TRIM(IF(A31="","받은 가족 없음 ","")&amp;IF(B31="","보낸 분 없음 ","")&amp;IF(AND(B31&lt;&gt;"",COUNTIFS($B$2:$B$501,B31,$C$2:$C$501,C31)&gt;1),"중복 의심","")))</f>
        <v/>
      </c>
      <c r="G31">
        <f>IF(AND(A31&lt;&gt;"",A31=가족별!$B$1),COUNTIF($A$2:A31,가족별!$B$1),"")</f>
        <v/>
      </c>
      <c r="H31">
        <f>IF(COUNTA(B31:C31)&gt;0,1,0)</f>
        <v/>
      </c>
      <c r="I31">
        <f>IF(F31="",0,1)</f>
        <v/>
      </c>
    </row>
    <row r="32">
      <c r="A32" s="41" t="n"/>
      <c r="B32" s="41" t="n"/>
      <c r="C32" s="41" t="n"/>
      <c r="D32" s="41" t="n"/>
      <c r="E32" s="41" t="n"/>
      <c r="F32" s="19">
        <f>IF(COUNTA(A32:E32)=0,"",TRIM(IF(A32="","받은 가족 없음 ","")&amp;IF(B32="","보낸 분 없음 ","")&amp;IF(AND(B32&lt;&gt;"",COUNTIFS($B$2:$B$501,B32,$C$2:$C$501,C32)&gt;1),"중복 의심","")))</f>
        <v/>
      </c>
      <c r="G32">
        <f>IF(AND(A32&lt;&gt;"",A32=가족별!$B$1),COUNTIF($A$2:A32,가족별!$B$1),"")</f>
        <v/>
      </c>
      <c r="H32">
        <f>IF(COUNTA(B32:C32)&gt;0,1,0)</f>
        <v/>
      </c>
      <c r="I32">
        <f>IF(F32="",0,1)</f>
        <v/>
      </c>
    </row>
    <row r="33">
      <c r="A33" s="41" t="n"/>
      <c r="B33" s="41" t="n"/>
      <c r="C33" s="41" t="n"/>
      <c r="D33" s="41" t="n"/>
      <c r="E33" s="41" t="n"/>
      <c r="F33" s="19">
        <f>IF(COUNTA(A33:E33)=0,"",TRIM(IF(A33="","받은 가족 없음 ","")&amp;IF(B33="","보낸 분 없음 ","")&amp;IF(AND(B33&lt;&gt;"",COUNTIFS($B$2:$B$501,B33,$C$2:$C$501,C33)&gt;1),"중복 의심","")))</f>
        <v/>
      </c>
      <c r="G33">
        <f>IF(AND(A33&lt;&gt;"",A33=가족별!$B$1),COUNTIF($A$2:A33,가족별!$B$1),"")</f>
        <v/>
      </c>
      <c r="H33">
        <f>IF(COUNTA(B33:C33)&gt;0,1,0)</f>
        <v/>
      </c>
      <c r="I33">
        <f>IF(F33="",0,1)</f>
        <v/>
      </c>
    </row>
    <row r="34">
      <c r="A34" s="41" t="n"/>
      <c r="B34" s="41" t="n"/>
      <c r="C34" s="41" t="n"/>
      <c r="D34" s="41" t="n"/>
      <c r="E34" s="41" t="n"/>
      <c r="F34" s="19">
        <f>IF(COUNTA(A34:E34)=0,"",TRIM(IF(A34="","받은 가족 없음 ","")&amp;IF(B34="","보낸 분 없음 ","")&amp;IF(AND(B34&lt;&gt;"",COUNTIFS($B$2:$B$501,B34,$C$2:$C$501,C34)&gt;1),"중복 의심","")))</f>
        <v/>
      </c>
      <c r="G34">
        <f>IF(AND(A34&lt;&gt;"",A34=가족별!$B$1),COUNTIF($A$2:A34,가족별!$B$1),"")</f>
        <v/>
      </c>
      <c r="H34">
        <f>IF(COUNTA(B34:C34)&gt;0,1,0)</f>
        <v/>
      </c>
      <c r="I34">
        <f>IF(F34="",0,1)</f>
        <v/>
      </c>
    </row>
    <row r="35">
      <c r="A35" s="41" t="n"/>
      <c r="B35" s="41" t="n"/>
      <c r="C35" s="41" t="n"/>
      <c r="D35" s="41" t="n"/>
      <c r="E35" s="41" t="n"/>
      <c r="F35" s="19">
        <f>IF(COUNTA(A35:E35)=0,"",TRIM(IF(A35="","받은 가족 없음 ","")&amp;IF(B35="","보낸 분 없음 ","")&amp;IF(AND(B35&lt;&gt;"",COUNTIFS($B$2:$B$501,B35,$C$2:$C$501,C35)&gt;1),"중복 의심","")))</f>
        <v/>
      </c>
      <c r="G35">
        <f>IF(AND(A35&lt;&gt;"",A35=가족별!$B$1),COUNTIF($A$2:A35,가족별!$B$1),"")</f>
        <v/>
      </c>
      <c r="H35">
        <f>IF(COUNTA(B35:C35)&gt;0,1,0)</f>
        <v/>
      </c>
      <c r="I35">
        <f>IF(F35="",0,1)</f>
        <v/>
      </c>
    </row>
    <row r="36">
      <c r="A36" s="41" t="n"/>
      <c r="B36" s="41" t="n"/>
      <c r="C36" s="41" t="n"/>
      <c r="D36" s="41" t="n"/>
      <c r="E36" s="41" t="n"/>
      <c r="F36" s="19">
        <f>IF(COUNTA(A36:E36)=0,"",TRIM(IF(A36="","받은 가족 없음 ","")&amp;IF(B36="","보낸 분 없음 ","")&amp;IF(AND(B36&lt;&gt;"",COUNTIFS($B$2:$B$501,B36,$C$2:$C$501,C36)&gt;1),"중복 의심","")))</f>
        <v/>
      </c>
      <c r="G36">
        <f>IF(AND(A36&lt;&gt;"",A36=가족별!$B$1),COUNTIF($A$2:A36,가족별!$B$1),"")</f>
        <v/>
      </c>
      <c r="H36">
        <f>IF(COUNTA(B36:C36)&gt;0,1,0)</f>
        <v/>
      </c>
      <c r="I36">
        <f>IF(F36="",0,1)</f>
        <v/>
      </c>
    </row>
    <row r="37">
      <c r="A37" s="41" t="n"/>
      <c r="B37" s="41" t="n"/>
      <c r="C37" s="41" t="n"/>
      <c r="D37" s="41" t="n"/>
      <c r="E37" s="41" t="n"/>
      <c r="F37" s="19">
        <f>IF(COUNTA(A37:E37)=0,"",TRIM(IF(A37="","받은 가족 없음 ","")&amp;IF(B37="","보낸 분 없음 ","")&amp;IF(AND(B37&lt;&gt;"",COUNTIFS($B$2:$B$501,B37,$C$2:$C$501,C37)&gt;1),"중복 의심","")))</f>
        <v/>
      </c>
      <c r="G37">
        <f>IF(AND(A37&lt;&gt;"",A37=가족별!$B$1),COUNTIF($A$2:A37,가족별!$B$1),"")</f>
        <v/>
      </c>
      <c r="H37">
        <f>IF(COUNTA(B37:C37)&gt;0,1,0)</f>
        <v/>
      </c>
      <c r="I37">
        <f>IF(F37="",0,1)</f>
        <v/>
      </c>
    </row>
    <row r="38">
      <c r="A38" s="41" t="n"/>
      <c r="B38" s="41" t="n"/>
      <c r="C38" s="41" t="n"/>
      <c r="D38" s="41" t="n"/>
      <c r="E38" s="41" t="n"/>
      <c r="F38" s="19">
        <f>IF(COUNTA(A38:E38)=0,"",TRIM(IF(A38="","받은 가족 없음 ","")&amp;IF(B38="","보낸 분 없음 ","")&amp;IF(AND(B38&lt;&gt;"",COUNTIFS($B$2:$B$501,B38,$C$2:$C$501,C38)&gt;1),"중복 의심","")))</f>
        <v/>
      </c>
      <c r="G38">
        <f>IF(AND(A38&lt;&gt;"",A38=가족별!$B$1),COUNTIF($A$2:A38,가족별!$B$1),"")</f>
        <v/>
      </c>
      <c r="H38">
        <f>IF(COUNTA(B38:C38)&gt;0,1,0)</f>
        <v/>
      </c>
      <c r="I38">
        <f>IF(F38="",0,1)</f>
        <v/>
      </c>
    </row>
    <row r="39">
      <c r="A39" s="41" t="n"/>
      <c r="B39" s="41" t="n"/>
      <c r="C39" s="41" t="n"/>
      <c r="D39" s="41" t="n"/>
      <c r="E39" s="41" t="n"/>
      <c r="F39" s="19">
        <f>IF(COUNTA(A39:E39)=0,"",TRIM(IF(A39="","받은 가족 없음 ","")&amp;IF(B39="","보낸 분 없음 ","")&amp;IF(AND(B39&lt;&gt;"",COUNTIFS($B$2:$B$501,B39,$C$2:$C$501,C39)&gt;1),"중복 의심","")))</f>
        <v/>
      </c>
      <c r="G39">
        <f>IF(AND(A39&lt;&gt;"",A39=가족별!$B$1),COUNTIF($A$2:A39,가족별!$B$1),"")</f>
        <v/>
      </c>
      <c r="H39">
        <f>IF(COUNTA(B39:C39)&gt;0,1,0)</f>
        <v/>
      </c>
      <c r="I39">
        <f>IF(F39="",0,1)</f>
        <v/>
      </c>
    </row>
    <row r="40">
      <c r="A40" s="41" t="n"/>
      <c r="B40" s="41" t="n"/>
      <c r="C40" s="41" t="n"/>
      <c r="D40" s="41" t="n"/>
      <c r="E40" s="41" t="n"/>
      <c r="F40" s="19">
        <f>IF(COUNTA(A40:E40)=0,"",TRIM(IF(A40="","받은 가족 없음 ","")&amp;IF(B40="","보낸 분 없음 ","")&amp;IF(AND(B40&lt;&gt;"",COUNTIFS($B$2:$B$501,B40,$C$2:$C$501,C40)&gt;1),"중복 의심","")))</f>
        <v/>
      </c>
      <c r="G40">
        <f>IF(AND(A40&lt;&gt;"",A40=가족별!$B$1),COUNTIF($A$2:A40,가족별!$B$1),"")</f>
        <v/>
      </c>
      <c r="H40">
        <f>IF(COUNTA(B40:C40)&gt;0,1,0)</f>
        <v/>
      </c>
      <c r="I40">
        <f>IF(F40="",0,1)</f>
        <v/>
      </c>
    </row>
    <row r="41">
      <c r="A41" s="41" t="n"/>
      <c r="B41" s="41" t="n"/>
      <c r="C41" s="41" t="n"/>
      <c r="D41" s="41" t="n"/>
      <c r="E41" s="41" t="n"/>
      <c r="F41" s="19">
        <f>IF(COUNTA(A41:E41)=0,"",TRIM(IF(A41="","받은 가족 없음 ","")&amp;IF(B41="","보낸 분 없음 ","")&amp;IF(AND(B41&lt;&gt;"",COUNTIFS($B$2:$B$501,B41,$C$2:$C$501,C41)&gt;1),"중복 의심","")))</f>
        <v/>
      </c>
      <c r="G41">
        <f>IF(AND(A41&lt;&gt;"",A41=가족별!$B$1),COUNTIF($A$2:A41,가족별!$B$1),"")</f>
        <v/>
      </c>
      <c r="H41">
        <f>IF(COUNTA(B41:C41)&gt;0,1,0)</f>
        <v/>
      </c>
      <c r="I41">
        <f>IF(F41="",0,1)</f>
        <v/>
      </c>
    </row>
    <row r="42">
      <c r="A42" s="41" t="n"/>
      <c r="B42" s="41" t="n"/>
      <c r="C42" s="41" t="n"/>
      <c r="D42" s="41" t="n"/>
      <c r="E42" s="41" t="n"/>
      <c r="F42" s="19">
        <f>IF(COUNTA(A42:E42)=0,"",TRIM(IF(A42="","받은 가족 없음 ","")&amp;IF(B42="","보낸 분 없음 ","")&amp;IF(AND(B42&lt;&gt;"",COUNTIFS($B$2:$B$501,B42,$C$2:$C$501,C42)&gt;1),"중복 의심","")))</f>
        <v/>
      </c>
      <c r="G42">
        <f>IF(AND(A42&lt;&gt;"",A42=가족별!$B$1),COUNTIF($A$2:A42,가족별!$B$1),"")</f>
        <v/>
      </c>
      <c r="H42">
        <f>IF(COUNTA(B42:C42)&gt;0,1,0)</f>
        <v/>
      </c>
      <c r="I42">
        <f>IF(F42="",0,1)</f>
        <v/>
      </c>
    </row>
    <row r="43">
      <c r="A43" s="41" t="n"/>
      <c r="B43" s="41" t="n"/>
      <c r="C43" s="41" t="n"/>
      <c r="D43" s="41" t="n"/>
      <c r="E43" s="41" t="n"/>
      <c r="F43" s="19">
        <f>IF(COUNTA(A43:E43)=0,"",TRIM(IF(A43="","받은 가족 없음 ","")&amp;IF(B43="","보낸 분 없음 ","")&amp;IF(AND(B43&lt;&gt;"",COUNTIFS($B$2:$B$501,B43,$C$2:$C$501,C43)&gt;1),"중복 의심","")))</f>
        <v/>
      </c>
      <c r="G43">
        <f>IF(AND(A43&lt;&gt;"",A43=가족별!$B$1),COUNTIF($A$2:A43,가족별!$B$1),"")</f>
        <v/>
      </c>
      <c r="H43">
        <f>IF(COUNTA(B43:C43)&gt;0,1,0)</f>
        <v/>
      </c>
      <c r="I43">
        <f>IF(F43="",0,1)</f>
        <v/>
      </c>
    </row>
    <row r="44">
      <c r="A44" s="41" t="n"/>
      <c r="B44" s="41" t="n"/>
      <c r="C44" s="41" t="n"/>
      <c r="D44" s="41" t="n"/>
      <c r="E44" s="41" t="n"/>
      <c r="F44" s="19">
        <f>IF(COUNTA(A44:E44)=0,"",TRIM(IF(A44="","받은 가족 없음 ","")&amp;IF(B44="","보낸 분 없음 ","")&amp;IF(AND(B44&lt;&gt;"",COUNTIFS($B$2:$B$501,B44,$C$2:$C$501,C44)&gt;1),"중복 의심","")))</f>
        <v/>
      </c>
      <c r="G44">
        <f>IF(AND(A44&lt;&gt;"",A44=가족별!$B$1),COUNTIF($A$2:A44,가족별!$B$1),"")</f>
        <v/>
      </c>
      <c r="H44">
        <f>IF(COUNTA(B44:C44)&gt;0,1,0)</f>
        <v/>
      </c>
      <c r="I44">
        <f>IF(F44="",0,1)</f>
        <v/>
      </c>
    </row>
    <row r="45">
      <c r="A45" s="41" t="n"/>
      <c r="B45" s="41" t="n"/>
      <c r="C45" s="41" t="n"/>
      <c r="D45" s="41" t="n"/>
      <c r="E45" s="41" t="n"/>
      <c r="F45" s="19">
        <f>IF(COUNTA(A45:E45)=0,"",TRIM(IF(A45="","받은 가족 없음 ","")&amp;IF(B45="","보낸 분 없음 ","")&amp;IF(AND(B45&lt;&gt;"",COUNTIFS($B$2:$B$501,B45,$C$2:$C$501,C45)&gt;1),"중복 의심","")))</f>
        <v/>
      </c>
      <c r="G45">
        <f>IF(AND(A45&lt;&gt;"",A45=가족별!$B$1),COUNTIF($A$2:A45,가족별!$B$1),"")</f>
        <v/>
      </c>
      <c r="H45">
        <f>IF(COUNTA(B45:C45)&gt;0,1,0)</f>
        <v/>
      </c>
      <c r="I45">
        <f>IF(F45="",0,1)</f>
        <v/>
      </c>
    </row>
    <row r="46">
      <c r="A46" s="41" t="n"/>
      <c r="B46" s="41" t="n"/>
      <c r="C46" s="41" t="n"/>
      <c r="D46" s="41" t="n"/>
      <c r="E46" s="41" t="n"/>
      <c r="F46" s="19">
        <f>IF(COUNTA(A46:E46)=0,"",TRIM(IF(A46="","받은 가족 없음 ","")&amp;IF(B46="","보낸 분 없음 ","")&amp;IF(AND(B46&lt;&gt;"",COUNTIFS($B$2:$B$501,B46,$C$2:$C$501,C46)&gt;1),"중복 의심","")))</f>
        <v/>
      </c>
      <c r="G46">
        <f>IF(AND(A46&lt;&gt;"",A46=가족별!$B$1),COUNTIF($A$2:A46,가족별!$B$1),"")</f>
        <v/>
      </c>
      <c r="H46">
        <f>IF(COUNTA(B46:C46)&gt;0,1,0)</f>
        <v/>
      </c>
      <c r="I46">
        <f>IF(F46="",0,1)</f>
        <v/>
      </c>
    </row>
    <row r="47">
      <c r="A47" s="41" t="n"/>
      <c r="B47" s="41" t="n"/>
      <c r="C47" s="41" t="n"/>
      <c r="D47" s="41" t="n"/>
      <c r="E47" s="41" t="n"/>
      <c r="F47" s="19">
        <f>IF(COUNTA(A47:E47)=0,"",TRIM(IF(A47="","받은 가족 없음 ","")&amp;IF(B47="","보낸 분 없음 ","")&amp;IF(AND(B47&lt;&gt;"",COUNTIFS($B$2:$B$501,B47,$C$2:$C$501,C47)&gt;1),"중복 의심","")))</f>
        <v/>
      </c>
      <c r="G47">
        <f>IF(AND(A47&lt;&gt;"",A47=가족별!$B$1),COUNTIF($A$2:A47,가족별!$B$1),"")</f>
        <v/>
      </c>
      <c r="H47">
        <f>IF(COUNTA(B47:C47)&gt;0,1,0)</f>
        <v/>
      </c>
      <c r="I47">
        <f>IF(F47="",0,1)</f>
        <v/>
      </c>
    </row>
    <row r="48">
      <c r="A48" s="41" t="n"/>
      <c r="B48" s="41" t="n"/>
      <c r="C48" s="41" t="n"/>
      <c r="D48" s="41" t="n"/>
      <c r="E48" s="41" t="n"/>
      <c r="F48" s="19">
        <f>IF(COUNTA(A48:E48)=0,"",TRIM(IF(A48="","받은 가족 없음 ","")&amp;IF(B48="","보낸 분 없음 ","")&amp;IF(AND(B48&lt;&gt;"",COUNTIFS($B$2:$B$501,B48,$C$2:$C$501,C48)&gt;1),"중복 의심","")))</f>
        <v/>
      </c>
      <c r="G48">
        <f>IF(AND(A48&lt;&gt;"",A48=가족별!$B$1),COUNTIF($A$2:A48,가족별!$B$1),"")</f>
        <v/>
      </c>
      <c r="H48">
        <f>IF(COUNTA(B48:C48)&gt;0,1,0)</f>
        <v/>
      </c>
      <c r="I48">
        <f>IF(F48="",0,1)</f>
        <v/>
      </c>
    </row>
    <row r="49">
      <c r="A49" s="41" t="n"/>
      <c r="B49" s="41" t="n"/>
      <c r="C49" s="41" t="n"/>
      <c r="D49" s="41" t="n"/>
      <c r="E49" s="41" t="n"/>
      <c r="F49" s="19">
        <f>IF(COUNTA(A49:E49)=0,"",TRIM(IF(A49="","받은 가족 없음 ","")&amp;IF(B49="","보낸 분 없음 ","")&amp;IF(AND(B49&lt;&gt;"",COUNTIFS($B$2:$B$501,B49,$C$2:$C$501,C49)&gt;1),"중복 의심","")))</f>
        <v/>
      </c>
      <c r="G49">
        <f>IF(AND(A49&lt;&gt;"",A49=가족별!$B$1),COUNTIF($A$2:A49,가족별!$B$1),"")</f>
        <v/>
      </c>
      <c r="H49">
        <f>IF(COUNTA(B49:C49)&gt;0,1,0)</f>
        <v/>
      </c>
      <c r="I49">
        <f>IF(F49="",0,1)</f>
        <v/>
      </c>
    </row>
    <row r="50">
      <c r="A50" s="41" t="n"/>
      <c r="B50" s="41" t="n"/>
      <c r="C50" s="41" t="n"/>
      <c r="D50" s="41" t="n"/>
      <c r="E50" s="41" t="n"/>
      <c r="F50" s="19">
        <f>IF(COUNTA(A50:E50)=0,"",TRIM(IF(A50="","받은 가족 없음 ","")&amp;IF(B50="","보낸 분 없음 ","")&amp;IF(AND(B50&lt;&gt;"",COUNTIFS($B$2:$B$501,B50,$C$2:$C$501,C50)&gt;1),"중복 의심","")))</f>
        <v/>
      </c>
      <c r="G50">
        <f>IF(AND(A50&lt;&gt;"",A50=가족별!$B$1),COUNTIF($A$2:A50,가족별!$B$1),"")</f>
        <v/>
      </c>
      <c r="H50">
        <f>IF(COUNTA(B50:C50)&gt;0,1,0)</f>
        <v/>
      </c>
      <c r="I50">
        <f>IF(F50="",0,1)</f>
        <v/>
      </c>
    </row>
    <row r="51">
      <c r="A51" s="41" t="n"/>
      <c r="B51" s="41" t="n"/>
      <c r="C51" s="41" t="n"/>
      <c r="D51" s="41" t="n"/>
      <c r="E51" s="41" t="n"/>
      <c r="F51" s="19">
        <f>IF(COUNTA(A51:E51)=0,"",TRIM(IF(A51="","받은 가족 없음 ","")&amp;IF(B51="","보낸 분 없음 ","")&amp;IF(AND(B51&lt;&gt;"",COUNTIFS($B$2:$B$501,B51,$C$2:$C$501,C51)&gt;1),"중복 의심","")))</f>
        <v/>
      </c>
      <c r="G51">
        <f>IF(AND(A51&lt;&gt;"",A51=가족별!$B$1),COUNTIF($A$2:A51,가족별!$B$1),"")</f>
        <v/>
      </c>
      <c r="H51">
        <f>IF(COUNTA(B51:C51)&gt;0,1,0)</f>
        <v/>
      </c>
      <c r="I51">
        <f>IF(F51="",0,1)</f>
        <v/>
      </c>
    </row>
    <row r="52">
      <c r="A52" s="41" t="n"/>
      <c r="B52" s="41" t="n"/>
      <c r="C52" s="41" t="n"/>
      <c r="D52" s="41" t="n"/>
      <c r="E52" s="41" t="n"/>
      <c r="F52" s="19">
        <f>IF(COUNTA(A52:E52)=0,"",TRIM(IF(A52="","받은 가족 없음 ","")&amp;IF(B52="","보낸 분 없음 ","")&amp;IF(AND(B52&lt;&gt;"",COUNTIFS($B$2:$B$501,B52,$C$2:$C$501,C52)&gt;1),"중복 의심","")))</f>
        <v/>
      </c>
      <c r="G52">
        <f>IF(AND(A52&lt;&gt;"",A52=가족별!$B$1),COUNTIF($A$2:A52,가족별!$B$1),"")</f>
        <v/>
      </c>
      <c r="H52">
        <f>IF(COUNTA(B52:C52)&gt;0,1,0)</f>
        <v/>
      </c>
      <c r="I52">
        <f>IF(F52="",0,1)</f>
        <v/>
      </c>
    </row>
    <row r="53">
      <c r="A53" s="41" t="n"/>
      <c r="B53" s="41" t="n"/>
      <c r="C53" s="41" t="n"/>
      <c r="D53" s="41" t="n"/>
      <c r="E53" s="41" t="n"/>
      <c r="F53" s="19">
        <f>IF(COUNTA(A53:E53)=0,"",TRIM(IF(A53="","받은 가족 없음 ","")&amp;IF(B53="","보낸 분 없음 ","")&amp;IF(AND(B53&lt;&gt;"",COUNTIFS($B$2:$B$501,B53,$C$2:$C$501,C53)&gt;1),"중복 의심","")))</f>
        <v/>
      </c>
      <c r="G53">
        <f>IF(AND(A53&lt;&gt;"",A53=가족별!$B$1),COUNTIF($A$2:A53,가족별!$B$1),"")</f>
        <v/>
      </c>
      <c r="H53">
        <f>IF(COUNTA(B53:C53)&gt;0,1,0)</f>
        <v/>
      </c>
      <c r="I53">
        <f>IF(F53="",0,1)</f>
        <v/>
      </c>
    </row>
    <row r="54">
      <c r="A54" s="41" t="n"/>
      <c r="B54" s="41" t="n"/>
      <c r="C54" s="41" t="n"/>
      <c r="D54" s="41" t="n"/>
      <c r="E54" s="41" t="n"/>
      <c r="F54" s="19">
        <f>IF(COUNTA(A54:E54)=0,"",TRIM(IF(A54="","받은 가족 없음 ","")&amp;IF(B54="","보낸 분 없음 ","")&amp;IF(AND(B54&lt;&gt;"",COUNTIFS($B$2:$B$501,B54,$C$2:$C$501,C54)&gt;1),"중복 의심","")))</f>
        <v/>
      </c>
      <c r="G54">
        <f>IF(AND(A54&lt;&gt;"",A54=가족별!$B$1),COUNTIF($A$2:A54,가족별!$B$1),"")</f>
        <v/>
      </c>
      <c r="H54">
        <f>IF(COUNTA(B54:C54)&gt;0,1,0)</f>
        <v/>
      </c>
      <c r="I54">
        <f>IF(F54="",0,1)</f>
        <v/>
      </c>
    </row>
    <row r="55">
      <c r="A55" s="41" t="n"/>
      <c r="B55" s="41" t="n"/>
      <c r="C55" s="41" t="n"/>
      <c r="D55" s="41" t="n"/>
      <c r="E55" s="41" t="n"/>
      <c r="F55" s="19">
        <f>IF(COUNTA(A55:E55)=0,"",TRIM(IF(A55="","받은 가족 없음 ","")&amp;IF(B55="","보낸 분 없음 ","")&amp;IF(AND(B55&lt;&gt;"",COUNTIFS($B$2:$B$501,B55,$C$2:$C$501,C55)&gt;1),"중복 의심","")))</f>
        <v/>
      </c>
      <c r="G55">
        <f>IF(AND(A55&lt;&gt;"",A55=가족별!$B$1),COUNTIF($A$2:A55,가족별!$B$1),"")</f>
        <v/>
      </c>
      <c r="H55">
        <f>IF(COUNTA(B55:C55)&gt;0,1,0)</f>
        <v/>
      </c>
      <c r="I55">
        <f>IF(F55="",0,1)</f>
        <v/>
      </c>
    </row>
    <row r="56">
      <c r="A56" s="41" t="n"/>
      <c r="B56" s="41" t="n"/>
      <c r="C56" s="41" t="n"/>
      <c r="D56" s="41" t="n"/>
      <c r="E56" s="41" t="n"/>
      <c r="F56" s="19">
        <f>IF(COUNTA(A56:E56)=0,"",TRIM(IF(A56="","받은 가족 없음 ","")&amp;IF(B56="","보낸 분 없음 ","")&amp;IF(AND(B56&lt;&gt;"",COUNTIFS($B$2:$B$501,B56,$C$2:$C$501,C56)&gt;1),"중복 의심","")))</f>
        <v/>
      </c>
      <c r="G56">
        <f>IF(AND(A56&lt;&gt;"",A56=가족별!$B$1),COUNTIF($A$2:A56,가족별!$B$1),"")</f>
        <v/>
      </c>
      <c r="H56">
        <f>IF(COUNTA(B56:C56)&gt;0,1,0)</f>
        <v/>
      </c>
      <c r="I56">
        <f>IF(F56="",0,1)</f>
        <v/>
      </c>
    </row>
    <row r="57">
      <c r="A57" s="41" t="n"/>
      <c r="B57" s="41" t="n"/>
      <c r="C57" s="41" t="n"/>
      <c r="D57" s="41" t="n"/>
      <c r="E57" s="41" t="n"/>
      <c r="F57" s="19">
        <f>IF(COUNTA(A57:E57)=0,"",TRIM(IF(A57="","받은 가족 없음 ","")&amp;IF(B57="","보낸 분 없음 ","")&amp;IF(AND(B57&lt;&gt;"",COUNTIFS($B$2:$B$501,B57,$C$2:$C$501,C57)&gt;1),"중복 의심","")))</f>
        <v/>
      </c>
      <c r="G57">
        <f>IF(AND(A57&lt;&gt;"",A57=가족별!$B$1),COUNTIF($A$2:A57,가족별!$B$1),"")</f>
        <v/>
      </c>
      <c r="H57">
        <f>IF(COUNTA(B57:C57)&gt;0,1,0)</f>
        <v/>
      </c>
      <c r="I57">
        <f>IF(F57="",0,1)</f>
        <v/>
      </c>
    </row>
    <row r="58">
      <c r="A58" s="41" t="n"/>
      <c r="B58" s="41" t="n"/>
      <c r="C58" s="41" t="n"/>
      <c r="D58" s="41" t="n"/>
      <c r="E58" s="41" t="n"/>
      <c r="F58" s="19">
        <f>IF(COUNTA(A58:E58)=0,"",TRIM(IF(A58="","받은 가족 없음 ","")&amp;IF(B58="","보낸 분 없음 ","")&amp;IF(AND(B58&lt;&gt;"",COUNTIFS($B$2:$B$501,B58,$C$2:$C$501,C58)&gt;1),"중복 의심","")))</f>
        <v/>
      </c>
      <c r="G58">
        <f>IF(AND(A58&lt;&gt;"",A58=가족별!$B$1),COUNTIF($A$2:A58,가족별!$B$1),"")</f>
        <v/>
      </c>
      <c r="H58">
        <f>IF(COUNTA(B58:C58)&gt;0,1,0)</f>
        <v/>
      </c>
      <c r="I58">
        <f>IF(F58="",0,1)</f>
        <v/>
      </c>
    </row>
    <row r="59">
      <c r="A59" s="41" t="n"/>
      <c r="B59" s="41" t="n"/>
      <c r="C59" s="41" t="n"/>
      <c r="D59" s="41" t="n"/>
      <c r="E59" s="41" t="n"/>
      <c r="F59" s="19">
        <f>IF(COUNTA(A59:E59)=0,"",TRIM(IF(A59="","받은 가족 없음 ","")&amp;IF(B59="","보낸 분 없음 ","")&amp;IF(AND(B59&lt;&gt;"",COUNTIFS($B$2:$B$501,B59,$C$2:$C$501,C59)&gt;1),"중복 의심","")))</f>
        <v/>
      </c>
      <c r="G59">
        <f>IF(AND(A59&lt;&gt;"",A59=가족별!$B$1),COUNTIF($A$2:A59,가족별!$B$1),"")</f>
        <v/>
      </c>
      <c r="H59">
        <f>IF(COUNTA(B59:C59)&gt;0,1,0)</f>
        <v/>
      </c>
      <c r="I59">
        <f>IF(F59="",0,1)</f>
        <v/>
      </c>
    </row>
    <row r="60">
      <c r="A60" s="41" t="n"/>
      <c r="B60" s="41" t="n"/>
      <c r="C60" s="41" t="n"/>
      <c r="D60" s="41" t="n"/>
      <c r="E60" s="41" t="n"/>
      <c r="F60" s="19">
        <f>IF(COUNTA(A60:E60)=0,"",TRIM(IF(A60="","받은 가족 없음 ","")&amp;IF(B60="","보낸 분 없음 ","")&amp;IF(AND(B60&lt;&gt;"",COUNTIFS($B$2:$B$501,B60,$C$2:$C$501,C60)&gt;1),"중복 의심","")))</f>
        <v/>
      </c>
      <c r="G60">
        <f>IF(AND(A60&lt;&gt;"",A60=가족별!$B$1),COUNTIF($A$2:A60,가족별!$B$1),"")</f>
        <v/>
      </c>
      <c r="H60">
        <f>IF(COUNTA(B60:C60)&gt;0,1,0)</f>
        <v/>
      </c>
      <c r="I60">
        <f>IF(F60="",0,1)</f>
        <v/>
      </c>
    </row>
    <row r="61">
      <c r="A61" s="41" t="n"/>
      <c r="B61" s="41" t="n"/>
      <c r="C61" s="41" t="n"/>
      <c r="D61" s="41" t="n"/>
      <c r="E61" s="41" t="n"/>
      <c r="F61" s="19">
        <f>IF(COUNTA(A61:E61)=0,"",TRIM(IF(A61="","받은 가족 없음 ","")&amp;IF(B61="","보낸 분 없음 ","")&amp;IF(AND(B61&lt;&gt;"",COUNTIFS($B$2:$B$501,B61,$C$2:$C$501,C61)&gt;1),"중복 의심","")))</f>
        <v/>
      </c>
      <c r="G61">
        <f>IF(AND(A61&lt;&gt;"",A61=가족별!$B$1),COUNTIF($A$2:A61,가족별!$B$1),"")</f>
        <v/>
      </c>
      <c r="H61">
        <f>IF(COUNTA(B61:C61)&gt;0,1,0)</f>
        <v/>
      </c>
      <c r="I61">
        <f>IF(F61="",0,1)</f>
        <v/>
      </c>
    </row>
    <row r="62">
      <c r="A62" s="41" t="n"/>
      <c r="B62" s="41" t="n"/>
      <c r="C62" s="41" t="n"/>
      <c r="D62" s="41" t="n"/>
      <c r="E62" s="41" t="n"/>
      <c r="F62" s="19">
        <f>IF(COUNTA(A62:E62)=0,"",TRIM(IF(A62="","받은 가족 없음 ","")&amp;IF(B62="","보낸 분 없음 ","")&amp;IF(AND(B62&lt;&gt;"",COUNTIFS($B$2:$B$501,B62,$C$2:$C$501,C62)&gt;1),"중복 의심","")))</f>
        <v/>
      </c>
      <c r="G62">
        <f>IF(AND(A62&lt;&gt;"",A62=가족별!$B$1),COUNTIF($A$2:A62,가족별!$B$1),"")</f>
        <v/>
      </c>
      <c r="H62">
        <f>IF(COUNTA(B62:C62)&gt;0,1,0)</f>
        <v/>
      </c>
      <c r="I62">
        <f>IF(F62="",0,1)</f>
        <v/>
      </c>
    </row>
    <row r="63">
      <c r="A63" s="41" t="n"/>
      <c r="B63" s="41" t="n"/>
      <c r="C63" s="41" t="n"/>
      <c r="D63" s="41" t="n"/>
      <c r="E63" s="41" t="n"/>
      <c r="F63" s="19">
        <f>IF(COUNTA(A63:E63)=0,"",TRIM(IF(A63="","받은 가족 없음 ","")&amp;IF(B63="","보낸 분 없음 ","")&amp;IF(AND(B63&lt;&gt;"",COUNTIFS($B$2:$B$501,B63,$C$2:$C$501,C63)&gt;1),"중복 의심","")))</f>
        <v/>
      </c>
      <c r="G63">
        <f>IF(AND(A63&lt;&gt;"",A63=가족별!$B$1),COUNTIF($A$2:A63,가족별!$B$1),"")</f>
        <v/>
      </c>
      <c r="H63">
        <f>IF(COUNTA(B63:C63)&gt;0,1,0)</f>
        <v/>
      </c>
      <c r="I63">
        <f>IF(F63="",0,1)</f>
        <v/>
      </c>
    </row>
    <row r="64">
      <c r="A64" s="41" t="n"/>
      <c r="B64" s="41" t="n"/>
      <c r="C64" s="41" t="n"/>
      <c r="D64" s="41" t="n"/>
      <c r="E64" s="41" t="n"/>
      <c r="F64" s="19">
        <f>IF(COUNTA(A64:E64)=0,"",TRIM(IF(A64="","받은 가족 없음 ","")&amp;IF(B64="","보낸 분 없음 ","")&amp;IF(AND(B64&lt;&gt;"",COUNTIFS($B$2:$B$501,B64,$C$2:$C$501,C64)&gt;1),"중복 의심","")))</f>
        <v/>
      </c>
      <c r="G64">
        <f>IF(AND(A64&lt;&gt;"",A64=가족별!$B$1),COUNTIF($A$2:A64,가족별!$B$1),"")</f>
        <v/>
      </c>
      <c r="H64">
        <f>IF(COUNTA(B64:C64)&gt;0,1,0)</f>
        <v/>
      </c>
      <c r="I64">
        <f>IF(F64="",0,1)</f>
        <v/>
      </c>
    </row>
    <row r="65">
      <c r="A65" s="41" t="n"/>
      <c r="B65" s="41" t="n"/>
      <c r="C65" s="41" t="n"/>
      <c r="D65" s="41" t="n"/>
      <c r="E65" s="41" t="n"/>
      <c r="F65" s="19">
        <f>IF(COUNTA(A65:E65)=0,"",TRIM(IF(A65="","받은 가족 없음 ","")&amp;IF(B65="","보낸 분 없음 ","")&amp;IF(AND(B65&lt;&gt;"",COUNTIFS($B$2:$B$501,B65,$C$2:$C$501,C65)&gt;1),"중복 의심","")))</f>
        <v/>
      </c>
      <c r="G65">
        <f>IF(AND(A65&lt;&gt;"",A65=가족별!$B$1),COUNTIF($A$2:A65,가족별!$B$1),"")</f>
        <v/>
      </c>
      <c r="H65">
        <f>IF(COUNTA(B65:C65)&gt;0,1,0)</f>
        <v/>
      </c>
      <c r="I65">
        <f>IF(F65="",0,1)</f>
        <v/>
      </c>
    </row>
    <row r="66">
      <c r="A66" s="41" t="n"/>
      <c r="B66" s="41" t="n"/>
      <c r="C66" s="41" t="n"/>
      <c r="D66" s="41" t="n"/>
      <c r="E66" s="41" t="n"/>
      <c r="F66" s="19">
        <f>IF(COUNTA(A66:E66)=0,"",TRIM(IF(A66="","받은 가족 없음 ","")&amp;IF(B66="","보낸 분 없음 ","")&amp;IF(AND(B66&lt;&gt;"",COUNTIFS($B$2:$B$501,B66,$C$2:$C$501,C66)&gt;1),"중복 의심","")))</f>
        <v/>
      </c>
      <c r="G66">
        <f>IF(AND(A66&lt;&gt;"",A66=가족별!$B$1),COUNTIF($A$2:A66,가족별!$B$1),"")</f>
        <v/>
      </c>
      <c r="H66">
        <f>IF(COUNTA(B66:C66)&gt;0,1,0)</f>
        <v/>
      </c>
      <c r="I66">
        <f>IF(F66="",0,1)</f>
        <v/>
      </c>
    </row>
    <row r="67">
      <c r="A67" s="41" t="n"/>
      <c r="B67" s="41" t="n"/>
      <c r="C67" s="41" t="n"/>
      <c r="D67" s="41" t="n"/>
      <c r="E67" s="41" t="n"/>
      <c r="F67" s="19">
        <f>IF(COUNTA(A67:E67)=0,"",TRIM(IF(A67="","받은 가족 없음 ","")&amp;IF(B67="","보낸 분 없음 ","")&amp;IF(AND(B67&lt;&gt;"",COUNTIFS($B$2:$B$501,B67,$C$2:$C$501,C67)&gt;1),"중복 의심","")))</f>
        <v/>
      </c>
      <c r="G67">
        <f>IF(AND(A67&lt;&gt;"",A67=가족별!$B$1),COUNTIF($A$2:A67,가족별!$B$1),"")</f>
        <v/>
      </c>
      <c r="H67">
        <f>IF(COUNTA(B67:C67)&gt;0,1,0)</f>
        <v/>
      </c>
      <c r="I67">
        <f>IF(F67="",0,1)</f>
        <v/>
      </c>
    </row>
    <row r="68">
      <c r="A68" s="41" t="n"/>
      <c r="B68" s="41" t="n"/>
      <c r="C68" s="41" t="n"/>
      <c r="D68" s="41" t="n"/>
      <c r="E68" s="41" t="n"/>
      <c r="F68" s="19">
        <f>IF(COUNTA(A68:E68)=0,"",TRIM(IF(A68="","받은 가족 없음 ","")&amp;IF(B68="","보낸 분 없음 ","")&amp;IF(AND(B68&lt;&gt;"",COUNTIFS($B$2:$B$501,B68,$C$2:$C$501,C68)&gt;1),"중복 의심","")))</f>
        <v/>
      </c>
      <c r="G68">
        <f>IF(AND(A68&lt;&gt;"",A68=가족별!$B$1),COUNTIF($A$2:A68,가족별!$B$1),"")</f>
        <v/>
      </c>
      <c r="H68">
        <f>IF(COUNTA(B68:C68)&gt;0,1,0)</f>
        <v/>
      </c>
      <c r="I68">
        <f>IF(F68="",0,1)</f>
        <v/>
      </c>
    </row>
    <row r="69">
      <c r="A69" s="41" t="n"/>
      <c r="B69" s="41" t="n"/>
      <c r="C69" s="41" t="n"/>
      <c r="D69" s="41" t="n"/>
      <c r="E69" s="41" t="n"/>
      <c r="F69" s="19">
        <f>IF(COUNTA(A69:E69)=0,"",TRIM(IF(A69="","받은 가족 없음 ","")&amp;IF(B69="","보낸 분 없음 ","")&amp;IF(AND(B69&lt;&gt;"",COUNTIFS($B$2:$B$501,B69,$C$2:$C$501,C69)&gt;1),"중복 의심","")))</f>
        <v/>
      </c>
      <c r="G69">
        <f>IF(AND(A69&lt;&gt;"",A69=가족별!$B$1),COUNTIF($A$2:A69,가족별!$B$1),"")</f>
        <v/>
      </c>
      <c r="H69">
        <f>IF(COUNTA(B69:C69)&gt;0,1,0)</f>
        <v/>
      </c>
      <c r="I69">
        <f>IF(F69="",0,1)</f>
        <v/>
      </c>
    </row>
    <row r="70">
      <c r="A70" s="41" t="n"/>
      <c r="B70" s="41" t="n"/>
      <c r="C70" s="41" t="n"/>
      <c r="D70" s="41" t="n"/>
      <c r="E70" s="41" t="n"/>
      <c r="F70" s="19">
        <f>IF(COUNTA(A70:E70)=0,"",TRIM(IF(A70="","받은 가족 없음 ","")&amp;IF(B70="","보낸 분 없음 ","")&amp;IF(AND(B70&lt;&gt;"",COUNTIFS($B$2:$B$501,B70,$C$2:$C$501,C70)&gt;1),"중복 의심","")))</f>
        <v/>
      </c>
      <c r="G70">
        <f>IF(AND(A70&lt;&gt;"",A70=가족별!$B$1),COUNTIF($A$2:A70,가족별!$B$1),"")</f>
        <v/>
      </c>
      <c r="H70">
        <f>IF(COUNTA(B70:C70)&gt;0,1,0)</f>
        <v/>
      </c>
      <c r="I70">
        <f>IF(F70="",0,1)</f>
        <v/>
      </c>
    </row>
    <row r="71">
      <c r="A71" s="41" t="n"/>
      <c r="B71" s="41" t="n"/>
      <c r="C71" s="41" t="n"/>
      <c r="D71" s="41" t="n"/>
      <c r="E71" s="41" t="n"/>
      <c r="F71" s="19">
        <f>IF(COUNTA(A71:E71)=0,"",TRIM(IF(A71="","받은 가족 없음 ","")&amp;IF(B71="","보낸 분 없음 ","")&amp;IF(AND(B71&lt;&gt;"",COUNTIFS($B$2:$B$501,B71,$C$2:$C$501,C71)&gt;1),"중복 의심","")))</f>
        <v/>
      </c>
      <c r="G71">
        <f>IF(AND(A71&lt;&gt;"",A71=가족별!$B$1),COUNTIF($A$2:A71,가족별!$B$1),"")</f>
        <v/>
      </c>
      <c r="H71">
        <f>IF(COUNTA(B71:C71)&gt;0,1,0)</f>
        <v/>
      </c>
      <c r="I71">
        <f>IF(F71="",0,1)</f>
        <v/>
      </c>
    </row>
    <row r="72">
      <c r="A72" s="41" t="n"/>
      <c r="B72" s="41" t="n"/>
      <c r="C72" s="41" t="n"/>
      <c r="D72" s="41" t="n"/>
      <c r="E72" s="41" t="n"/>
      <c r="F72" s="19">
        <f>IF(COUNTA(A72:E72)=0,"",TRIM(IF(A72="","받은 가족 없음 ","")&amp;IF(B72="","보낸 분 없음 ","")&amp;IF(AND(B72&lt;&gt;"",COUNTIFS($B$2:$B$501,B72,$C$2:$C$501,C72)&gt;1),"중복 의심","")))</f>
        <v/>
      </c>
      <c r="G72">
        <f>IF(AND(A72&lt;&gt;"",A72=가족별!$B$1),COUNTIF($A$2:A72,가족별!$B$1),"")</f>
        <v/>
      </c>
      <c r="H72">
        <f>IF(COUNTA(B72:C72)&gt;0,1,0)</f>
        <v/>
      </c>
      <c r="I72">
        <f>IF(F72="",0,1)</f>
        <v/>
      </c>
    </row>
    <row r="73">
      <c r="A73" s="41" t="n"/>
      <c r="B73" s="41" t="n"/>
      <c r="C73" s="41" t="n"/>
      <c r="D73" s="41" t="n"/>
      <c r="E73" s="41" t="n"/>
      <c r="F73" s="19">
        <f>IF(COUNTA(A73:E73)=0,"",TRIM(IF(A73="","받은 가족 없음 ","")&amp;IF(B73="","보낸 분 없음 ","")&amp;IF(AND(B73&lt;&gt;"",COUNTIFS($B$2:$B$501,B73,$C$2:$C$501,C73)&gt;1),"중복 의심","")))</f>
        <v/>
      </c>
      <c r="G73">
        <f>IF(AND(A73&lt;&gt;"",A73=가족별!$B$1),COUNTIF($A$2:A73,가족별!$B$1),"")</f>
        <v/>
      </c>
      <c r="H73">
        <f>IF(COUNTA(B73:C73)&gt;0,1,0)</f>
        <v/>
      </c>
      <c r="I73">
        <f>IF(F73="",0,1)</f>
        <v/>
      </c>
    </row>
    <row r="74">
      <c r="A74" s="41" t="n"/>
      <c r="B74" s="41" t="n"/>
      <c r="C74" s="41" t="n"/>
      <c r="D74" s="41" t="n"/>
      <c r="E74" s="41" t="n"/>
      <c r="F74" s="19">
        <f>IF(COUNTA(A74:E74)=0,"",TRIM(IF(A74="","받은 가족 없음 ","")&amp;IF(B74="","보낸 분 없음 ","")&amp;IF(AND(B74&lt;&gt;"",COUNTIFS($B$2:$B$501,B74,$C$2:$C$501,C74)&gt;1),"중복 의심","")))</f>
        <v/>
      </c>
      <c r="G74">
        <f>IF(AND(A74&lt;&gt;"",A74=가족별!$B$1),COUNTIF($A$2:A74,가족별!$B$1),"")</f>
        <v/>
      </c>
      <c r="H74">
        <f>IF(COUNTA(B74:C74)&gt;0,1,0)</f>
        <v/>
      </c>
      <c r="I74">
        <f>IF(F74="",0,1)</f>
        <v/>
      </c>
    </row>
    <row r="75">
      <c r="A75" s="41" t="n"/>
      <c r="B75" s="41" t="n"/>
      <c r="C75" s="41" t="n"/>
      <c r="D75" s="41" t="n"/>
      <c r="E75" s="41" t="n"/>
      <c r="F75" s="19">
        <f>IF(COUNTA(A75:E75)=0,"",TRIM(IF(A75="","받은 가족 없음 ","")&amp;IF(B75="","보낸 분 없음 ","")&amp;IF(AND(B75&lt;&gt;"",COUNTIFS($B$2:$B$501,B75,$C$2:$C$501,C75)&gt;1),"중복 의심","")))</f>
        <v/>
      </c>
      <c r="G75">
        <f>IF(AND(A75&lt;&gt;"",A75=가족별!$B$1),COUNTIF($A$2:A75,가족별!$B$1),"")</f>
        <v/>
      </c>
      <c r="H75">
        <f>IF(COUNTA(B75:C75)&gt;0,1,0)</f>
        <v/>
      </c>
      <c r="I75">
        <f>IF(F75="",0,1)</f>
        <v/>
      </c>
    </row>
    <row r="76">
      <c r="A76" s="41" t="n"/>
      <c r="B76" s="41" t="n"/>
      <c r="C76" s="41" t="n"/>
      <c r="D76" s="41" t="n"/>
      <c r="E76" s="41" t="n"/>
      <c r="F76" s="19">
        <f>IF(COUNTA(A76:E76)=0,"",TRIM(IF(A76="","받은 가족 없음 ","")&amp;IF(B76="","보낸 분 없음 ","")&amp;IF(AND(B76&lt;&gt;"",COUNTIFS($B$2:$B$501,B76,$C$2:$C$501,C76)&gt;1),"중복 의심","")))</f>
        <v/>
      </c>
      <c r="G76">
        <f>IF(AND(A76&lt;&gt;"",A76=가족별!$B$1),COUNTIF($A$2:A76,가족별!$B$1),"")</f>
        <v/>
      </c>
      <c r="H76">
        <f>IF(COUNTA(B76:C76)&gt;0,1,0)</f>
        <v/>
      </c>
      <c r="I76">
        <f>IF(F76="",0,1)</f>
        <v/>
      </c>
    </row>
    <row r="77">
      <c r="A77" s="41" t="n"/>
      <c r="B77" s="41" t="n"/>
      <c r="C77" s="41" t="n"/>
      <c r="D77" s="41" t="n"/>
      <c r="E77" s="41" t="n"/>
      <c r="F77" s="19">
        <f>IF(COUNTA(A77:E77)=0,"",TRIM(IF(A77="","받은 가족 없음 ","")&amp;IF(B77="","보낸 분 없음 ","")&amp;IF(AND(B77&lt;&gt;"",COUNTIFS($B$2:$B$501,B77,$C$2:$C$501,C77)&gt;1),"중복 의심","")))</f>
        <v/>
      </c>
      <c r="G77">
        <f>IF(AND(A77&lt;&gt;"",A77=가족별!$B$1),COUNTIF($A$2:A77,가족별!$B$1),"")</f>
        <v/>
      </c>
      <c r="H77">
        <f>IF(COUNTA(B77:C77)&gt;0,1,0)</f>
        <v/>
      </c>
      <c r="I77">
        <f>IF(F77="",0,1)</f>
        <v/>
      </c>
    </row>
    <row r="78">
      <c r="A78" s="41" t="n"/>
      <c r="B78" s="41" t="n"/>
      <c r="C78" s="41" t="n"/>
      <c r="D78" s="41" t="n"/>
      <c r="E78" s="41" t="n"/>
      <c r="F78" s="19">
        <f>IF(COUNTA(A78:E78)=0,"",TRIM(IF(A78="","받은 가족 없음 ","")&amp;IF(B78="","보낸 분 없음 ","")&amp;IF(AND(B78&lt;&gt;"",COUNTIFS($B$2:$B$501,B78,$C$2:$C$501,C78)&gt;1),"중복 의심","")))</f>
        <v/>
      </c>
      <c r="G78">
        <f>IF(AND(A78&lt;&gt;"",A78=가족별!$B$1),COUNTIF($A$2:A78,가족별!$B$1),"")</f>
        <v/>
      </c>
      <c r="H78">
        <f>IF(COUNTA(B78:C78)&gt;0,1,0)</f>
        <v/>
      </c>
      <c r="I78">
        <f>IF(F78="",0,1)</f>
        <v/>
      </c>
    </row>
    <row r="79">
      <c r="A79" s="41" t="n"/>
      <c r="B79" s="41" t="n"/>
      <c r="C79" s="41" t="n"/>
      <c r="D79" s="41" t="n"/>
      <c r="E79" s="41" t="n"/>
      <c r="F79" s="19">
        <f>IF(COUNTA(A79:E79)=0,"",TRIM(IF(A79="","받은 가족 없음 ","")&amp;IF(B79="","보낸 분 없음 ","")&amp;IF(AND(B79&lt;&gt;"",COUNTIFS($B$2:$B$501,B79,$C$2:$C$501,C79)&gt;1),"중복 의심","")))</f>
        <v/>
      </c>
      <c r="G79">
        <f>IF(AND(A79&lt;&gt;"",A79=가족별!$B$1),COUNTIF($A$2:A79,가족별!$B$1),"")</f>
        <v/>
      </c>
      <c r="H79">
        <f>IF(COUNTA(B79:C79)&gt;0,1,0)</f>
        <v/>
      </c>
      <c r="I79">
        <f>IF(F79="",0,1)</f>
        <v/>
      </c>
    </row>
    <row r="80">
      <c r="A80" s="41" t="n"/>
      <c r="B80" s="41" t="n"/>
      <c r="C80" s="41" t="n"/>
      <c r="D80" s="41" t="n"/>
      <c r="E80" s="41" t="n"/>
      <c r="F80" s="19">
        <f>IF(COUNTA(A80:E80)=0,"",TRIM(IF(A80="","받은 가족 없음 ","")&amp;IF(B80="","보낸 분 없음 ","")&amp;IF(AND(B80&lt;&gt;"",COUNTIFS($B$2:$B$501,B80,$C$2:$C$501,C80)&gt;1),"중복 의심","")))</f>
        <v/>
      </c>
      <c r="G80">
        <f>IF(AND(A80&lt;&gt;"",A80=가족별!$B$1),COUNTIF($A$2:A80,가족별!$B$1),"")</f>
        <v/>
      </c>
      <c r="H80">
        <f>IF(COUNTA(B80:C80)&gt;0,1,0)</f>
        <v/>
      </c>
      <c r="I80">
        <f>IF(F80="",0,1)</f>
        <v/>
      </c>
    </row>
    <row r="81">
      <c r="A81" s="41" t="n"/>
      <c r="B81" s="41" t="n"/>
      <c r="C81" s="41" t="n"/>
      <c r="D81" s="41" t="n"/>
      <c r="E81" s="41" t="n"/>
      <c r="F81" s="19">
        <f>IF(COUNTA(A81:E81)=0,"",TRIM(IF(A81="","받은 가족 없음 ","")&amp;IF(B81="","보낸 분 없음 ","")&amp;IF(AND(B81&lt;&gt;"",COUNTIFS($B$2:$B$501,B81,$C$2:$C$501,C81)&gt;1),"중복 의심","")))</f>
        <v/>
      </c>
      <c r="G81">
        <f>IF(AND(A81&lt;&gt;"",A81=가족별!$B$1),COUNTIF($A$2:A81,가족별!$B$1),"")</f>
        <v/>
      </c>
      <c r="H81">
        <f>IF(COUNTA(B81:C81)&gt;0,1,0)</f>
        <v/>
      </c>
      <c r="I81">
        <f>IF(F81="",0,1)</f>
        <v/>
      </c>
    </row>
    <row r="82">
      <c r="A82" s="41" t="n"/>
      <c r="B82" s="41" t="n"/>
      <c r="C82" s="41" t="n"/>
      <c r="D82" s="41" t="n"/>
      <c r="E82" s="41" t="n"/>
      <c r="F82" s="19">
        <f>IF(COUNTA(A82:E82)=0,"",TRIM(IF(A82="","받은 가족 없음 ","")&amp;IF(B82="","보낸 분 없음 ","")&amp;IF(AND(B82&lt;&gt;"",COUNTIFS($B$2:$B$501,B82,$C$2:$C$501,C82)&gt;1),"중복 의심","")))</f>
        <v/>
      </c>
      <c r="G82">
        <f>IF(AND(A82&lt;&gt;"",A82=가족별!$B$1),COUNTIF($A$2:A82,가족별!$B$1),"")</f>
        <v/>
      </c>
      <c r="H82">
        <f>IF(COUNTA(B82:C82)&gt;0,1,0)</f>
        <v/>
      </c>
      <c r="I82">
        <f>IF(F82="",0,1)</f>
        <v/>
      </c>
    </row>
    <row r="83">
      <c r="A83" s="41" t="n"/>
      <c r="B83" s="41" t="n"/>
      <c r="C83" s="41" t="n"/>
      <c r="D83" s="41" t="n"/>
      <c r="E83" s="41" t="n"/>
      <c r="F83" s="19">
        <f>IF(COUNTA(A83:E83)=0,"",TRIM(IF(A83="","받은 가족 없음 ","")&amp;IF(B83="","보낸 분 없음 ","")&amp;IF(AND(B83&lt;&gt;"",COUNTIFS($B$2:$B$501,B83,$C$2:$C$501,C83)&gt;1),"중복 의심","")))</f>
        <v/>
      </c>
      <c r="G83">
        <f>IF(AND(A83&lt;&gt;"",A83=가족별!$B$1),COUNTIF($A$2:A83,가족별!$B$1),"")</f>
        <v/>
      </c>
      <c r="H83">
        <f>IF(COUNTA(B83:C83)&gt;0,1,0)</f>
        <v/>
      </c>
      <c r="I83">
        <f>IF(F83="",0,1)</f>
        <v/>
      </c>
    </row>
    <row r="84">
      <c r="A84" s="41" t="n"/>
      <c r="B84" s="41" t="n"/>
      <c r="C84" s="41" t="n"/>
      <c r="D84" s="41" t="n"/>
      <c r="E84" s="41" t="n"/>
      <c r="F84" s="19">
        <f>IF(COUNTA(A84:E84)=0,"",TRIM(IF(A84="","받은 가족 없음 ","")&amp;IF(B84="","보낸 분 없음 ","")&amp;IF(AND(B84&lt;&gt;"",COUNTIFS($B$2:$B$501,B84,$C$2:$C$501,C84)&gt;1),"중복 의심","")))</f>
        <v/>
      </c>
      <c r="G84">
        <f>IF(AND(A84&lt;&gt;"",A84=가족별!$B$1),COUNTIF($A$2:A84,가족별!$B$1),"")</f>
        <v/>
      </c>
      <c r="H84">
        <f>IF(COUNTA(B84:C84)&gt;0,1,0)</f>
        <v/>
      </c>
      <c r="I84">
        <f>IF(F84="",0,1)</f>
        <v/>
      </c>
    </row>
    <row r="85">
      <c r="A85" s="41" t="n"/>
      <c r="B85" s="41" t="n"/>
      <c r="C85" s="41" t="n"/>
      <c r="D85" s="41" t="n"/>
      <c r="E85" s="41" t="n"/>
      <c r="F85" s="19">
        <f>IF(COUNTA(A85:E85)=0,"",TRIM(IF(A85="","받은 가족 없음 ","")&amp;IF(B85="","보낸 분 없음 ","")&amp;IF(AND(B85&lt;&gt;"",COUNTIFS($B$2:$B$501,B85,$C$2:$C$501,C85)&gt;1),"중복 의심","")))</f>
        <v/>
      </c>
      <c r="G85">
        <f>IF(AND(A85&lt;&gt;"",A85=가족별!$B$1),COUNTIF($A$2:A85,가족별!$B$1),"")</f>
        <v/>
      </c>
      <c r="H85">
        <f>IF(COUNTA(B85:C85)&gt;0,1,0)</f>
        <v/>
      </c>
      <c r="I85">
        <f>IF(F85="",0,1)</f>
        <v/>
      </c>
    </row>
    <row r="86">
      <c r="A86" s="41" t="n"/>
      <c r="B86" s="41" t="n"/>
      <c r="C86" s="41" t="n"/>
      <c r="D86" s="41" t="n"/>
      <c r="E86" s="41" t="n"/>
      <c r="F86" s="19">
        <f>IF(COUNTA(A86:E86)=0,"",TRIM(IF(A86="","받은 가족 없음 ","")&amp;IF(B86="","보낸 분 없음 ","")&amp;IF(AND(B86&lt;&gt;"",COUNTIFS($B$2:$B$501,B86,$C$2:$C$501,C86)&gt;1),"중복 의심","")))</f>
        <v/>
      </c>
      <c r="G86">
        <f>IF(AND(A86&lt;&gt;"",A86=가족별!$B$1),COUNTIF($A$2:A86,가족별!$B$1),"")</f>
        <v/>
      </c>
      <c r="H86">
        <f>IF(COUNTA(B86:C86)&gt;0,1,0)</f>
        <v/>
      </c>
      <c r="I86">
        <f>IF(F86="",0,1)</f>
        <v/>
      </c>
    </row>
    <row r="87">
      <c r="A87" s="41" t="n"/>
      <c r="B87" s="41" t="n"/>
      <c r="C87" s="41" t="n"/>
      <c r="D87" s="41" t="n"/>
      <c r="E87" s="41" t="n"/>
      <c r="F87" s="19">
        <f>IF(COUNTA(A87:E87)=0,"",TRIM(IF(A87="","받은 가족 없음 ","")&amp;IF(B87="","보낸 분 없음 ","")&amp;IF(AND(B87&lt;&gt;"",COUNTIFS($B$2:$B$501,B87,$C$2:$C$501,C87)&gt;1),"중복 의심","")))</f>
        <v/>
      </c>
      <c r="G87">
        <f>IF(AND(A87&lt;&gt;"",A87=가족별!$B$1),COUNTIF($A$2:A87,가족별!$B$1),"")</f>
        <v/>
      </c>
      <c r="H87">
        <f>IF(COUNTA(B87:C87)&gt;0,1,0)</f>
        <v/>
      </c>
      <c r="I87">
        <f>IF(F87="",0,1)</f>
        <v/>
      </c>
    </row>
    <row r="88">
      <c r="A88" s="41" t="n"/>
      <c r="B88" s="41" t="n"/>
      <c r="C88" s="41" t="n"/>
      <c r="D88" s="41" t="n"/>
      <c r="E88" s="41" t="n"/>
      <c r="F88" s="19">
        <f>IF(COUNTA(A88:E88)=0,"",TRIM(IF(A88="","받은 가족 없음 ","")&amp;IF(B88="","보낸 분 없음 ","")&amp;IF(AND(B88&lt;&gt;"",COUNTIFS($B$2:$B$501,B88,$C$2:$C$501,C88)&gt;1),"중복 의심","")))</f>
        <v/>
      </c>
      <c r="G88">
        <f>IF(AND(A88&lt;&gt;"",A88=가족별!$B$1),COUNTIF($A$2:A88,가족별!$B$1),"")</f>
        <v/>
      </c>
      <c r="H88">
        <f>IF(COUNTA(B88:C88)&gt;0,1,0)</f>
        <v/>
      </c>
      <c r="I88">
        <f>IF(F88="",0,1)</f>
        <v/>
      </c>
    </row>
    <row r="89">
      <c r="A89" s="41" t="n"/>
      <c r="B89" s="41" t="n"/>
      <c r="C89" s="41" t="n"/>
      <c r="D89" s="41" t="n"/>
      <c r="E89" s="41" t="n"/>
      <c r="F89" s="19">
        <f>IF(COUNTA(A89:E89)=0,"",TRIM(IF(A89="","받은 가족 없음 ","")&amp;IF(B89="","보낸 분 없음 ","")&amp;IF(AND(B89&lt;&gt;"",COUNTIFS($B$2:$B$501,B89,$C$2:$C$501,C89)&gt;1),"중복 의심","")))</f>
        <v/>
      </c>
      <c r="G89">
        <f>IF(AND(A89&lt;&gt;"",A89=가족별!$B$1),COUNTIF($A$2:A89,가족별!$B$1),"")</f>
        <v/>
      </c>
      <c r="H89">
        <f>IF(COUNTA(B89:C89)&gt;0,1,0)</f>
        <v/>
      </c>
      <c r="I89">
        <f>IF(F89="",0,1)</f>
        <v/>
      </c>
    </row>
    <row r="90">
      <c r="A90" s="41" t="n"/>
      <c r="B90" s="41" t="n"/>
      <c r="C90" s="41" t="n"/>
      <c r="D90" s="41" t="n"/>
      <c r="E90" s="41" t="n"/>
      <c r="F90" s="19">
        <f>IF(COUNTA(A90:E90)=0,"",TRIM(IF(A90="","받은 가족 없음 ","")&amp;IF(B90="","보낸 분 없음 ","")&amp;IF(AND(B90&lt;&gt;"",COUNTIFS($B$2:$B$501,B90,$C$2:$C$501,C90)&gt;1),"중복 의심","")))</f>
        <v/>
      </c>
      <c r="G90">
        <f>IF(AND(A90&lt;&gt;"",A90=가족별!$B$1),COUNTIF($A$2:A90,가족별!$B$1),"")</f>
        <v/>
      </c>
      <c r="H90">
        <f>IF(COUNTA(B90:C90)&gt;0,1,0)</f>
        <v/>
      </c>
      <c r="I90">
        <f>IF(F90="",0,1)</f>
        <v/>
      </c>
    </row>
    <row r="91">
      <c r="A91" s="41" t="n"/>
      <c r="B91" s="41" t="n"/>
      <c r="C91" s="41" t="n"/>
      <c r="D91" s="41" t="n"/>
      <c r="E91" s="41" t="n"/>
      <c r="F91" s="19">
        <f>IF(COUNTA(A91:E91)=0,"",TRIM(IF(A91="","받은 가족 없음 ","")&amp;IF(B91="","보낸 분 없음 ","")&amp;IF(AND(B91&lt;&gt;"",COUNTIFS($B$2:$B$501,B91,$C$2:$C$501,C91)&gt;1),"중복 의심","")))</f>
        <v/>
      </c>
      <c r="G91">
        <f>IF(AND(A91&lt;&gt;"",A91=가족별!$B$1),COUNTIF($A$2:A91,가족별!$B$1),"")</f>
        <v/>
      </c>
      <c r="H91">
        <f>IF(COUNTA(B91:C91)&gt;0,1,0)</f>
        <v/>
      </c>
      <c r="I91">
        <f>IF(F91="",0,1)</f>
        <v/>
      </c>
    </row>
    <row r="92">
      <c r="A92" s="41" t="n"/>
      <c r="B92" s="41" t="n"/>
      <c r="C92" s="41" t="n"/>
      <c r="D92" s="41" t="n"/>
      <c r="E92" s="41" t="n"/>
      <c r="F92" s="19">
        <f>IF(COUNTA(A92:E92)=0,"",TRIM(IF(A92="","받은 가족 없음 ","")&amp;IF(B92="","보낸 분 없음 ","")&amp;IF(AND(B92&lt;&gt;"",COUNTIFS($B$2:$B$501,B92,$C$2:$C$501,C92)&gt;1),"중복 의심","")))</f>
        <v/>
      </c>
      <c r="G92">
        <f>IF(AND(A92&lt;&gt;"",A92=가족별!$B$1),COUNTIF($A$2:A92,가족별!$B$1),"")</f>
        <v/>
      </c>
      <c r="H92">
        <f>IF(COUNTA(B92:C92)&gt;0,1,0)</f>
        <v/>
      </c>
      <c r="I92">
        <f>IF(F92="",0,1)</f>
        <v/>
      </c>
    </row>
    <row r="93">
      <c r="A93" s="41" t="n"/>
      <c r="B93" s="41" t="n"/>
      <c r="C93" s="41" t="n"/>
      <c r="D93" s="41" t="n"/>
      <c r="E93" s="41" t="n"/>
      <c r="F93" s="19">
        <f>IF(COUNTA(A93:E93)=0,"",TRIM(IF(A93="","받은 가족 없음 ","")&amp;IF(B93="","보낸 분 없음 ","")&amp;IF(AND(B93&lt;&gt;"",COUNTIFS($B$2:$B$501,B93,$C$2:$C$501,C93)&gt;1),"중복 의심","")))</f>
        <v/>
      </c>
      <c r="G93">
        <f>IF(AND(A93&lt;&gt;"",A93=가족별!$B$1),COUNTIF($A$2:A93,가족별!$B$1),"")</f>
        <v/>
      </c>
      <c r="H93">
        <f>IF(COUNTA(B93:C93)&gt;0,1,0)</f>
        <v/>
      </c>
      <c r="I93">
        <f>IF(F93="",0,1)</f>
        <v/>
      </c>
    </row>
    <row r="94">
      <c r="A94" s="41" t="n"/>
      <c r="B94" s="41" t="n"/>
      <c r="C94" s="41" t="n"/>
      <c r="D94" s="41" t="n"/>
      <c r="E94" s="41" t="n"/>
      <c r="F94" s="19">
        <f>IF(COUNTA(A94:E94)=0,"",TRIM(IF(A94="","받은 가족 없음 ","")&amp;IF(B94="","보낸 분 없음 ","")&amp;IF(AND(B94&lt;&gt;"",COUNTIFS($B$2:$B$501,B94,$C$2:$C$501,C94)&gt;1),"중복 의심","")))</f>
        <v/>
      </c>
      <c r="G94">
        <f>IF(AND(A94&lt;&gt;"",A94=가족별!$B$1),COUNTIF($A$2:A94,가족별!$B$1),"")</f>
        <v/>
      </c>
      <c r="H94">
        <f>IF(COUNTA(B94:C94)&gt;0,1,0)</f>
        <v/>
      </c>
      <c r="I94">
        <f>IF(F94="",0,1)</f>
        <v/>
      </c>
    </row>
    <row r="95">
      <c r="A95" s="41" t="n"/>
      <c r="B95" s="41" t="n"/>
      <c r="C95" s="41" t="n"/>
      <c r="D95" s="41" t="n"/>
      <c r="E95" s="41" t="n"/>
      <c r="F95" s="19">
        <f>IF(COUNTA(A95:E95)=0,"",TRIM(IF(A95="","받은 가족 없음 ","")&amp;IF(B95="","보낸 분 없음 ","")&amp;IF(AND(B95&lt;&gt;"",COUNTIFS($B$2:$B$501,B95,$C$2:$C$501,C95)&gt;1),"중복 의심","")))</f>
        <v/>
      </c>
      <c r="G95">
        <f>IF(AND(A95&lt;&gt;"",A95=가족별!$B$1),COUNTIF($A$2:A95,가족별!$B$1),"")</f>
        <v/>
      </c>
      <c r="H95">
        <f>IF(COUNTA(B95:C95)&gt;0,1,0)</f>
        <v/>
      </c>
      <c r="I95">
        <f>IF(F95="",0,1)</f>
        <v/>
      </c>
    </row>
    <row r="96">
      <c r="A96" s="41" t="n"/>
      <c r="B96" s="41" t="n"/>
      <c r="C96" s="41" t="n"/>
      <c r="D96" s="41" t="n"/>
      <c r="E96" s="41" t="n"/>
      <c r="F96" s="19">
        <f>IF(COUNTA(A96:E96)=0,"",TRIM(IF(A96="","받은 가족 없음 ","")&amp;IF(B96="","보낸 분 없음 ","")&amp;IF(AND(B96&lt;&gt;"",COUNTIFS($B$2:$B$501,B96,$C$2:$C$501,C96)&gt;1),"중복 의심","")))</f>
        <v/>
      </c>
      <c r="G96">
        <f>IF(AND(A96&lt;&gt;"",A96=가족별!$B$1),COUNTIF($A$2:A96,가족별!$B$1),"")</f>
        <v/>
      </c>
      <c r="H96">
        <f>IF(COUNTA(B96:C96)&gt;0,1,0)</f>
        <v/>
      </c>
      <c r="I96">
        <f>IF(F96="",0,1)</f>
        <v/>
      </c>
    </row>
    <row r="97">
      <c r="A97" s="41" t="n"/>
      <c r="B97" s="41" t="n"/>
      <c r="C97" s="41" t="n"/>
      <c r="D97" s="41" t="n"/>
      <c r="E97" s="41" t="n"/>
      <c r="F97" s="19">
        <f>IF(COUNTA(A97:E97)=0,"",TRIM(IF(A97="","받은 가족 없음 ","")&amp;IF(B97="","보낸 분 없음 ","")&amp;IF(AND(B97&lt;&gt;"",COUNTIFS($B$2:$B$501,B97,$C$2:$C$501,C97)&gt;1),"중복 의심","")))</f>
        <v/>
      </c>
      <c r="G97">
        <f>IF(AND(A97&lt;&gt;"",A97=가족별!$B$1),COUNTIF($A$2:A97,가족별!$B$1),"")</f>
        <v/>
      </c>
      <c r="H97">
        <f>IF(COUNTA(B97:C97)&gt;0,1,0)</f>
        <v/>
      </c>
      <c r="I97">
        <f>IF(F97="",0,1)</f>
        <v/>
      </c>
    </row>
    <row r="98">
      <c r="A98" s="41" t="n"/>
      <c r="B98" s="41" t="n"/>
      <c r="C98" s="41" t="n"/>
      <c r="D98" s="41" t="n"/>
      <c r="E98" s="41" t="n"/>
      <c r="F98" s="19">
        <f>IF(COUNTA(A98:E98)=0,"",TRIM(IF(A98="","받은 가족 없음 ","")&amp;IF(B98="","보낸 분 없음 ","")&amp;IF(AND(B98&lt;&gt;"",COUNTIFS($B$2:$B$501,B98,$C$2:$C$501,C98)&gt;1),"중복 의심","")))</f>
        <v/>
      </c>
      <c r="G98">
        <f>IF(AND(A98&lt;&gt;"",A98=가족별!$B$1),COUNTIF($A$2:A98,가족별!$B$1),"")</f>
        <v/>
      </c>
      <c r="H98">
        <f>IF(COUNTA(B98:C98)&gt;0,1,0)</f>
        <v/>
      </c>
      <c r="I98">
        <f>IF(F98="",0,1)</f>
        <v/>
      </c>
    </row>
    <row r="99">
      <c r="A99" s="41" t="n"/>
      <c r="B99" s="41" t="n"/>
      <c r="C99" s="41" t="n"/>
      <c r="D99" s="41" t="n"/>
      <c r="E99" s="41" t="n"/>
      <c r="F99" s="19">
        <f>IF(COUNTA(A99:E99)=0,"",TRIM(IF(A99="","받은 가족 없음 ","")&amp;IF(B99="","보낸 분 없음 ","")&amp;IF(AND(B99&lt;&gt;"",COUNTIFS($B$2:$B$501,B99,$C$2:$C$501,C99)&gt;1),"중복 의심","")))</f>
        <v/>
      </c>
      <c r="G99">
        <f>IF(AND(A99&lt;&gt;"",A99=가족별!$B$1),COUNTIF($A$2:A99,가족별!$B$1),"")</f>
        <v/>
      </c>
      <c r="H99">
        <f>IF(COUNTA(B99:C99)&gt;0,1,0)</f>
        <v/>
      </c>
      <c r="I99">
        <f>IF(F99="",0,1)</f>
        <v/>
      </c>
    </row>
    <row r="100">
      <c r="A100" s="41" t="n"/>
      <c r="B100" s="41" t="n"/>
      <c r="C100" s="41" t="n"/>
      <c r="D100" s="41" t="n"/>
      <c r="E100" s="41" t="n"/>
      <c r="F100" s="19">
        <f>IF(COUNTA(A100:E100)=0,"",TRIM(IF(A100="","받은 가족 없음 ","")&amp;IF(B100="","보낸 분 없음 ","")&amp;IF(AND(B100&lt;&gt;"",COUNTIFS($B$2:$B$501,B100,$C$2:$C$501,C100)&gt;1),"중복 의심","")))</f>
        <v/>
      </c>
      <c r="G100">
        <f>IF(AND(A100&lt;&gt;"",A100=가족별!$B$1),COUNTIF($A$2:A100,가족별!$B$1),"")</f>
        <v/>
      </c>
      <c r="H100">
        <f>IF(COUNTA(B100:C100)&gt;0,1,0)</f>
        <v/>
      </c>
      <c r="I100">
        <f>IF(F100="",0,1)</f>
        <v/>
      </c>
    </row>
    <row r="101">
      <c r="A101" s="41" t="n"/>
      <c r="B101" s="41" t="n"/>
      <c r="C101" s="41" t="n"/>
      <c r="D101" s="41" t="n"/>
      <c r="E101" s="41" t="n"/>
      <c r="F101" s="19">
        <f>IF(COUNTA(A101:E101)=0,"",TRIM(IF(A101="","받은 가족 없음 ","")&amp;IF(B101="","보낸 분 없음 ","")&amp;IF(AND(B101&lt;&gt;"",COUNTIFS($B$2:$B$501,B101,$C$2:$C$501,C101)&gt;1),"중복 의심","")))</f>
        <v/>
      </c>
      <c r="G101">
        <f>IF(AND(A101&lt;&gt;"",A101=가족별!$B$1),COUNTIF($A$2:A101,가족별!$B$1),"")</f>
        <v/>
      </c>
      <c r="H101">
        <f>IF(COUNTA(B101:C101)&gt;0,1,0)</f>
        <v/>
      </c>
      <c r="I101">
        <f>IF(F101="",0,1)</f>
        <v/>
      </c>
    </row>
    <row r="102">
      <c r="A102" s="41" t="n"/>
      <c r="B102" s="41" t="n"/>
      <c r="C102" s="41" t="n"/>
      <c r="D102" s="41" t="n"/>
      <c r="E102" s="41" t="n"/>
      <c r="F102" s="19">
        <f>IF(COUNTA(A102:E102)=0,"",TRIM(IF(A102="","받은 가족 없음 ","")&amp;IF(B102="","보낸 분 없음 ","")&amp;IF(AND(B102&lt;&gt;"",COUNTIFS($B$2:$B$501,B102,$C$2:$C$501,C102)&gt;1),"중복 의심","")))</f>
        <v/>
      </c>
      <c r="G102">
        <f>IF(AND(A102&lt;&gt;"",A102=가족별!$B$1),COUNTIF($A$2:A102,가족별!$B$1),"")</f>
        <v/>
      </c>
      <c r="H102">
        <f>IF(COUNTA(B102:C102)&gt;0,1,0)</f>
        <v/>
      </c>
      <c r="I102">
        <f>IF(F102="",0,1)</f>
        <v/>
      </c>
    </row>
    <row r="103">
      <c r="A103" s="41" t="n"/>
      <c r="B103" s="41" t="n"/>
      <c r="C103" s="41" t="n"/>
      <c r="D103" s="41" t="n"/>
      <c r="E103" s="41" t="n"/>
      <c r="F103" s="19">
        <f>IF(COUNTA(A103:E103)=0,"",TRIM(IF(A103="","받은 가족 없음 ","")&amp;IF(B103="","보낸 분 없음 ","")&amp;IF(AND(B103&lt;&gt;"",COUNTIFS($B$2:$B$501,B103,$C$2:$C$501,C103)&gt;1),"중복 의심","")))</f>
        <v/>
      </c>
      <c r="G103">
        <f>IF(AND(A103&lt;&gt;"",A103=가족별!$B$1),COUNTIF($A$2:A103,가족별!$B$1),"")</f>
        <v/>
      </c>
      <c r="H103">
        <f>IF(COUNTA(B103:C103)&gt;0,1,0)</f>
        <v/>
      </c>
      <c r="I103">
        <f>IF(F103="",0,1)</f>
        <v/>
      </c>
    </row>
    <row r="104">
      <c r="A104" s="41" t="n"/>
      <c r="B104" s="41" t="n"/>
      <c r="C104" s="41" t="n"/>
      <c r="D104" s="41" t="n"/>
      <c r="E104" s="41" t="n"/>
      <c r="F104" s="19">
        <f>IF(COUNTA(A104:E104)=0,"",TRIM(IF(A104="","받은 가족 없음 ","")&amp;IF(B104="","보낸 분 없음 ","")&amp;IF(AND(B104&lt;&gt;"",COUNTIFS($B$2:$B$501,B104,$C$2:$C$501,C104)&gt;1),"중복 의심","")))</f>
        <v/>
      </c>
      <c r="G104">
        <f>IF(AND(A104&lt;&gt;"",A104=가족별!$B$1),COUNTIF($A$2:A104,가족별!$B$1),"")</f>
        <v/>
      </c>
      <c r="H104">
        <f>IF(COUNTA(B104:C104)&gt;0,1,0)</f>
        <v/>
      </c>
      <c r="I104">
        <f>IF(F104="",0,1)</f>
        <v/>
      </c>
    </row>
    <row r="105">
      <c r="A105" s="41" t="n"/>
      <c r="B105" s="41" t="n"/>
      <c r="C105" s="41" t="n"/>
      <c r="D105" s="41" t="n"/>
      <c r="E105" s="41" t="n"/>
      <c r="F105" s="19">
        <f>IF(COUNTA(A105:E105)=0,"",TRIM(IF(A105="","받은 가족 없음 ","")&amp;IF(B105="","보낸 분 없음 ","")&amp;IF(AND(B105&lt;&gt;"",COUNTIFS($B$2:$B$501,B105,$C$2:$C$501,C105)&gt;1),"중복 의심","")))</f>
        <v/>
      </c>
      <c r="G105">
        <f>IF(AND(A105&lt;&gt;"",A105=가족별!$B$1),COUNTIF($A$2:A105,가족별!$B$1),"")</f>
        <v/>
      </c>
      <c r="H105">
        <f>IF(COUNTA(B105:C105)&gt;0,1,0)</f>
        <v/>
      </c>
      <c r="I105">
        <f>IF(F105="",0,1)</f>
        <v/>
      </c>
    </row>
    <row r="106">
      <c r="A106" s="41" t="n"/>
      <c r="B106" s="41" t="n"/>
      <c r="C106" s="41" t="n"/>
      <c r="D106" s="41" t="n"/>
      <c r="E106" s="41" t="n"/>
      <c r="F106" s="19">
        <f>IF(COUNTA(A106:E106)=0,"",TRIM(IF(A106="","받은 가족 없음 ","")&amp;IF(B106="","보낸 분 없음 ","")&amp;IF(AND(B106&lt;&gt;"",COUNTIFS($B$2:$B$501,B106,$C$2:$C$501,C106)&gt;1),"중복 의심","")))</f>
        <v/>
      </c>
      <c r="G106">
        <f>IF(AND(A106&lt;&gt;"",A106=가족별!$B$1),COUNTIF($A$2:A106,가족별!$B$1),"")</f>
        <v/>
      </c>
      <c r="H106">
        <f>IF(COUNTA(B106:C106)&gt;0,1,0)</f>
        <v/>
      </c>
      <c r="I106">
        <f>IF(F106="",0,1)</f>
        <v/>
      </c>
    </row>
    <row r="107">
      <c r="A107" s="41" t="n"/>
      <c r="B107" s="41" t="n"/>
      <c r="C107" s="41" t="n"/>
      <c r="D107" s="41" t="n"/>
      <c r="E107" s="41" t="n"/>
      <c r="F107" s="19">
        <f>IF(COUNTA(A107:E107)=0,"",TRIM(IF(A107="","받은 가족 없음 ","")&amp;IF(B107="","보낸 분 없음 ","")&amp;IF(AND(B107&lt;&gt;"",COUNTIFS($B$2:$B$501,B107,$C$2:$C$501,C107)&gt;1),"중복 의심","")))</f>
        <v/>
      </c>
      <c r="G107">
        <f>IF(AND(A107&lt;&gt;"",A107=가족별!$B$1),COUNTIF($A$2:A107,가족별!$B$1),"")</f>
        <v/>
      </c>
      <c r="H107">
        <f>IF(COUNTA(B107:C107)&gt;0,1,0)</f>
        <v/>
      </c>
      <c r="I107">
        <f>IF(F107="",0,1)</f>
        <v/>
      </c>
    </row>
    <row r="108">
      <c r="A108" s="41" t="n"/>
      <c r="B108" s="41" t="n"/>
      <c r="C108" s="41" t="n"/>
      <c r="D108" s="41" t="n"/>
      <c r="E108" s="41" t="n"/>
      <c r="F108" s="19">
        <f>IF(COUNTA(A108:E108)=0,"",TRIM(IF(A108="","받은 가족 없음 ","")&amp;IF(B108="","보낸 분 없음 ","")&amp;IF(AND(B108&lt;&gt;"",COUNTIFS($B$2:$B$501,B108,$C$2:$C$501,C108)&gt;1),"중복 의심","")))</f>
        <v/>
      </c>
      <c r="G108">
        <f>IF(AND(A108&lt;&gt;"",A108=가족별!$B$1),COUNTIF($A$2:A108,가족별!$B$1),"")</f>
        <v/>
      </c>
      <c r="H108">
        <f>IF(COUNTA(B108:C108)&gt;0,1,0)</f>
        <v/>
      </c>
      <c r="I108">
        <f>IF(F108="",0,1)</f>
        <v/>
      </c>
    </row>
    <row r="109">
      <c r="A109" s="41" t="n"/>
      <c r="B109" s="41" t="n"/>
      <c r="C109" s="41" t="n"/>
      <c r="D109" s="41" t="n"/>
      <c r="E109" s="41" t="n"/>
      <c r="F109" s="19">
        <f>IF(COUNTA(A109:E109)=0,"",TRIM(IF(A109="","받은 가족 없음 ","")&amp;IF(B109="","보낸 분 없음 ","")&amp;IF(AND(B109&lt;&gt;"",COUNTIFS($B$2:$B$501,B109,$C$2:$C$501,C109)&gt;1),"중복 의심","")))</f>
        <v/>
      </c>
      <c r="G109">
        <f>IF(AND(A109&lt;&gt;"",A109=가족별!$B$1),COUNTIF($A$2:A109,가족별!$B$1),"")</f>
        <v/>
      </c>
      <c r="H109">
        <f>IF(COUNTA(B109:C109)&gt;0,1,0)</f>
        <v/>
      </c>
      <c r="I109">
        <f>IF(F109="",0,1)</f>
        <v/>
      </c>
    </row>
    <row r="110">
      <c r="A110" s="41" t="n"/>
      <c r="B110" s="41" t="n"/>
      <c r="C110" s="41" t="n"/>
      <c r="D110" s="41" t="n"/>
      <c r="E110" s="41" t="n"/>
      <c r="F110" s="19">
        <f>IF(COUNTA(A110:E110)=0,"",TRIM(IF(A110="","받은 가족 없음 ","")&amp;IF(B110="","보낸 분 없음 ","")&amp;IF(AND(B110&lt;&gt;"",COUNTIFS($B$2:$B$501,B110,$C$2:$C$501,C110)&gt;1),"중복 의심","")))</f>
        <v/>
      </c>
      <c r="G110">
        <f>IF(AND(A110&lt;&gt;"",A110=가족별!$B$1),COUNTIF($A$2:A110,가족별!$B$1),"")</f>
        <v/>
      </c>
      <c r="H110">
        <f>IF(COUNTA(B110:C110)&gt;0,1,0)</f>
        <v/>
      </c>
      <c r="I110">
        <f>IF(F110="",0,1)</f>
        <v/>
      </c>
    </row>
    <row r="111">
      <c r="A111" s="41" t="n"/>
      <c r="B111" s="41" t="n"/>
      <c r="C111" s="41" t="n"/>
      <c r="D111" s="41" t="n"/>
      <c r="E111" s="41" t="n"/>
      <c r="F111" s="19">
        <f>IF(COUNTA(A111:E111)=0,"",TRIM(IF(A111="","받은 가족 없음 ","")&amp;IF(B111="","보낸 분 없음 ","")&amp;IF(AND(B111&lt;&gt;"",COUNTIFS($B$2:$B$501,B111,$C$2:$C$501,C111)&gt;1),"중복 의심","")))</f>
        <v/>
      </c>
      <c r="G111">
        <f>IF(AND(A111&lt;&gt;"",A111=가족별!$B$1),COUNTIF($A$2:A111,가족별!$B$1),"")</f>
        <v/>
      </c>
      <c r="H111">
        <f>IF(COUNTA(B111:C111)&gt;0,1,0)</f>
        <v/>
      </c>
      <c r="I111">
        <f>IF(F111="",0,1)</f>
        <v/>
      </c>
    </row>
    <row r="112">
      <c r="A112" s="41" t="n"/>
      <c r="B112" s="41" t="n"/>
      <c r="C112" s="41" t="n"/>
      <c r="D112" s="41" t="n"/>
      <c r="E112" s="41" t="n"/>
      <c r="F112" s="19">
        <f>IF(COUNTA(A112:E112)=0,"",TRIM(IF(A112="","받은 가족 없음 ","")&amp;IF(B112="","보낸 분 없음 ","")&amp;IF(AND(B112&lt;&gt;"",COUNTIFS($B$2:$B$501,B112,$C$2:$C$501,C112)&gt;1),"중복 의심","")))</f>
        <v/>
      </c>
      <c r="G112">
        <f>IF(AND(A112&lt;&gt;"",A112=가족별!$B$1),COUNTIF($A$2:A112,가족별!$B$1),"")</f>
        <v/>
      </c>
      <c r="H112">
        <f>IF(COUNTA(B112:C112)&gt;0,1,0)</f>
        <v/>
      </c>
      <c r="I112">
        <f>IF(F112="",0,1)</f>
        <v/>
      </c>
    </row>
    <row r="113">
      <c r="A113" s="41" t="n"/>
      <c r="B113" s="41" t="n"/>
      <c r="C113" s="41" t="n"/>
      <c r="D113" s="41" t="n"/>
      <c r="E113" s="41" t="n"/>
      <c r="F113" s="19">
        <f>IF(COUNTA(A113:E113)=0,"",TRIM(IF(A113="","받은 가족 없음 ","")&amp;IF(B113="","보낸 분 없음 ","")&amp;IF(AND(B113&lt;&gt;"",COUNTIFS($B$2:$B$501,B113,$C$2:$C$501,C113)&gt;1),"중복 의심","")))</f>
        <v/>
      </c>
      <c r="G113">
        <f>IF(AND(A113&lt;&gt;"",A113=가족별!$B$1),COUNTIF($A$2:A113,가족별!$B$1),"")</f>
        <v/>
      </c>
      <c r="H113">
        <f>IF(COUNTA(B113:C113)&gt;0,1,0)</f>
        <v/>
      </c>
      <c r="I113">
        <f>IF(F113="",0,1)</f>
        <v/>
      </c>
    </row>
    <row r="114">
      <c r="A114" s="41" t="n"/>
      <c r="B114" s="41" t="n"/>
      <c r="C114" s="41" t="n"/>
      <c r="D114" s="41" t="n"/>
      <c r="E114" s="41" t="n"/>
      <c r="F114" s="19">
        <f>IF(COUNTA(A114:E114)=0,"",TRIM(IF(A114="","받은 가족 없음 ","")&amp;IF(B114="","보낸 분 없음 ","")&amp;IF(AND(B114&lt;&gt;"",COUNTIFS($B$2:$B$501,B114,$C$2:$C$501,C114)&gt;1),"중복 의심","")))</f>
        <v/>
      </c>
      <c r="G114">
        <f>IF(AND(A114&lt;&gt;"",A114=가족별!$B$1),COUNTIF($A$2:A114,가족별!$B$1),"")</f>
        <v/>
      </c>
      <c r="H114">
        <f>IF(COUNTA(B114:C114)&gt;0,1,0)</f>
        <v/>
      </c>
      <c r="I114">
        <f>IF(F114="",0,1)</f>
        <v/>
      </c>
    </row>
    <row r="115">
      <c r="A115" s="41" t="n"/>
      <c r="B115" s="41" t="n"/>
      <c r="C115" s="41" t="n"/>
      <c r="D115" s="41" t="n"/>
      <c r="E115" s="41" t="n"/>
      <c r="F115" s="19">
        <f>IF(COUNTA(A115:E115)=0,"",TRIM(IF(A115="","받은 가족 없음 ","")&amp;IF(B115="","보낸 분 없음 ","")&amp;IF(AND(B115&lt;&gt;"",COUNTIFS($B$2:$B$501,B115,$C$2:$C$501,C115)&gt;1),"중복 의심","")))</f>
        <v/>
      </c>
      <c r="G115">
        <f>IF(AND(A115&lt;&gt;"",A115=가족별!$B$1),COUNTIF($A$2:A115,가족별!$B$1),"")</f>
        <v/>
      </c>
      <c r="H115">
        <f>IF(COUNTA(B115:C115)&gt;0,1,0)</f>
        <v/>
      </c>
      <c r="I115">
        <f>IF(F115="",0,1)</f>
        <v/>
      </c>
    </row>
    <row r="116">
      <c r="A116" s="41" t="n"/>
      <c r="B116" s="41" t="n"/>
      <c r="C116" s="41" t="n"/>
      <c r="D116" s="41" t="n"/>
      <c r="E116" s="41" t="n"/>
      <c r="F116" s="19">
        <f>IF(COUNTA(A116:E116)=0,"",TRIM(IF(A116="","받은 가족 없음 ","")&amp;IF(B116="","보낸 분 없음 ","")&amp;IF(AND(B116&lt;&gt;"",COUNTIFS($B$2:$B$501,B116,$C$2:$C$501,C116)&gt;1),"중복 의심","")))</f>
        <v/>
      </c>
      <c r="G116">
        <f>IF(AND(A116&lt;&gt;"",A116=가족별!$B$1),COUNTIF($A$2:A116,가족별!$B$1),"")</f>
        <v/>
      </c>
      <c r="H116">
        <f>IF(COUNTA(B116:C116)&gt;0,1,0)</f>
        <v/>
      </c>
      <c r="I116">
        <f>IF(F116="",0,1)</f>
        <v/>
      </c>
    </row>
    <row r="117">
      <c r="A117" s="41" t="n"/>
      <c r="B117" s="41" t="n"/>
      <c r="C117" s="41" t="n"/>
      <c r="D117" s="41" t="n"/>
      <c r="E117" s="41" t="n"/>
      <c r="F117" s="19">
        <f>IF(COUNTA(A117:E117)=0,"",TRIM(IF(A117="","받은 가족 없음 ","")&amp;IF(B117="","보낸 분 없음 ","")&amp;IF(AND(B117&lt;&gt;"",COUNTIFS($B$2:$B$501,B117,$C$2:$C$501,C117)&gt;1),"중복 의심","")))</f>
        <v/>
      </c>
      <c r="G117">
        <f>IF(AND(A117&lt;&gt;"",A117=가족별!$B$1),COUNTIF($A$2:A117,가족별!$B$1),"")</f>
        <v/>
      </c>
      <c r="H117">
        <f>IF(COUNTA(B117:C117)&gt;0,1,0)</f>
        <v/>
      </c>
      <c r="I117">
        <f>IF(F117="",0,1)</f>
        <v/>
      </c>
    </row>
    <row r="118">
      <c r="A118" s="41" t="n"/>
      <c r="B118" s="41" t="n"/>
      <c r="C118" s="41" t="n"/>
      <c r="D118" s="41" t="n"/>
      <c r="E118" s="41" t="n"/>
      <c r="F118" s="19">
        <f>IF(COUNTA(A118:E118)=0,"",TRIM(IF(A118="","받은 가족 없음 ","")&amp;IF(B118="","보낸 분 없음 ","")&amp;IF(AND(B118&lt;&gt;"",COUNTIFS($B$2:$B$501,B118,$C$2:$C$501,C118)&gt;1),"중복 의심","")))</f>
        <v/>
      </c>
      <c r="G118">
        <f>IF(AND(A118&lt;&gt;"",A118=가족별!$B$1),COUNTIF($A$2:A118,가족별!$B$1),"")</f>
        <v/>
      </c>
      <c r="H118">
        <f>IF(COUNTA(B118:C118)&gt;0,1,0)</f>
        <v/>
      </c>
      <c r="I118">
        <f>IF(F118="",0,1)</f>
        <v/>
      </c>
    </row>
    <row r="119">
      <c r="A119" s="41" t="n"/>
      <c r="B119" s="41" t="n"/>
      <c r="C119" s="41" t="n"/>
      <c r="D119" s="41" t="n"/>
      <c r="E119" s="41" t="n"/>
      <c r="F119" s="19">
        <f>IF(COUNTA(A119:E119)=0,"",TRIM(IF(A119="","받은 가족 없음 ","")&amp;IF(B119="","보낸 분 없음 ","")&amp;IF(AND(B119&lt;&gt;"",COUNTIFS($B$2:$B$501,B119,$C$2:$C$501,C119)&gt;1),"중복 의심","")))</f>
        <v/>
      </c>
      <c r="G119">
        <f>IF(AND(A119&lt;&gt;"",A119=가족별!$B$1),COUNTIF($A$2:A119,가족별!$B$1),"")</f>
        <v/>
      </c>
      <c r="H119">
        <f>IF(COUNTA(B119:C119)&gt;0,1,0)</f>
        <v/>
      </c>
      <c r="I119">
        <f>IF(F119="",0,1)</f>
        <v/>
      </c>
    </row>
    <row r="120">
      <c r="A120" s="41" t="n"/>
      <c r="B120" s="41" t="n"/>
      <c r="C120" s="41" t="n"/>
      <c r="D120" s="41" t="n"/>
      <c r="E120" s="41" t="n"/>
      <c r="F120" s="19">
        <f>IF(COUNTA(A120:E120)=0,"",TRIM(IF(A120="","받은 가족 없음 ","")&amp;IF(B120="","보낸 분 없음 ","")&amp;IF(AND(B120&lt;&gt;"",COUNTIFS($B$2:$B$501,B120,$C$2:$C$501,C120)&gt;1),"중복 의심","")))</f>
        <v/>
      </c>
      <c r="G120">
        <f>IF(AND(A120&lt;&gt;"",A120=가족별!$B$1),COUNTIF($A$2:A120,가족별!$B$1),"")</f>
        <v/>
      </c>
      <c r="H120">
        <f>IF(COUNTA(B120:C120)&gt;0,1,0)</f>
        <v/>
      </c>
      <c r="I120">
        <f>IF(F120="",0,1)</f>
        <v/>
      </c>
    </row>
    <row r="121">
      <c r="A121" s="41" t="n"/>
      <c r="B121" s="41" t="n"/>
      <c r="C121" s="41" t="n"/>
      <c r="D121" s="41" t="n"/>
      <c r="E121" s="41" t="n"/>
      <c r="F121" s="19">
        <f>IF(COUNTA(A121:E121)=0,"",TRIM(IF(A121="","받은 가족 없음 ","")&amp;IF(B121="","보낸 분 없음 ","")&amp;IF(AND(B121&lt;&gt;"",COUNTIFS($B$2:$B$501,B121,$C$2:$C$501,C121)&gt;1),"중복 의심","")))</f>
        <v/>
      </c>
      <c r="G121">
        <f>IF(AND(A121&lt;&gt;"",A121=가족별!$B$1),COUNTIF($A$2:A121,가족별!$B$1),"")</f>
        <v/>
      </c>
      <c r="H121">
        <f>IF(COUNTA(B121:C121)&gt;0,1,0)</f>
        <v/>
      </c>
      <c r="I121">
        <f>IF(F121="",0,1)</f>
        <v/>
      </c>
    </row>
    <row r="122">
      <c r="A122" s="41" t="n"/>
      <c r="B122" s="41" t="n"/>
      <c r="C122" s="41" t="n"/>
      <c r="D122" s="41" t="n"/>
      <c r="E122" s="41" t="n"/>
      <c r="F122" s="19">
        <f>IF(COUNTA(A122:E122)=0,"",TRIM(IF(A122="","받은 가족 없음 ","")&amp;IF(B122="","보낸 분 없음 ","")&amp;IF(AND(B122&lt;&gt;"",COUNTIFS($B$2:$B$501,B122,$C$2:$C$501,C122)&gt;1),"중복 의심","")))</f>
        <v/>
      </c>
      <c r="G122">
        <f>IF(AND(A122&lt;&gt;"",A122=가족별!$B$1),COUNTIF($A$2:A122,가족별!$B$1),"")</f>
        <v/>
      </c>
      <c r="H122">
        <f>IF(COUNTA(B122:C122)&gt;0,1,0)</f>
        <v/>
      </c>
      <c r="I122">
        <f>IF(F122="",0,1)</f>
        <v/>
      </c>
    </row>
    <row r="123">
      <c r="A123" s="41" t="n"/>
      <c r="B123" s="41" t="n"/>
      <c r="C123" s="41" t="n"/>
      <c r="D123" s="41" t="n"/>
      <c r="E123" s="41" t="n"/>
      <c r="F123" s="19">
        <f>IF(COUNTA(A123:E123)=0,"",TRIM(IF(A123="","받은 가족 없음 ","")&amp;IF(B123="","보낸 분 없음 ","")&amp;IF(AND(B123&lt;&gt;"",COUNTIFS($B$2:$B$501,B123,$C$2:$C$501,C123)&gt;1),"중복 의심","")))</f>
        <v/>
      </c>
      <c r="G123">
        <f>IF(AND(A123&lt;&gt;"",A123=가족별!$B$1),COUNTIF($A$2:A123,가족별!$B$1),"")</f>
        <v/>
      </c>
      <c r="H123">
        <f>IF(COUNTA(B123:C123)&gt;0,1,0)</f>
        <v/>
      </c>
      <c r="I123">
        <f>IF(F123="",0,1)</f>
        <v/>
      </c>
    </row>
    <row r="124">
      <c r="A124" s="41" t="n"/>
      <c r="B124" s="41" t="n"/>
      <c r="C124" s="41" t="n"/>
      <c r="D124" s="41" t="n"/>
      <c r="E124" s="41" t="n"/>
      <c r="F124" s="19">
        <f>IF(COUNTA(A124:E124)=0,"",TRIM(IF(A124="","받은 가족 없음 ","")&amp;IF(B124="","보낸 분 없음 ","")&amp;IF(AND(B124&lt;&gt;"",COUNTIFS($B$2:$B$501,B124,$C$2:$C$501,C124)&gt;1),"중복 의심","")))</f>
        <v/>
      </c>
      <c r="G124">
        <f>IF(AND(A124&lt;&gt;"",A124=가족별!$B$1),COUNTIF($A$2:A124,가족별!$B$1),"")</f>
        <v/>
      </c>
      <c r="H124">
        <f>IF(COUNTA(B124:C124)&gt;0,1,0)</f>
        <v/>
      </c>
      <c r="I124">
        <f>IF(F124="",0,1)</f>
        <v/>
      </c>
    </row>
    <row r="125">
      <c r="A125" s="41" t="n"/>
      <c r="B125" s="41" t="n"/>
      <c r="C125" s="41" t="n"/>
      <c r="D125" s="41" t="n"/>
      <c r="E125" s="41" t="n"/>
      <c r="F125" s="19">
        <f>IF(COUNTA(A125:E125)=0,"",TRIM(IF(A125="","받은 가족 없음 ","")&amp;IF(B125="","보낸 분 없음 ","")&amp;IF(AND(B125&lt;&gt;"",COUNTIFS($B$2:$B$501,B125,$C$2:$C$501,C125)&gt;1),"중복 의심","")))</f>
        <v/>
      </c>
      <c r="G125">
        <f>IF(AND(A125&lt;&gt;"",A125=가족별!$B$1),COUNTIF($A$2:A125,가족별!$B$1),"")</f>
        <v/>
      </c>
      <c r="H125">
        <f>IF(COUNTA(B125:C125)&gt;0,1,0)</f>
        <v/>
      </c>
      <c r="I125">
        <f>IF(F125="",0,1)</f>
        <v/>
      </c>
    </row>
    <row r="126">
      <c r="A126" s="41" t="n"/>
      <c r="B126" s="41" t="n"/>
      <c r="C126" s="41" t="n"/>
      <c r="D126" s="41" t="n"/>
      <c r="E126" s="41" t="n"/>
      <c r="F126" s="19">
        <f>IF(COUNTA(A126:E126)=0,"",TRIM(IF(A126="","받은 가족 없음 ","")&amp;IF(B126="","보낸 분 없음 ","")&amp;IF(AND(B126&lt;&gt;"",COUNTIFS($B$2:$B$501,B126,$C$2:$C$501,C126)&gt;1),"중복 의심","")))</f>
        <v/>
      </c>
      <c r="G126">
        <f>IF(AND(A126&lt;&gt;"",A126=가족별!$B$1),COUNTIF($A$2:A126,가족별!$B$1),"")</f>
        <v/>
      </c>
      <c r="H126">
        <f>IF(COUNTA(B126:C126)&gt;0,1,0)</f>
        <v/>
      </c>
      <c r="I126">
        <f>IF(F126="",0,1)</f>
        <v/>
      </c>
    </row>
    <row r="127">
      <c r="A127" s="41" t="n"/>
      <c r="B127" s="41" t="n"/>
      <c r="C127" s="41" t="n"/>
      <c r="D127" s="41" t="n"/>
      <c r="E127" s="41" t="n"/>
      <c r="F127" s="19">
        <f>IF(COUNTA(A127:E127)=0,"",TRIM(IF(A127="","받은 가족 없음 ","")&amp;IF(B127="","보낸 분 없음 ","")&amp;IF(AND(B127&lt;&gt;"",COUNTIFS($B$2:$B$501,B127,$C$2:$C$501,C127)&gt;1),"중복 의심","")))</f>
        <v/>
      </c>
      <c r="G127">
        <f>IF(AND(A127&lt;&gt;"",A127=가족별!$B$1),COUNTIF($A$2:A127,가족별!$B$1),"")</f>
        <v/>
      </c>
      <c r="H127">
        <f>IF(COUNTA(B127:C127)&gt;0,1,0)</f>
        <v/>
      </c>
      <c r="I127">
        <f>IF(F127="",0,1)</f>
        <v/>
      </c>
    </row>
    <row r="128">
      <c r="A128" s="41" t="n"/>
      <c r="B128" s="41" t="n"/>
      <c r="C128" s="41" t="n"/>
      <c r="D128" s="41" t="n"/>
      <c r="E128" s="41" t="n"/>
      <c r="F128" s="19">
        <f>IF(COUNTA(A128:E128)=0,"",TRIM(IF(A128="","받은 가족 없음 ","")&amp;IF(B128="","보낸 분 없음 ","")&amp;IF(AND(B128&lt;&gt;"",COUNTIFS($B$2:$B$501,B128,$C$2:$C$501,C128)&gt;1),"중복 의심","")))</f>
        <v/>
      </c>
      <c r="G128">
        <f>IF(AND(A128&lt;&gt;"",A128=가족별!$B$1),COUNTIF($A$2:A128,가족별!$B$1),"")</f>
        <v/>
      </c>
      <c r="H128">
        <f>IF(COUNTA(B128:C128)&gt;0,1,0)</f>
        <v/>
      </c>
      <c r="I128">
        <f>IF(F128="",0,1)</f>
        <v/>
      </c>
    </row>
    <row r="129">
      <c r="A129" s="41" t="n"/>
      <c r="B129" s="41" t="n"/>
      <c r="C129" s="41" t="n"/>
      <c r="D129" s="41" t="n"/>
      <c r="E129" s="41" t="n"/>
      <c r="F129" s="19">
        <f>IF(COUNTA(A129:E129)=0,"",TRIM(IF(A129="","받은 가족 없음 ","")&amp;IF(B129="","보낸 분 없음 ","")&amp;IF(AND(B129&lt;&gt;"",COUNTIFS($B$2:$B$501,B129,$C$2:$C$501,C129)&gt;1),"중복 의심","")))</f>
        <v/>
      </c>
      <c r="G129">
        <f>IF(AND(A129&lt;&gt;"",A129=가족별!$B$1),COUNTIF($A$2:A129,가족별!$B$1),"")</f>
        <v/>
      </c>
      <c r="H129">
        <f>IF(COUNTA(B129:C129)&gt;0,1,0)</f>
        <v/>
      </c>
      <c r="I129">
        <f>IF(F129="",0,1)</f>
        <v/>
      </c>
    </row>
    <row r="130">
      <c r="A130" s="41" t="n"/>
      <c r="B130" s="41" t="n"/>
      <c r="C130" s="41" t="n"/>
      <c r="D130" s="41" t="n"/>
      <c r="E130" s="41" t="n"/>
      <c r="F130" s="19">
        <f>IF(COUNTA(A130:E130)=0,"",TRIM(IF(A130="","받은 가족 없음 ","")&amp;IF(B130="","보낸 분 없음 ","")&amp;IF(AND(B130&lt;&gt;"",COUNTIFS($B$2:$B$501,B130,$C$2:$C$501,C130)&gt;1),"중복 의심","")))</f>
        <v/>
      </c>
      <c r="G130">
        <f>IF(AND(A130&lt;&gt;"",A130=가족별!$B$1),COUNTIF($A$2:A130,가족별!$B$1),"")</f>
        <v/>
      </c>
      <c r="H130">
        <f>IF(COUNTA(B130:C130)&gt;0,1,0)</f>
        <v/>
      </c>
      <c r="I130">
        <f>IF(F130="",0,1)</f>
        <v/>
      </c>
    </row>
    <row r="131">
      <c r="A131" s="41" t="n"/>
      <c r="B131" s="41" t="n"/>
      <c r="C131" s="41" t="n"/>
      <c r="D131" s="41" t="n"/>
      <c r="E131" s="41" t="n"/>
      <c r="F131" s="19">
        <f>IF(COUNTA(A131:E131)=0,"",TRIM(IF(A131="","받은 가족 없음 ","")&amp;IF(B131="","보낸 분 없음 ","")&amp;IF(AND(B131&lt;&gt;"",COUNTIFS($B$2:$B$501,B131,$C$2:$C$501,C131)&gt;1),"중복 의심","")))</f>
        <v/>
      </c>
      <c r="G131">
        <f>IF(AND(A131&lt;&gt;"",A131=가족별!$B$1),COUNTIF($A$2:A131,가족별!$B$1),"")</f>
        <v/>
      </c>
      <c r="H131">
        <f>IF(COUNTA(B131:C131)&gt;0,1,0)</f>
        <v/>
      </c>
      <c r="I131">
        <f>IF(F131="",0,1)</f>
        <v/>
      </c>
    </row>
    <row r="132">
      <c r="A132" s="41" t="n"/>
      <c r="B132" s="41" t="n"/>
      <c r="C132" s="41" t="n"/>
      <c r="D132" s="41" t="n"/>
      <c r="E132" s="41" t="n"/>
      <c r="F132" s="19">
        <f>IF(COUNTA(A132:E132)=0,"",TRIM(IF(A132="","받은 가족 없음 ","")&amp;IF(B132="","보낸 분 없음 ","")&amp;IF(AND(B132&lt;&gt;"",COUNTIFS($B$2:$B$501,B132,$C$2:$C$501,C132)&gt;1),"중복 의심","")))</f>
        <v/>
      </c>
      <c r="G132">
        <f>IF(AND(A132&lt;&gt;"",A132=가족별!$B$1),COUNTIF($A$2:A132,가족별!$B$1),"")</f>
        <v/>
      </c>
      <c r="H132">
        <f>IF(COUNTA(B132:C132)&gt;0,1,0)</f>
        <v/>
      </c>
      <c r="I132">
        <f>IF(F132="",0,1)</f>
        <v/>
      </c>
    </row>
    <row r="133">
      <c r="A133" s="41" t="n"/>
      <c r="B133" s="41" t="n"/>
      <c r="C133" s="41" t="n"/>
      <c r="D133" s="41" t="n"/>
      <c r="E133" s="41" t="n"/>
      <c r="F133" s="19">
        <f>IF(COUNTA(A133:E133)=0,"",TRIM(IF(A133="","받은 가족 없음 ","")&amp;IF(B133="","보낸 분 없음 ","")&amp;IF(AND(B133&lt;&gt;"",COUNTIFS($B$2:$B$501,B133,$C$2:$C$501,C133)&gt;1),"중복 의심","")))</f>
        <v/>
      </c>
      <c r="G133">
        <f>IF(AND(A133&lt;&gt;"",A133=가족별!$B$1),COUNTIF($A$2:A133,가족별!$B$1),"")</f>
        <v/>
      </c>
      <c r="H133">
        <f>IF(COUNTA(B133:C133)&gt;0,1,0)</f>
        <v/>
      </c>
      <c r="I133">
        <f>IF(F133="",0,1)</f>
        <v/>
      </c>
    </row>
    <row r="134">
      <c r="A134" s="41" t="n"/>
      <c r="B134" s="41" t="n"/>
      <c r="C134" s="41" t="n"/>
      <c r="D134" s="41" t="n"/>
      <c r="E134" s="41" t="n"/>
      <c r="F134" s="19">
        <f>IF(COUNTA(A134:E134)=0,"",TRIM(IF(A134="","받은 가족 없음 ","")&amp;IF(B134="","보낸 분 없음 ","")&amp;IF(AND(B134&lt;&gt;"",COUNTIFS($B$2:$B$501,B134,$C$2:$C$501,C134)&gt;1),"중복 의심","")))</f>
        <v/>
      </c>
      <c r="G134">
        <f>IF(AND(A134&lt;&gt;"",A134=가족별!$B$1),COUNTIF($A$2:A134,가족별!$B$1),"")</f>
        <v/>
      </c>
      <c r="H134">
        <f>IF(COUNTA(B134:C134)&gt;0,1,0)</f>
        <v/>
      </c>
      <c r="I134">
        <f>IF(F134="",0,1)</f>
        <v/>
      </c>
    </row>
    <row r="135">
      <c r="A135" s="41" t="n"/>
      <c r="B135" s="41" t="n"/>
      <c r="C135" s="41" t="n"/>
      <c r="D135" s="41" t="n"/>
      <c r="E135" s="41" t="n"/>
      <c r="F135" s="19">
        <f>IF(COUNTA(A135:E135)=0,"",TRIM(IF(A135="","받은 가족 없음 ","")&amp;IF(B135="","보낸 분 없음 ","")&amp;IF(AND(B135&lt;&gt;"",COUNTIFS($B$2:$B$501,B135,$C$2:$C$501,C135)&gt;1),"중복 의심","")))</f>
        <v/>
      </c>
      <c r="G135">
        <f>IF(AND(A135&lt;&gt;"",A135=가족별!$B$1),COUNTIF($A$2:A135,가족별!$B$1),"")</f>
        <v/>
      </c>
      <c r="H135">
        <f>IF(COUNTA(B135:C135)&gt;0,1,0)</f>
        <v/>
      </c>
      <c r="I135">
        <f>IF(F135="",0,1)</f>
        <v/>
      </c>
    </row>
    <row r="136">
      <c r="A136" s="41" t="n"/>
      <c r="B136" s="41" t="n"/>
      <c r="C136" s="41" t="n"/>
      <c r="D136" s="41" t="n"/>
      <c r="E136" s="41" t="n"/>
      <c r="F136" s="19">
        <f>IF(COUNTA(A136:E136)=0,"",TRIM(IF(A136="","받은 가족 없음 ","")&amp;IF(B136="","보낸 분 없음 ","")&amp;IF(AND(B136&lt;&gt;"",COUNTIFS($B$2:$B$501,B136,$C$2:$C$501,C136)&gt;1),"중복 의심","")))</f>
        <v/>
      </c>
      <c r="G136">
        <f>IF(AND(A136&lt;&gt;"",A136=가족별!$B$1),COUNTIF($A$2:A136,가족별!$B$1),"")</f>
        <v/>
      </c>
      <c r="H136">
        <f>IF(COUNTA(B136:C136)&gt;0,1,0)</f>
        <v/>
      </c>
      <c r="I136">
        <f>IF(F136="",0,1)</f>
        <v/>
      </c>
    </row>
    <row r="137">
      <c r="A137" s="41" t="n"/>
      <c r="B137" s="41" t="n"/>
      <c r="C137" s="41" t="n"/>
      <c r="D137" s="41" t="n"/>
      <c r="E137" s="41" t="n"/>
      <c r="F137" s="19">
        <f>IF(COUNTA(A137:E137)=0,"",TRIM(IF(A137="","받은 가족 없음 ","")&amp;IF(B137="","보낸 분 없음 ","")&amp;IF(AND(B137&lt;&gt;"",COUNTIFS($B$2:$B$501,B137,$C$2:$C$501,C137)&gt;1),"중복 의심","")))</f>
        <v/>
      </c>
      <c r="G137">
        <f>IF(AND(A137&lt;&gt;"",A137=가족별!$B$1),COUNTIF($A$2:A137,가족별!$B$1),"")</f>
        <v/>
      </c>
      <c r="H137">
        <f>IF(COUNTA(B137:C137)&gt;0,1,0)</f>
        <v/>
      </c>
      <c r="I137">
        <f>IF(F137="",0,1)</f>
        <v/>
      </c>
    </row>
    <row r="138">
      <c r="A138" s="41" t="n"/>
      <c r="B138" s="41" t="n"/>
      <c r="C138" s="41" t="n"/>
      <c r="D138" s="41" t="n"/>
      <c r="E138" s="41" t="n"/>
      <c r="F138" s="19">
        <f>IF(COUNTA(A138:E138)=0,"",TRIM(IF(A138="","받은 가족 없음 ","")&amp;IF(B138="","보낸 분 없음 ","")&amp;IF(AND(B138&lt;&gt;"",COUNTIFS($B$2:$B$501,B138,$C$2:$C$501,C138)&gt;1),"중복 의심","")))</f>
        <v/>
      </c>
      <c r="G138">
        <f>IF(AND(A138&lt;&gt;"",A138=가족별!$B$1),COUNTIF($A$2:A138,가족별!$B$1),"")</f>
        <v/>
      </c>
      <c r="H138">
        <f>IF(COUNTA(B138:C138)&gt;0,1,0)</f>
        <v/>
      </c>
      <c r="I138">
        <f>IF(F138="",0,1)</f>
        <v/>
      </c>
    </row>
    <row r="139">
      <c r="A139" s="41" t="n"/>
      <c r="B139" s="41" t="n"/>
      <c r="C139" s="41" t="n"/>
      <c r="D139" s="41" t="n"/>
      <c r="E139" s="41" t="n"/>
      <c r="F139" s="19">
        <f>IF(COUNTA(A139:E139)=0,"",TRIM(IF(A139="","받은 가족 없음 ","")&amp;IF(B139="","보낸 분 없음 ","")&amp;IF(AND(B139&lt;&gt;"",COUNTIFS($B$2:$B$501,B139,$C$2:$C$501,C139)&gt;1),"중복 의심","")))</f>
        <v/>
      </c>
      <c r="G139">
        <f>IF(AND(A139&lt;&gt;"",A139=가족별!$B$1),COUNTIF($A$2:A139,가족별!$B$1),"")</f>
        <v/>
      </c>
      <c r="H139">
        <f>IF(COUNTA(B139:C139)&gt;0,1,0)</f>
        <v/>
      </c>
      <c r="I139">
        <f>IF(F139="",0,1)</f>
        <v/>
      </c>
    </row>
    <row r="140">
      <c r="A140" s="41" t="n"/>
      <c r="B140" s="41" t="n"/>
      <c r="C140" s="41" t="n"/>
      <c r="D140" s="41" t="n"/>
      <c r="E140" s="41" t="n"/>
      <c r="F140" s="19">
        <f>IF(COUNTA(A140:E140)=0,"",TRIM(IF(A140="","받은 가족 없음 ","")&amp;IF(B140="","보낸 분 없음 ","")&amp;IF(AND(B140&lt;&gt;"",COUNTIFS($B$2:$B$501,B140,$C$2:$C$501,C140)&gt;1),"중복 의심","")))</f>
        <v/>
      </c>
      <c r="G140">
        <f>IF(AND(A140&lt;&gt;"",A140=가족별!$B$1),COUNTIF($A$2:A140,가족별!$B$1),"")</f>
        <v/>
      </c>
      <c r="H140">
        <f>IF(COUNTA(B140:C140)&gt;0,1,0)</f>
        <v/>
      </c>
      <c r="I140">
        <f>IF(F140="",0,1)</f>
        <v/>
      </c>
    </row>
    <row r="141">
      <c r="A141" s="41" t="n"/>
      <c r="B141" s="41" t="n"/>
      <c r="C141" s="41" t="n"/>
      <c r="D141" s="41" t="n"/>
      <c r="E141" s="41" t="n"/>
      <c r="F141" s="19">
        <f>IF(COUNTA(A141:E141)=0,"",TRIM(IF(A141="","받은 가족 없음 ","")&amp;IF(B141="","보낸 분 없음 ","")&amp;IF(AND(B141&lt;&gt;"",COUNTIFS($B$2:$B$501,B141,$C$2:$C$501,C141)&gt;1),"중복 의심","")))</f>
        <v/>
      </c>
      <c r="G141">
        <f>IF(AND(A141&lt;&gt;"",A141=가족별!$B$1),COUNTIF($A$2:A141,가족별!$B$1),"")</f>
        <v/>
      </c>
      <c r="H141">
        <f>IF(COUNTA(B141:C141)&gt;0,1,0)</f>
        <v/>
      </c>
      <c r="I141">
        <f>IF(F141="",0,1)</f>
        <v/>
      </c>
    </row>
    <row r="142">
      <c r="A142" s="41" t="n"/>
      <c r="B142" s="41" t="n"/>
      <c r="C142" s="41" t="n"/>
      <c r="D142" s="41" t="n"/>
      <c r="E142" s="41" t="n"/>
      <c r="F142" s="19">
        <f>IF(COUNTA(A142:E142)=0,"",TRIM(IF(A142="","받은 가족 없음 ","")&amp;IF(B142="","보낸 분 없음 ","")&amp;IF(AND(B142&lt;&gt;"",COUNTIFS($B$2:$B$501,B142,$C$2:$C$501,C142)&gt;1),"중복 의심","")))</f>
        <v/>
      </c>
      <c r="G142">
        <f>IF(AND(A142&lt;&gt;"",A142=가족별!$B$1),COUNTIF($A$2:A142,가족별!$B$1),"")</f>
        <v/>
      </c>
      <c r="H142">
        <f>IF(COUNTA(B142:C142)&gt;0,1,0)</f>
        <v/>
      </c>
      <c r="I142">
        <f>IF(F142="",0,1)</f>
        <v/>
      </c>
    </row>
    <row r="143">
      <c r="A143" s="41" t="n"/>
      <c r="B143" s="41" t="n"/>
      <c r="C143" s="41" t="n"/>
      <c r="D143" s="41" t="n"/>
      <c r="E143" s="41" t="n"/>
      <c r="F143" s="19">
        <f>IF(COUNTA(A143:E143)=0,"",TRIM(IF(A143="","받은 가족 없음 ","")&amp;IF(B143="","보낸 분 없음 ","")&amp;IF(AND(B143&lt;&gt;"",COUNTIFS($B$2:$B$501,B143,$C$2:$C$501,C143)&gt;1),"중복 의심","")))</f>
        <v/>
      </c>
      <c r="G143">
        <f>IF(AND(A143&lt;&gt;"",A143=가족별!$B$1),COUNTIF($A$2:A143,가족별!$B$1),"")</f>
        <v/>
      </c>
      <c r="H143">
        <f>IF(COUNTA(B143:C143)&gt;0,1,0)</f>
        <v/>
      </c>
      <c r="I143">
        <f>IF(F143="",0,1)</f>
        <v/>
      </c>
    </row>
    <row r="144">
      <c r="A144" s="41" t="n"/>
      <c r="B144" s="41" t="n"/>
      <c r="C144" s="41" t="n"/>
      <c r="D144" s="41" t="n"/>
      <c r="E144" s="41" t="n"/>
      <c r="F144" s="19">
        <f>IF(COUNTA(A144:E144)=0,"",TRIM(IF(A144="","받은 가족 없음 ","")&amp;IF(B144="","보낸 분 없음 ","")&amp;IF(AND(B144&lt;&gt;"",COUNTIFS($B$2:$B$501,B144,$C$2:$C$501,C144)&gt;1),"중복 의심","")))</f>
        <v/>
      </c>
      <c r="G144">
        <f>IF(AND(A144&lt;&gt;"",A144=가족별!$B$1),COUNTIF($A$2:A144,가족별!$B$1),"")</f>
        <v/>
      </c>
      <c r="H144">
        <f>IF(COUNTA(B144:C144)&gt;0,1,0)</f>
        <v/>
      </c>
      <c r="I144">
        <f>IF(F144="",0,1)</f>
        <v/>
      </c>
    </row>
    <row r="145">
      <c r="A145" s="41" t="n"/>
      <c r="B145" s="41" t="n"/>
      <c r="C145" s="41" t="n"/>
      <c r="D145" s="41" t="n"/>
      <c r="E145" s="41" t="n"/>
      <c r="F145" s="19">
        <f>IF(COUNTA(A145:E145)=0,"",TRIM(IF(A145="","받은 가족 없음 ","")&amp;IF(B145="","보낸 분 없음 ","")&amp;IF(AND(B145&lt;&gt;"",COUNTIFS($B$2:$B$501,B145,$C$2:$C$501,C145)&gt;1),"중복 의심","")))</f>
        <v/>
      </c>
      <c r="G145">
        <f>IF(AND(A145&lt;&gt;"",A145=가족별!$B$1),COUNTIF($A$2:A145,가족별!$B$1),"")</f>
        <v/>
      </c>
      <c r="H145">
        <f>IF(COUNTA(B145:C145)&gt;0,1,0)</f>
        <v/>
      </c>
      <c r="I145">
        <f>IF(F145="",0,1)</f>
        <v/>
      </c>
    </row>
    <row r="146">
      <c r="A146" s="41" t="n"/>
      <c r="B146" s="41" t="n"/>
      <c r="C146" s="41" t="n"/>
      <c r="D146" s="41" t="n"/>
      <c r="E146" s="41" t="n"/>
      <c r="F146" s="19">
        <f>IF(COUNTA(A146:E146)=0,"",TRIM(IF(A146="","받은 가족 없음 ","")&amp;IF(B146="","보낸 분 없음 ","")&amp;IF(AND(B146&lt;&gt;"",COUNTIFS($B$2:$B$501,B146,$C$2:$C$501,C146)&gt;1),"중복 의심","")))</f>
        <v/>
      </c>
      <c r="G146">
        <f>IF(AND(A146&lt;&gt;"",A146=가족별!$B$1),COUNTIF($A$2:A146,가족별!$B$1),"")</f>
        <v/>
      </c>
      <c r="H146">
        <f>IF(COUNTA(B146:C146)&gt;0,1,0)</f>
        <v/>
      </c>
      <c r="I146">
        <f>IF(F146="",0,1)</f>
        <v/>
      </c>
    </row>
    <row r="147">
      <c r="A147" s="41" t="n"/>
      <c r="B147" s="41" t="n"/>
      <c r="C147" s="41" t="n"/>
      <c r="D147" s="41" t="n"/>
      <c r="E147" s="41" t="n"/>
      <c r="F147" s="19">
        <f>IF(COUNTA(A147:E147)=0,"",TRIM(IF(A147="","받은 가족 없음 ","")&amp;IF(B147="","보낸 분 없음 ","")&amp;IF(AND(B147&lt;&gt;"",COUNTIFS($B$2:$B$501,B147,$C$2:$C$501,C147)&gt;1),"중복 의심","")))</f>
        <v/>
      </c>
      <c r="G147">
        <f>IF(AND(A147&lt;&gt;"",A147=가족별!$B$1),COUNTIF($A$2:A147,가족별!$B$1),"")</f>
        <v/>
      </c>
      <c r="H147">
        <f>IF(COUNTA(B147:C147)&gt;0,1,0)</f>
        <v/>
      </c>
      <c r="I147">
        <f>IF(F147="",0,1)</f>
        <v/>
      </c>
    </row>
    <row r="148">
      <c r="A148" s="41" t="n"/>
      <c r="B148" s="41" t="n"/>
      <c r="C148" s="41" t="n"/>
      <c r="D148" s="41" t="n"/>
      <c r="E148" s="41" t="n"/>
      <c r="F148" s="19">
        <f>IF(COUNTA(A148:E148)=0,"",TRIM(IF(A148="","받은 가족 없음 ","")&amp;IF(B148="","보낸 분 없음 ","")&amp;IF(AND(B148&lt;&gt;"",COUNTIFS($B$2:$B$501,B148,$C$2:$C$501,C148)&gt;1),"중복 의심","")))</f>
        <v/>
      </c>
      <c r="G148">
        <f>IF(AND(A148&lt;&gt;"",A148=가족별!$B$1),COUNTIF($A$2:A148,가족별!$B$1),"")</f>
        <v/>
      </c>
      <c r="H148">
        <f>IF(COUNTA(B148:C148)&gt;0,1,0)</f>
        <v/>
      </c>
      <c r="I148">
        <f>IF(F148="",0,1)</f>
        <v/>
      </c>
    </row>
    <row r="149">
      <c r="A149" s="41" t="n"/>
      <c r="B149" s="41" t="n"/>
      <c r="C149" s="41" t="n"/>
      <c r="D149" s="41" t="n"/>
      <c r="E149" s="41" t="n"/>
      <c r="F149" s="19">
        <f>IF(COUNTA(A149:E149)=0,"",TRIM(IF(A149="","받은 가족 없음 ","")&amp;IF(B149="","보낸 분 없음 ","")&amp;IF(AND(B149&lt;&gt;"",COUNTIFS($B$2:$B$501,B149,$C$2:$C$501,C149)&gt;1),"중복 의심","")))</f>
        <v/>
      </c>
      <c r="G149">
        <f>IF(AND(A149&lt;&gt;"",A149=가족별!$B$1),COUNTIF($A$2:A149,가족별!$B$1),"")</f>
        <v/>
      </c>
      <c r="H149">
        <f>IF(COUNTA(B149:C149)&gt;0,1,0)</f>
        <v/>
      </c>
      <c r="I149">
        <f>IF(F149="",0,1)</f>
        <v/>
      </c>
    </row>
    <row r="150">
      <c r="A150" s="41" t="n"/>
      <c r="B150" s="41" t="n"/>
      <c r="C150" s="41" t="n"/>
      <c r="D150" s="41" t="n"/>
      <c r="E150" s="41" t="n"/>
      <c r="F150" s="19">
        <f>IF(COUNTA(A150:E150)=0,"",TRIM(IF(A150="","받은 가족 없음 ","")&amp;IF(B150="","보낸 분 없음 ","")&amp;IF(AND(B150&lt;&gt;"",COUNTIFS($B$2:$B$501,B150,$C$2:$C$501,C150)&gt;1),"중복 의심","")))</f>
        <v/>
      </c>
      <c r="G150">
        <f>IF(AND(A150&lt;&gt;"",A150=가족별!$B$1),COUNTIF($A$2:A150,가족별!$B$1),"")</f>
        <v/>
      </c>
      <c r="H150">
        <f>IF(COUNTA(B150:C150)&gt;0,1,0)</f>
        <v/>
      </c>
      <c r="I150">
        <f>IF(F150="",0,1)</f>
        <v/>
      </c>
    </row>
    <row r="151">
      <c r="A151" s="41" t="n"/>
      <c r="B151" s="41" t="n"/>
      <c r="C151" s="41" t="n"/>
      <c r="D151" s="41" t="n"/>
      <c r="E151" s="41" t="n"/>
      <c r="F151" s="19">
        <f>IF(COUNTA(A151:E151)=0,"",TRIM(IF(A151="","받은 가족 없음 ","")&amp;IF(B151="","보낸 분 없음 ","")&amp;IF(AND(B151&lt;&gt;"",COUNTIFS($B$2:$B$501,B151,$C$2:$C$501,C151)&gt;1),"중복 의심","")))</f>
        <v/>
      </c>
      <c r="G151">
        <f>IF(AND(A151&lt;&gt;"",A151=가족별!$B$1),COUNTIF($A$2:A151,가족별!$B$1),"")</f>
        <v/>
      </c>
      <c r="H151">
        <f>IF(COUNTA(B151:C151)&gt;0,1,0)</f>
        <v/>
      </c>
      <c r="I151">
        <f>IF(F151="",0,1)</f>
        <v/>
      </c>
    </row>
    <row r="152">
      <c r="A152" s="41" t="n"/>
      <c r="B152" s="41" t="n"/>
      <c r="C152" s="41" t="n"/>
      <c r="D152" s="41" t="n"/>
      <c r="E152" s="41" t="n"/>
      <c r="F152" s="19">
        <f>IF(COUNTA(A152:E152)=0,"",TRIM(IF(A152="","받은 가족 없음 ","")&amp;IF(B152="","보낸 분 없음 ","")&amp;IF(AND(B152&lt;&gt;"",COUNTIFS($B$2:$B$501,B152,$C$2:$C$501,C152)&gt;1),"중복 의심","")))</f>
        <v/>
      </c>
      <c r="G152">
        <f>IF(AND(A152&lt;&gt;"",A152=가족별!$B$1),COUNTIF($A$2:A152,가족별!$B$1),"")</f>
        <v/>
      </c>
      <c r="H152">
        <f>IF(COUNTA(B152:C152)&gt;0,1,0)</f>
        <v/>
      </c>
      <c r="I152">
        <f>IF(F152="",0,1)</f>
        <v/>
      </c>
    </row>
    <row r="153">
      <c r="A153" s="41" t="n"/>
      <c r="B153" s="41" t="n"/>
      <c r="C153" s="41" t="n"/>
      <c r="D153" s="41" t="n"/>
      <c r="E153" s="41" t="n"/>
      <c r="F153" s="19">
        <f>IF(COUNTA(A153:E153)=0,"",TRIM(IF(A153="","받은 가족 없음 ","")&amp;IF(B153="","보낸 분 없음 ","")&amp;IF(AND(B153&lt;&gt;"",COUNTIFS($B$2:$B$501,B153,$C$2:$C$501,C153)&gt;1),"중복 의심","")))</f>
        <v/>
      </c>
      <c r="G153">
        <f>IF(AND(A153&lt;&gt;"",A153=가족별!$B$1),COUNTIF($A$2:A153,가족별!$B$1),"")</f>
        <v/>
      </c>
      <c r="H153">
        <f>IF(COUNTA(B153:C153)&gt;0,1,0)</f>
        <v/>
      </c>
      <c r="I153">
        <f>IF(F153="",0,1)</f>
        <v/>
      </c>
    </row>
    <row r="154">
      <c r="A154" s="41" t="n"/>
      <c r="B154" s="41" t="n"/>
      <c r="C154" s="41" t="n"/>
      <c r="D154" s="41" t="n"/>
      <c r="E154" s="41" t="n"/>
      <c r="F154" s="19">
        <f>IF(COUNTA(A154:E154)=0,"",TRIM(IF(A154="","받은 가족 없음 ","")&amp;IF(B154="","보낸 분 없음 ","")&amp;IF(AND(B154&lt;&gt;"",COUNTIFS($B$2:$B$501,B154,$C$2:$C$501,C154)&gt;1),"중복 의심","")))</f>
        <v/>
      </c>
      <c r="G154">
        <f>IF(AND(A154&lt;&gt;"",A154=가족별!$B$1),COUNTIF($A$2:A154,가족별!$B$1),"")</f>
        <v/>
      </c>
      <c r="H154">
        <f>IF(COUNTA(B154:C154)&gt;0,1,0)</f>
        <v/>
      </c>
      <c r="I154">
        <f>IF(F154="",0,1)</f>
        <v/>
      </c>
    </row>
    <row r="155">
      <c r="A155" s="41" t="n"/>
      <c r="B155" s="41" t="n"/>
      <c r="C155" s="41" t="n"/>
      <c r="D155" s="41" t="n"/>
      <c r="E155" s="41" t="n"/>
      <c r="F155" s="19">
        <f>IF(COUNTA(A155:E155)=0,"",TRIM(IF(A155="","받은 가족 없음 ","")&amp;IF(B155="","보낸 분 없음 ","")&amp;IF(AND(B155&lt;&gt;"",COUNTIFS($B$2:$B$501,B155,$C$2:$C$501,C155)&gt;1),"중복 의심","")))</f>
        <v/>
      </c>
      <c r="G155">
        <f>IF(AND(A155&lt;&gt;"",A155=가족별!$B$1),COUNTIF($A$2:A155,가족별!$B$1),"")</f>
        <v/>
      </c>
      <c r="H155">
        <f>IF(COUNTA(B155:C155)&gt;0,1,0)</f>
        <v/>
      </c>
      <c r="I155">
        <f>IF(F155="",0,1)</f>
        <v/>
      </c>
    </row>
    <row r="156">
      <c r="A156" s="41" t="n"/>
      <c r="B156" s="41" t="n"/>
      <c r="C156" s="41" t="n"/>
      <c r="D156" s="41" t="n"/>
      <c r="E156" s="41" t="n"/>
      <c r="F156" s="19">
        <f>IF(COUNTA(A156:E156)=0,"",TRIM(IF(A156="","받은 가족 없음 ","")&amp;IF(B156="","보낸 분 없음 ","")&amp;IF(AND(B156&lt;&gt;"",COUNTIFS($B$2:$B$501,B156,$C$2:$C$501,C156)&gt;1),"중복 의심","")))</f>
        <v/>
      </c>
      <c r="G156">
        <f>IF(AND(A156&lt;&gt;"",A156=가족별!$B$1),COUNTIF($A$2:A156,가족별!$B$1),"")</f>
        <v/>
      </c>
      <c r="H156">
        <f>IF(COUNTA(B156:C156)&gt;0,1,0)</f>
        <v/>
      </c>
      <c r="I156">
        <f>IF(F156="",0,1)</f>
        <v/>
      </c>
    </row>
    <row r="157">
      <c r="A157" s="41" t="n"/>
      <c r="B157" s="41" t="n"/>
      <c r="C157" s="41" t="n"/>
      <c r="D157" s="41" t="n"/>
      <c r="E157" s="41" t="n"/>
      <c r="F157" s="19">
        <f>IF(COUNTA(A157:E157)=0,"",TRIM(IF(A157="","받은 가족 없음 ","")&amp;IF(B157="","보낸 분 없음 ","")&amp;IF(AND(B157&lt;&gt;"",COUNTIFS($B$2:$B$501,B157,$C$2:$C$501,C157)&gt;1),"중복 의심","")))</f>
        <v/>
      </c>
      <c r="G157">
        <f>IF(AND(A157&lt;&gt;"",A157=가족별!$B$1),COUNTIF($A$2:A157,가족별!$B$1),"")</f>
        <v/>
      </c>
      <c r="H157">
        <f>IF(COUNTA(B157:C157)&gt;0,1,0)</f>
        <v/>
      </c>
      <c r="I157">
        <f>IF(F157="",0,1)</f>
        <v/>
      </c>
    </row>
    <row r="158">
      <c r="A158" s="41" t="n"/>
      <c r="B158" s="41" t="n"/>
      <c r="C158" s="41" t="n"/>
      <c r="D158" s="41" t="n"/>
      <c r="E158" s="41" t="n"/>
      <c r="F158" s="19">
        <f>IF(COUNTA(A158:E158)=0,"",TRIM(IF(A158="","받은 가족 없음 ","")&amp;IF(B158="","보낸 분 없음 ","")&amp;IF(AND(B158&lt;&gt;"",COUNTIFS($B$2:$B$501,B158,$C$2:$C$501,C158)&gt;1),"중복 의심","")))</f>
        <v/>
      </c>
      <c r="G158">
        <f>IF(AND(A158&lt;&gt;"",A158=가족별!$B$1),COUNTIF($A$2:A158,가족별!$B$1),"")</f>
        <v/>
      </c>
      <c r="H158">
        <f>IF(COUNTA(B158:C158)&gt;0,1,0)</f>
        <v/>
      </c>
      <c r="I158">
        <f>IF(F158="",0,1)</f>
        <v/>
      </c>
    </row>
    <row r="159">
      <c r="A159" s="41" t="n"/>
      <c r="B159" s="41" t="n"/>
      <c r="C159" s="41" t="n"/>
      <c r="D159" s="41" t="n"/>
      <c r="E159" s="41" t="n"/>
      <c r="F159" s="19">
        <f>IF(COUNTA(A159:E159)=0,"",TRIM(IF(A159="","받은 가족 없음 ","")&amp;IF(B159="","보낸 분 없음 ","")&amp;IF(AND(B159&lt;&gt;"",COUNTIFS($B$2:$B$501,B159,$C$2:$C$501,C159)&gt;1),"중복 의심","")))</f>
        <v/>
      </c>
      <c r="G159">
        <f>IF(AND(A159&lt;&gt;"",A159=가족별!$B$1),COUNTIF($A$2:A159,가족별!$B$1),"")</f>
        <v/>
      </c>
      <c r="H159">
        <f>IF(COUNTA(B159:C159)&gt;0,1,0)</f>
        <v/>
      </c>
      <c r="I159">
        <f>IF(F159="",0,1)</f>
        <v/>
      </c>
    </row>
    <row r="160">
      <c r="A160" s="41" t="n"/>
      <c r="B160" s="41" t="n"/>
      <c r="C160" s="41" t="n"/>
      <c r="D160" s="41" t="n"/>
      <c r="E160" s="41" t="n"/>
      <c r="F160" s="19">
        <f>IF(COUNTA(A160:E160)=0,"",TRIM(IF(A160="","받은 가족 없음 ","")&amp;IF(B160="","보낸 분 없음 ","")&amp;IF(AND(B160&lt;&gt;"",COUNTIFS($B$2:$B$501,B160,$C$2:$C$501,C160)&gt;1),"중복 의심","")))</f>
        <v/>
      </c>
      <c r="G160">
        <f>IF(AND(A160&lt;&gt;"",A160=가족별!$B$1),COUNTIF($A$2:A160,가족별!$B$1),"")</f>
        <v/>
      </c>
      <c r="H160">
        <f>IF(COUNTA(B160:C160)&gt;0,1,0)</f>
        <v/>
      </c>
      <c r="I160">
        <f>IF(F160="",0,1)</f>
        <v/>
      </c>
    </row>
    <row r="161">
      <c r="A161" s="41" t="n"/>
      <c r="B161" s="41" t="n"/>
      <c r="C161" s="41" t="n"/>
      <c r="D161" s="41" t="n"/>
      <c r="E161" s="41" t="n"/>
      <c r="F161" s="19">
        <f>IF(COUNTA(A161:E161)=0,"",TRIM(IF(A161="","받은 가족 없음 ","")&amp;IF(B161="","보낸 분 없음 ","")&amp;IF(AND(B161&lt;&gt;"",COUNTIFS($B$2:$B$501,B161,$C$2:$C$501,C161)&gt;1),"중복 의심","")))</f>
        <v/>
      </c>
      <c r="G161">
        <f>IF(AND(A161&lt;&gt;"",A161=가족별!$B$1),COUNTIF($A$2:A161,가족별!$B$1),"")</f>
        <v/>
      </c>
      <c r="H161">
        <f>IF(COUNTA(B161:C161)&gt;0,1,0)</f>
        <v/>
      </c>
      <c r="I161">
        <f>IF(F161="",0,1)</f>
        <v/>
      </c>
    </row>
    <row r="162">
      <c r="A162" s="41" t="n"/>
      <c r="B162" s="41" t="n"/>
      <c r="C162" s="41" t="n"/>
      <c r="D162" s="41" t="n"/>
      <c r="E162" s="41" t="n"/>
      <c r="F162" s="19">
        <f>IF(COUNTA(A162:E162)=0,"",TRIM(IF(A162="","받은 가족 없음 ","")&amp;IF(B162="","보낸 분 없음 ","")&amp;IF(AND(B162&lt;&gt;"",COUNTIFS($B$2:$B$501,B162,$C$2:$C$501,C162)&gt;1),"중복 의심","")))</f>
        <v/>
      </c>
      <c r="G162">
        <f>IF(AND(A162&lt;&gt;"",A162=가족별!$B$1),COUNTIF($A$2:A162,가족별!$B$1),"")</f>
        <v/>
      </c>
      <c r="H162">
        <f>IF(COUNTA(B162:C162)&gt;0,1,0)</f>
        <v/>
      </c>
      <c r="I162">
        <f>IF(F162="",0,1)</f>
        <v/>
      </c>
    </row>
    <row r="163">
      <c r="A163" s="41" t="n"/>
      <c r="B163" s="41" t="n"/>
      <c r="C163" s="41" t="n"/>
      <c r="D163" s="41" t="n"/>
      <c r="E163" s="41" t="n"/>
      <c r="F163" s="19">
        <f>IF(COUNTA(A163:E163)=0,"",TRIM(IF(A163="","받은 가족 없음 ","")&amp;IF(B163="","보낸 분 없음 ","")&amp;IF(AND(B163&lt;&gt;"",COUNTIFS($B$2:$B$501,B163,$C$2:$C$501,C163)&gt;1),"중복 의심","")))</f>
        <v/>
      </c>
      <c r="G163">
        <f>IF(AND(A163&lt;&gt;"",A163=가족별!$B$1),COUNTIF($A$2:A163,가족별!$B$1),"")</f>
        <v/>
      </c>
      <c r="H163">
        <f>IF(COUNTA(B163:C163)&gt;0,1,0)</f>
        <v/>
      </c>
      <c r="I163">
        <f>IF(F163="",0,1)</f>
        <v/>
      </c>
    </row>
    <row r="164">
      <c r="A164" s="41" t="n"/>
      <c r="B164" s="41" t="n"/>
      <c r="C164" s="41" t="n"/>
      <c r="D164" s="41" t="n"/>
      <c r="E164" s="41" t="n"/>
      <c r="F164" s="19">
        <f>IF(COUNTA(A164:E164)=0,"",TRIM(IF(A164="","받은 가족 없음 ","")&amp;IF(B164="","보낸 분 없음 ","")&amp;IF(AND(B164&lt;&gt;"",COUNTIFS($B$2:$B$501,B164,$C$2:$C$501,C164)&gt;1),"중복 의심","")))</f>
        <v/>
      </c>
      <c r="G164">
        <f>IF(AND(A164&lt;&gt;"",A164=가족별!$B$1),COUNTIF($A$2:A164,가족별!$B$1),"")</f>
        <v/>
      </c>
      <c r="H164">
        <f>IF(COUNTA(B164:C164)&gt;0,1,0)</f>
        <v/>
      </c>
      <c r="I164">
        <f>IF(F164="",0,1)</f>
        <v/>
      </c>
    </row>
    <row r="165">
      <c r="A165" s="41" t="n"/>
      <c r="B165" s="41" t="n"/>
      <c r="C165" s="41" t="n"/>
      <c r="D165" s="41" t="n"/>
      <c r="E165" s="41" t="n"/>
      <c r="F165" s="19">
        <f>IF(COUNTA(A165:E165)=0,"",TRIM(IF(A165="","받은 가족 없음 ","")&amp;IF(B165="","보낸 분 없음 ","")&amp;IF(AND(B165&lt;&gt;"",COUNTIFS($B$2:$B$501,B165,$C$2:$C$501,C165)&gt;1),"중복 의심","")))</f>
        <v/>
      </c>
      <c r="G165">
        <f>IF(AND(A165&lt;&gt;"",A165=가족별!$B$1),COUNTIF($A$2:A165,가족별!$B$1),"")</f>
        <v/>
      </c>
      <c r="H165">
        <f>IF(COUNTA(B165:C165)&gt;0,1,0)</f>
        <v/>
      </c>
      <c r="I165">
        <f>IF(F165="",0,1)</f>
        <v/>
      </c>
    </row>
    <row r="166">
      <c r="A166" s="41" t="n"/>
      <c r="B166" s="41" t="n"/>
      <c r="C166" s="41" t="n"/>
      <c r="D166" s="41" t="n"/>
      <c r="E166" s="41" t="n"/>
      <c r="F166" s="19">
        <f>IF(COUNTA(A166:E166)=0,"",TRIM(IF(A166="","받은 가족 없음 ","")&amp;IF(B166="","보낸 분 없음 ","")&amp;IF(AND(B166&lt;&gt;"",COUNTIFS($B$2:$B$501,B166,$C$2:$C$501,C166)&gt;1),"중복 의심","")))</f>
        <v/>
      </c>
      <c r="G166">
        <f>IF(AND(A166&lt;&gt;"",A166=가족별!$B$1),COUNTIF($A$2:A166,가족별!$B$1),"")</f>
        <v/>
      </c>
      <c r="H166">
        <f>IF(COUNTA(B166:C166)&gt;0,1,0)</f>
        <v/>
      </c>
      <c r="I166">
        <f>IF(F166="",0,1)</f>
        <v/>
      </c>
    </row>
    <row r="167">
      <c r="A167" s="41" t="n"/>
      <c r="B167" s="41" t="n"/>
      <c r="C167" s="41" t="n"/>
      <c r="D167" s="41" t="n"/>
      <c r="E167" s="41" t="n"/>
      <c r="F167" s="19">
        <f>IF(COUNTA(A167:E167)=0,"",TRIM(IF(A167="","받은 가족 없음 ","")&amp;IF(B167="","보낸 분 없음 ","")&amp;IF(AND(B167&lt;&gt;"",COUNTIFS($B$2:$B$501,B167,$C$2:$C$501,C167)&gt;1),"중복 의심","")))</f>
        <v/>
      </c>
      <c r="G167">
        <f>IF(AND(A167&lt;&gt;"",A167=가족별!$B$1),COUNTIF($A$2:A167,가족별!$B$1),"")</f>
        <v/>
      </c>
      <c r="H167">
        <f>IF(COUNTA(B167:C167)&gt;0,1,0)</f>
        <v/>
      </c>
      <c r="I167">
        <f>IF(F167="",0,1)</f>
        <v/>
      </c>
    </row>
    <row r="168">
      <c r="A168" s="41" t="n"/>
      <c r="B168" s="41" t="n"/>
      <c r="C168" s="41" t="n"/>
      <c r="D168" s="41" t="n"/>
      <c r="E168" s="41" t="n"/>
      <c r="F168" s="19">
        <f>IF(COUNTA(A168:E168)=0,"",TRIM(IF(A168="","받은 가족 없음 ","")&amp;IF(B168="","보낸 분 없음 ","")&amp;IF(AND(B168&lt;&gt;"",COUNTIFS($B$2:$B$501,B168,$C$2:$C$501,C168)&gt;1),"중복 의심","")))</f>
        <v/>
      </c>
      <c r="G168">
        <f>IF(AND(A168&lt;&gt;"",A168=가족별!$B$1),COUNTIF($A$2:A168,가족별!$B$1),"")</f>
        <v/>
      </c>
      <c r="H168">
        <f>IF(COUNTA(B168:C168)&gt;0,1,0)</f>
        <v/>
      </c>
      <c r="I168">
        <f>IF(F168="",0,1)</f>
        <v/>
      </c>
    </row>
    <row r="169">
      <c r="A169" s="41" t="n"/>
      <c r="B169" s="41" t="n"/>
      <c r="C169" s="41" t="n"/>
      <c r="D169" s="41" t="n"/>
      <c r="E169" s="41" t="n"/>
      <c r="F169" s="19">
        <f>IF(COUNTA(A169:E169)=0,"",TRIM(IF(A169="","받은 가족 없음 ","")&amp;IF(B169="","보낸 분 없음 ","")&amp;IF(AND(B169&lt;&gt;"",COUNTIFS($B$2:$B$501,B169,$C$2:$C$501,C169)&gt;1),"중복 의심","")))</f>
        <v/>
      </c>
      <c r="G169">
        <f>IF(AND(A169&lt;&gt;"",A169=가족별!$B$1),COUNTIF($A$2:A169,가족별!$B$1),"")</f>
        <v/>
      </c>
      <c r="H169">
        <f>IF(COUNTA(B169:C169)&gt;0,1,0)</f>
        <v/>
      </c>
      <c r="I169">
        <f>IF(F169="",0,1)</f>
        <v/>
      </c>
    </row>
    <row r="170">
      <c r="A170" s="41" t="n"/>
      <c r="B170" s="41" t="n"/>
      <c r="C170" s="41" t="n"/>
      <c r="D170" s="41" t="n"/>
      <c r="E170" s="41" t="n"/>
      <c r="F170" s="19">
        <f>IF(COUNTA(A170:E170)=0,"",TRIM(IF(A170="","받은 가족 없음 ","")&amp;IF(B170="","보낸 분 없음 ","")&amp;IF(AND(B170&lt;&gt;"",COUNTIFS($B$2:$B$501,B170,$C$2:$C$501,C170)&gt;1),"중복 의심","")))</f>
        <v/>
      </c>
      <c r="G170">
        <f>IF(AND(A170&lt;&gt;"",A170=가족별!$B$1),COUNTIF($A$2:A170,가족별!$B$1),"")</f>
        <v/>
      </c>
      <c r="H170">
        <f>IF(COUNTA(B170:C170)&gt;0,1,0)</f>
        <v/>
      </c>
      <c r="I170">
        <f>IF(F170="",0,1)</f>
        <v/>
      </c>
    </row>
    <row r="171">
      <c r="A171" s="41" t="n"/>
      <c r="B171" s="41" t="n"/>
      <c r="C171" s="41" t="n"/>
      <c r="D171" s="41" t="n"/>
      <c r="E171" s="41" t="n"/>
      <c r="F171" s="19">
        <f>IF(COUNTA(A171:E171)=0,"",TRIM(IF(A171="","받은 가족 없음 ","")&amp;IF(B171="","보낸 분 없음 ","")&amp;IF(AND(B171&lt;&gt;"",COUNTIFS($B$2:$B$501,B171,$C$2:$C$501,C171)&gt;1),"중복 의심","")))</f>
        <v/>
      </c>
      <c r="G171">
        <f>IF(AND(A171&lt;&gt;"",A171=가족별!$B$1),COUNTIF($A$2:A171,가족별!$B$1),"")</f>
        <v/>
      </c>
      <c r="H171">
        <f>IF(COUNTA(B171:C171)&gt;0,1,0)</f>
        <v/>
      </c>
      <c r="I171">
        <f>IF(F171="",0,1)</f>
        <v/>
      </c>
    </row>
    <row r="172">
      <c r="A172" s="41" t="n"/>
      <c r="B172" s="41" t="n"/>
      <c r="C172" s="41" t="n"/>
      <c r="D172" s="41" t="n"/>
      <c r="E172" s="41" t="n"/>
      <c r="F172" s="19">
        <f>IF(COUNTA(A172:E172)=0,"",TRIM(IF(A172="","받은 가족 없음 ","")&amp;IF(B172="","보낸 분 없음 ","")&amp;IF(AND(B172&lt;&gt;"",COUNTIFS($B$2:$B$501,B172,$C$2:$C$501,C172)&gt;1),"중복 의심","")))</f>
        <v/>
      </c>
      <c r="G172">
        <f>IF(AND(A172&lt;&gt;"",A172=가족별!$B$1),COUNTIF($A$2:A172,가족별!$B$1),"")</f>
        <v/>
      </c>
      <c r="H172">
        <f>IF(COUNTA(B172:C172)&gt;0,1,0)</f>
        <v/>
      </c>
      <c r="I172">
        <f>IF(F172="",0,1)</f>
        <v/>
      </c>
    </row>
    <row r="173">
      <c r="A173" s="41" t="n"/>
      <c r="B173" s="41" t="n"/>
      <c r="C173" s="41" t="n"/>
      <c r="D173" s="41" t="n"/>
      <c r="E173" s="41" t="n"/>
      <c r="F173" s="19">
        <f>IF(COUNTA(A173:E173)=0,"",TRIM(IF(A173="","받은 가족 없음 ","")&amp;IF(B173="","보낸 분 없음 ","")&amp;IF(AND(B173&lt;&gt;"",COUNTIFS($B$2:$B$501,B173,$C$2:$C$501,C173)&gt;1),"중복 의심","")))</f>
        <v/>
      </c>
      <c r="G173">
        <f>IF(AND(A173&lt;&gt;"",A173=가족별!$B$1),COUNTIF($A$2:A173,가족별!$B$1),"")</f>
        <v/>
      </c>
      <c r="H173">
        <f>IF(COUNTA(B173:C173)&gt;0,1,0)</f>
        <v/>
      </c>
      <c r="I173">
        <f>IF(F173="",0,1)</f>
        <v/>
      </c>
    </row>
    <row r="174">
      <c r="A174" s="41" t="n"/>
      <c r="B174" s="41" t="n"/>
      <c r="C174" s="41" t="n"/>
      <c r="D174" s="41" t="n"/>
      <c r="E174" s="41" t="n"/>
      <c r="F174" s="19">
        <f>IF(COUNTA(A174:E174)=0,"",TRIM(IF(A174="","받은 가족 없음 ","")&amp;IF(B174="","보낸 분 없음 ","")&amp;IF(AND(B174&lt;&gt;"",COUNTIFS($B$2:$B$501,B174,$C$2:$C$501,C174)&gt;1),"중복 의심","")))</f>
        <v/>
      </c>
      <c r="G174">
        <f>IF(AND(A174&lt;&gt;"",A174=가족별!$B$1),COUNTIF($A$2:A174,가족별!$B$1),"")</f>
        <v/>
      </c>
      <c r="H174">
        <f>IF(COUNTA(B174:C174)&gt;0,1,0)</f>
        <v/>
      </c>
      <c r="I174">
        <f>IF(F174="",0,1)</f>
        <v/>
      </c>
    </row>
    <row r="175">
      <c r="A175" s="41" t="n"/>
      <c r="B175" s="41" t="n"/>
      <c r="C175" s="41" t="n"/>
      <c r="D175" s="41" t="n"/>
      <c r="E175" s="41" t="n"/>
      <c r="F175" s="19">
        <f>IF(COUNTA(A175:E175)=0,"",TRIM(IF(A175="","받은 가족 없음 ","")&amp;IF(B175="","보낸 분 없음 ","")&amp;IF(AND(B175&lt;&gt;"",COUNTIFS($B$2:$B$501,B175,$C$2:$C$501,C175)&gt;1),"중복 의심","")))</f>
        <v/>
      </c>
      <c r="G175">
        <f>IF(AND(A175&lt;&gt;"",A175=가족별!$B$1),COUNTIF($A$2:A175,가족별!$B$1),"")</f>
        <v/>
      </c>
      <c r="H175">
        <f>IF(COUNTA(B175:C175)&gt;0,1,0)</f>
        <v/>
      </c>
      <c r="I175">
        <f>IF(F175="",0,1)</f>
        <v/>
      </c>
    </row>
    <row r="176">
      <c r="A176" s="41" t="n"/>
      <c r="B176" s="41" t="n"/>
      <c r="C176" s="41" t="n"/>
      <c r="D176" s="41" t="n"/>
      <c r="E176" s="41" t="n"/>
      <c r="F176" s="19">
        <f>IF(COUNTA(A176:E176)=0,"",TRIM(IF(A176="","받은 가족 없음 ","")&amp;IF(B176="","보낸 분 없음 ","")&amp;IF(AND(B176&lt;&gt;"",COUNTIFS($B$2:$B$501,B176,$C$2:$C$501,C176)&gt;1),"중복 의심","")))</f>
        <v/>
      </c>
      <c r="G176">
        <f>IF(AND(A176&lt;&gt;"",A176=가족별!$B$1),COUNTIF($A$2:A176,가족별!$B$1),"")</f>
        <v/>
      </c>
      <c r="H176">
        <f>IF(COUNTA(B176:C176)&gt;0,1,0)</f>
        <v/>
      </c>
      <c r="I176">
        <f>IF(F176="",0,1)</f>
        <v/>
      </c>
    </row>
    <row r="177">
      <c r="A177" s="41" t="n"/>
      <c r="B177" s="41" t="n"/>
      <c r="C177" s="41" t="n"/>
      <c r="D177" s="41" t="n"/>
      <c r="E177" s="41" t="n"/>
      <c r="F177" s="19">
        <f>IF(COUNTA(A177:E177)=0,"",TRIM(IF(A177="","받은 가족 없음 ","")&amp;IF(B177="","보낸 분 없음 ","")&amp;IF(AND(B177&lt;&gt;"",COUNTIFS($B$2:$B$501,B177,$C$2:$C$501,C177)&gt;1),"중복 의심","")))</f>
        <v/>
      </c>
      <c r="G177">
        <f>IF(AND(A177&lt;&gt;"",A177=가족별!$B$1),COUNTIF($A$2:A177,가족별!$B$1),"")</f>
        <v/>
      </c>
      <c r="H177">
        <f>IF(COUNTA(B177:C177)&gt;0,1,0)</f>
        <v/>
      </c>
      <c r="I177">
        <f>IF(F177="",0,1)</f>
        <v/>
      </c>
    </row>
    <row r="178">
      <c r="A178" s="41" t="n"/>
      <c r="B178" s="41" t="n"/>
      <c r="C178" s="41" t="n"/>
      <c r="D178" s="41" t="n"/>
      <c r="E178" s="41" t="n"/>
      <c r="F178" s="19">
        <f>IF(COUNTA(A178:E178)=0,"",TRIM(IF(A178="","받은 가족 없음 ","")&amp;IF(B178="","보낸 분 없음 ","")&amp;IF(AND(B178&lt;&gt;"",COUNTIFS($B$2:$B$501,B178,$C$2:$C$501,C178)&gt;1),"중복 의심","")))</f>
        <v/>
      </c>
      <c r="G178">
        <f>IF(AND(A178&lt;&gt;"",A178=가족별!$B$1),COUNTIF($A$2:A178,가족별!$B$1),"")</f>
        <v/>
      </c>
      <c r="H178">
        <f>IF(COUNTA(B178:C178)&gt;0,1,0)</f>
        <v/>
      </c>
      <c r="I178">
        <f>IF(F178="",0,1)</f>
        <v/>
      </c>
    </row>
    <row r="179">
      <c r="A179" s="41" t="n"/>
      <c r="B179" s="41" t="n"/>
      <c r="C179" s="41" t="n"/>
      <c r="D179" s="41" t="n"/>
      <c r="E179" s="41" t="n"/>
      <c r="F179" s="19">
        <f>IF(COUNTA(A179:E179)=0,"",TRIM(IF(A179="","받은 가족 없음 ","")&amp;IF(B179="","보낸 분 없음 ","")&amp;IF(AND(B179&lt;&gt;"",COUNTIFS($B$2:$B$501,B179,$C$2:$C$501,C179)&gt;1),"중복 의심","")))</f>
        <v/>
      </c>
      <c r="G179">
        <f>IF(AND(A179&lt;&gt;"",A179=가족별!$B$1),COUNTIF($A$2:A179,가족별!$B$1),"")</f>
        <v/>
      </c>
      <c r="H179">
        <f>IF(COUNTA(B179:C179)&gt;0,1,0)</f>
        <v/>
      </c>
      <c r="I179">
        <f>IF(F179="",0,1)</f>
        <v/>
      </c>
    </row>
    <row r="180">
      <c r="A180" s="41" t="n"/>
      <c r="B180" s="41" t="n"/>
      <c r="C180" s="41" t="n"/>
      <c r="D180" s="41" t="n"/>
      <c r="E180" s="41" t="n"/>
      <c r="F180" s="19">
        <f>IF(COUNTA(A180:E180)=0,"",TRIM(IF(A180="","받은 가족 없음 ","")&amp;IF(B180="","보낸 분 없음 ","")&amp;IF(AND(B180&lt;&gt;"",COUNTIFS($B$2:$B$501,B180,$C$2:$C$501,C180)&gt;1),"중복 의심","")))</f>
        <v/>
      </c>
      <c r="G180">
        <f>IF(AND(A180&lt;&gt;"",A180=가족별!$B$1),COUNTIF($A$2:A180,가족별!$B$1),"")</f>
        <v/>
      </c>
      <c r="H180">
        <f>IF(COUNTA(B180:C180)&gt;0,1,0)</f>
        <v/>
      </c>
      <c r="I180">
        <f>IF(F180="",0,1)</f>
        <v/>
      </c>
    </row>
    <row r="181">
      <c r="A181" s="41" t="n"/>
      <c r="B181" s="41" t="n"/>
      <c r="C181" s="41" t="n"/>
      <c r="D181" s="41" t="n"/>
      <c r="E181" s="41" t="n"/>
      <c r="F181" s="19">
        <f>IF(COUNTA(A181:E181)=0,"",TRIM(IF(A181="","받은 가족 없음 ","")&amp;IF(B181="","보낸 분 없음 ","")&amp;IF(AND(B181&lt;&gt;"",COUNTIFS($B$2:$B$501,B181,$C$2:$C$501,C181)&gt;1),"중복 의심","")))</f>
        <v/>
      </c>
      <c r="G181">
        <f>IF(AND(A181&lt;&gt;"",A181=가족별!$B$1),COUNTIF($A$2:A181,가족별!$B$1),"")</f>
        <v/>
      </c>
      <c r="H181">
        <f>IF(COUNTA(B181:C181)&gt;0,1,0)</f>
        <v/>
      </c>
      <c r="I181">
        <f>IF(F181="",0,1)</f>
        <v/>
      </c>
    </row>
    <row r="182">
      <c r="A182" s="41" t="n"/>
      <c r="B182" s="41" t="n"/>
      <c r="C182" s="41" t="n"/>
      <c r="D182" s="41" t="n"/>
      <c r="E182" s="41" t="n"/>
      <c r="F182" s="19">
        <f>IF(COUNTA(A182:E182)=0,"",TRIM(IF(A182="","받은 가족 없음 ","")&amp;IF(B182="","보낸 분 없음 ","")&amp;IF(AND(B182&lt;&gt;"",COUNTIFS($B$2:$B$501,B182,$C$2:$C$501,C182)&gt;1),"중복 의심","")))</f>
        <v/>
      </c>
      <c r="G182">
        <f>IF(AND(A182&lt;&gt;"",A182=가족별!$B$1),COUNTIF($A$2:A182,가족별!$B$1),"")</f>
        <v/>
      </c>
      <c r="H182">
        <f>IF(COUNTA(B182:C182)&gt;0,1,0)</f>
        <v/>
      </c>
      <c r="I182">
        <f>IF(F182="",0,1)</f>
        <v/>
      </c>
    </row>
    <row r="183">
      <c r="A183" s="41" t="n"/>
      <c r="B183" s="41" t="n"/>
      <c r="C183" s="41" t="n"/>
      <c r="D183" s="41" t="n"/>
      <c r="E183" s="41" t="n"/>
      <c r="F183" s="19">
        <f>IF(COUNTA(A183:E183)=0,"",TRIM(IF(A183="","받은 가족 없음 ","")&amp;IF(B183="","보낸 분 없음 ","")&amp;IF(AND(B183&lt;&gt;"",COUNTIFS($B$2:$B$501,B183,$C$2:$C$501,C183)&gt;1),"중복 의심","")))</f>
        <v/>
      </c>
      <c r="G183">
        <f>IF(AND(A183&lt;&gt;"",A183=가족별!$B$1),COUNTIF($A$2:A183,가족별!$B$1),"")</f>
        <v/>
      </c>
      <c r="H183">
        <f>IF(COUNTA(B183:C183)&gt;0,1,0)</f>
        <v/>
      </c>
      <c r="I183">
        <f>IF(F183="",0,1)</f>
        <v/>
      </c>
    </row>
    <row r="184">
      <c r="A184" s="41" t="n"/>
      <c r="B184" s="41" t="n"/>
      <c r="C184" s="41" t="n"/>
      <c r="D184" s="41" t="n"/>
      <c r="E184" s="41" t="n"/>
      <c r="F184" s="19">
        <f>IF(COUNTA(A184:E184)=0,"",TRIM(IF(A184="","받은 가족 없음 ","")&amp;IF(B184="","보낸 분 없음 ","")&amp;IF(AND(B184&lt;&gt;"",COUNTIFS($B$2:$B$501,B184,$C$2:$C$501,C184)&gt;1),"중복 의심","")))</f>
        <v/>
      </c>
      <c r="G184">
        <f>IF(AND(A184&lt;&gt;"",A184=가족별!$B$1),COUNTIF($A$2:A184,가족별!$B$1),"")</f>
        <v/>
      </c>
      <c r="H184">
        <f>IF(COUNTA(B184:C184)&gt;0,1,0)</f>
        <v/>
      </c>
      <c r="I184">
        <f>IF(F184="",0,1)</f>
        <v/>
      </c>
    </row>
    <row r="185">
      <c r="A185" s="41" t="n"/>
      <c r="B185" s="41" t="n"/>
      <c r="C185" s="41" t="n"/>
      <c r="D185" s="41" t="n"/>
      <c r="E185" s="41" t="n"/>
      <c r="F185" s="19">
        <f>IF(COUNTA(A185:E185)=0,"",TRIM(IF(A185="","받은 가족 없음 ","")&amp;IF(B185="","보낸 분 없음 ","")&amp;IF(AND(B185&lt;&gt;"",COUNTIFS($B$2:$B$501,B185,$C$2:$C$501,C185)&gt;1),"중복 의심","")))</f>
        <v/>
      </c>
      <c r="G185">
        <f>IF(AND(A185&lt;&gt;"",A185=가족별!$B$1),COUNTIF($A$2:A185,가족별!$B$1),"")</f>
        <v/>
      </c>
      <c r="H185">
        <f>IF(COUNTA(B185:C185)&gt;0,1,0)</f>
        <v/>
      </c>
      <c r="I185">
        <f>IF(F185="",0,1)</f>
        <v/>
      </c>
    </row>
    <row r="186">
      <c r="A186" s="41" t="n"/>
      <c r="B186" s="41" t="n"/>
      <c r="C186" s="41" t="n"/>
      <c r="D186" s="41" t="n"/>
      <c r="E186" s="41" t="n"/>
      <c r="F186" s="19">
        <f>IF(COUNTA(A186:E186)=0,"",TRIM(IF(A186="","받은 가족 없음 ","")&amp;IF(B186="","보낸 분 없음 ","")&amp;IF(AND(B186&lt;&gt;"",COUNTIFS($B$2:$B$501,B186,$C$2:$C$501,C186)&gt;1),"중복 의심","")))</f>
        <v/>
      </c>
      <c r="G186">
        <f>IF(AND(A186&lt;&gt;"",A186=가족별!$B$1),COUNTIF($A$2:A186,가족별!$B$1),"")</f>
        <v/>
      </c>
      <c r="H186">
        <f>IF(COUNTA(B186:C186)&gt;0,1,0)</f>
        <v/>
      </c>
      <c r="I186">
        <f>IF(F186="",0,1)</f>
        <v/>
      </c>
    </row>
    <row r="187">
      <c r="A187" s="41" t="n"/>
      <c r="B187" s="41" t="n"/>
      <c r="C187" s="41" t="n"/>
      <c r="D187" s="41" t="n"/>
      <c r="E187" s="41" t="n"/>
      <c r="F187" s="19">
        <f>IF(COUNTA(A187:E187)=0,"",TRIM(IF(A187="","받은 가족 없음 ","")&amp;IF(B187="","보낸 분 없음 ","")&amp;IF(AND(B187&lt;&gt;"",COUNTIFS($B$2:$B$501,B187,$C$2:$C$501,C187)&gt;1),"중복 의심","")))</f>
        <v/>
      </c>
      <c r="G187">
        <f>IF(AND(A187&lt;&gt;"",A187=가족별!$B$1),COUNTIF($A$2:A187,가족별!$B$1),"")</f>
        <v/>
      </c>
      <c r="H187">
        <f>IF(COUNTA(B187:C187)&gt;0,1,0)</f>
        <v/>
      </c>
      <c r="I187">
        <f>IF(F187="",0,1)</f>
        <v/>
      </c>
    </row>
    <row r="188">
      <c r="A188" s="41" t="n"/>
      <c r="B188" s="41" t="n"/>
      <c r="C188" s="41" t="n"/>
      <c r="D188" s="41" t="n"/>
      <c r="E188" s="41" t="n"/>
      <c r="F188" s="19">
        <f>IF(COUNTA(A188:E188)=0,"",TRIM(IF(A188="","받은 가족 없음 ","")&amp;IF(B188="","보낸 분 없음 ","")&amp;IF(AND(B188&lt;&gt;"",COUNTIFS($B$2:$B$501,B188,$C$2:$C$501,C188)&gt;1),"중복 의심","")))</f>
        <v/>
      </c>
      <c r="G188">
        <f>IF(AND(A188&lt;&gt;"",A188=가족별!$B$1),COUNTIF($A$2:A188,가족별!$B$1),"")</f>
        <v/>
      </c>
      <c r="H188">
        <f>IF(COUNTA(B188:C188)&gt;0,1,0)</f>
        <v/>
      </c>
      <c r="I188">
        <f>IF(F188="",0,1)</f>
        <v/>
      </c>
    </row>
    <row r="189">
      <c r="A189" s="41" t="n"/>
      <c r="B189" s="41" t="n"/>
      <c r="C189" s="41" t="n"/>
      <c r="D189" s="41" t="n"/>
      <c r="E189" s="41" t="n"/>
      <c r="F189" s="19">
        <f>IF(COUNTA(A189:E189)=0,"",TRIM(IF(A189="","받은 가족 없음 ","")&amp;IF(B189="","보낸 분 없음 ","")&amp;IF(AND(B189&lt;&gt;"",COUNTIFS($B$2:$B$501,B189,$C$2:$C$501,C189)&gt;1),"중복 의심","")))</f>
        <v/>
      </c>
      <c r="G189">
        <f>IF(AND(A189&lt;&gt;"",A189=가족별!$B$1),COUNTIF($A$2:A189,가족별!$B$1),"")</f>
        <v/>
      </c>
      <c r="H189">
        <f>IF(COUNTA(B189:C189)&gt;0,1,0)</f>
        <v/>
      </c>
      <c r="I189">
        <f>IF(F189="",0,1)</f>
        <v/>
      </c>
    </row>
    <row r="190">
      <c r="A190" s="41" t="n"/>
      <c r="B190" s="41" t="n"/>
      <c r="C190" s="41" t="n"/>
      <c r="D190" s="41" t="n"/>
      <c r="E190" s="41" t="n"/>
      <c r="F190" s="19">
        <f>IF(COUNTA(A190:E190)=0,"",TRIM(IF(A190="","받은 가족 없음 ","")&amp;IF(B190="","보낸 분 없음 ","")&amp;IF(AND(B190&lt;&gt;"",COUNTIFS($B$2:$B$501,B190,$C$2:$C$501,C190)&gt;1),"중복 의심","")))</f>
        <v/>
      </c>
      <c r="G190">
        <f>IF(AND(A190&lt;&gt;"",A190=가족별!$B$1),COUNTIF($A$2:A190,가족별!$B$1),"")</f>
        <v/>
      </c>
      <c r="H190">
        <f>IF(COUNTA(B190:C190)&gt;0,1,0)</f>
        <v/>
      </c>
      <c r="I190">
        <f>IF(F190="",0,1)</f>
        <v/>
      </c>
    </row>
    <row r="191">
      <c r="A191" s="41" t="n"/>
      <c r="B191" s="41" t="n"/>
      <c r="C191" s="41" t="n"/>
      <c r="D191" s="41" t="n"/>
      <c r="E191" s="41" t="n"/>
      <c r="F191" s="19">
        <f>IF(COUNTA(A191:E191)=0,"",TRIM(IF(A191="","받은 가족 없음 ","")&amp;IF(B191="","보낸 분 없음 ","")&amp;IF(AND(B191&lt;&gt;"",COUNTIFS($B$2:$B$501,B191,$C$2:$C$501,C191)&gt;1),"중복 의심","")))</f>
        <v/>
      </c>
      <c r="G191">
        <f>IF(AND(A191&lt;&gt;"",A191=가족별!$B$1),COUNTIF($A$2:A191,가족별!$B$1),"")</f>
        <v/>
      </c>
      <c r="H191">
        <f>IF(COUNTA(B191:C191)&gt;0,1,0)</f>
        <v/>
      </c>
      <c r="I191">
        <f>IF(F191="",0,1)</f>
        <v/>
      </c>
    </row>
    <row r="192">
      <c r="A192" s="41" t="n"/>
      <c r="B192" s="41" t="n"/>
      <c r="C192" s="41" t="n"/>
      <c r="D192" s="41" t="n"/>
      <c r="E192" s="41" t="n"/>
      <c r="F192" s="19">
        <f>IF(COUNTA(A192:E192)=0,"",TRIM(IF(A192="","받은 가족 없음 ","")&amp;IF(B192="","보낸 분 없음 ","")&amp;IF(AND(B192&lt;&gt;"",COUNTIFS($B$2:$B$501,B192,$C$2:$C$501,C192)&gt;1),"중복 의심","")))</f>
        <v/>
      </c>
      <c r="G192">
        <f>IF(AND(A192&lt;&gt;"",A192=가족별!$B$1),COUNTIF($A$2:A192,가족별!$B$1),"")</f>
        <v/>
      </c>
      <c r="H192">
        <f>IF(COUNTA(B192:C192)&gt;0,1,0)</f>
        <v/>
      </c>
      <c r="I192">
        <f>IF(F192="",0,1)</f>
        <v/>
      </c>
    </row>
    <row r="193">
      <c r="A193" s="41" t="n"/>
      <c r="B193" s="41" t="n"/>
      <c r="C193" s="41" t="n"/>
      <c r="D193" s="41" t="n"/>
      <c r="E193" s="41" t="n"/>
      <c r="F193" s="19">
        <f>IF(COUNTA(A193:E193)=0,"",TRIM(IF(A193="","받은 가족 없음 ","")&amp;IF(B193="","보낸 분 없음 ","")&amp;IF(AND(B193&lt;&gt;"",COUNTIFS($B$2:$B$501,B193,$C$2:$C$501,C193)&gt;1),"중복 의심","")))</f>
        <v/>
      </c>
      <c r="G193">
        <f>IF(AND(A193&lt;&gt;"",A193=가족별!$B$1),COUNTIF($A$2:A193,가족별!$B$1),"")</f>
        <v/>
      </c>
      <c r="H193">
        <f>IF(COUNTA(B193:C193)&gt;0,1,0)</f>
        <v/>
      </c>
      <c r="I193">
        <f>IF(F193="",0,1)</f>
        <v/>
      </c>
    </row>
    <row r="194">
      <c r="A194" s="41" t="n"/>
      <c r="B194" s="41" t="n"/>
      <c r="C194" s="41" t="n"/>
      <c r="D194" s="41" t="n"/>
      <c r="E194" s="41" t="n"/>
      <c r="F194" s="19">
        <f>IF(COUNTA(A194:E194)=0,"",TRIM(IF(A194="","받은 가족 없음 ","")&amp;IF(B194="","보낸 분 없음 ","")&amp;IF(AND(B194&lt;&gt;"",COUNTIFS($B$2:$B$501,B194,$C$2:$C$501,C194)&gt;1),"중복 의심","")))</f>
        <v/>
      </c>
      <c r="G194">
        <f>IF(AND(A194&lt;&gt;"",A194=가족별!$B$1),COUNTIF($A$2:A194,가족별!$B$1),"")</f>
        <v/>
      </c>
      <c r="H194">
        <f>IF(COUNTA(B194:C194)&gt;0,1,0)</f>
        <v/>
      </c>
      <c r="I194">
        <f>IF(F194="",0,1)</f>
        <v/>
      </c>
    </row>
    <row r="195">
      <c r="A195" s="41" t="n"/>
      <c r="B195" s="41" t="n"/>
      <c r="C195" s="41" t="n"/>
      <c r="D195" s="41" t="n"/>
      <c r="E195" s="41" t="n"/>
      <c r="F195" s="19">
        <f>IF(COUNTA(A195:E195)=0,"",TRIM(IF(A195="","받은 가족 없음 ","")&amp;IF(B195="","보낸 분 없음 ","")&amp;IF(AND(B195&lt;&gt;"",COUNTIFS($B$2:$B$501,B195,$C$2:$C$501,C195)&gt;1),"중복 의심","")))</f>
        <v/>
      </c>
      <c r="G195">
        <f>IF(AND(A195&lt;&gt;"",A195=가족별!$B$1),COUNTIF($A$2:A195,가족별!$B$1),"")</f>
        <v/>
      </c>
      <c r="H195">
        <f>IF(COUNTA(B195:C195)&gt;0,1,0)</f>
        <v/>
      </c>
      <c r="I195">
        <f>IF(F195="",0,1)</f>
        <v/>
      </c>
    </row>
    <row r="196">
      <c r="A196" s="41" t="n"/>
      <c r="B196" s="41" t="n"/>
      <c r="C196" s="41" t="n"/>
      <c r="D196" s="41" t="n"/>
      <c r="E196" s="41" t="n"/>
      <c r="F196" s="19">
        <f>IF(COUNTA(A196:E196)=0,"",TRIM(IF(A196="","받은 가족 없음 ","")&amp;IF(B196="","보낸 분 없음 ","")&amp;IF(AND(B196&lt;&gt;"",COUNTIFS($B$2:$B$501,B196,$C$2:$C$501,C196)&gt;1),"중복 의심","")))</f>
        <v/>
      </c>
      <c r="G196">
        <f>IF(AND(A196&lt;&gt;"",A196=가족별!$B$1),COUNTIF($A$2:A196,가족별!$B$1),"")</f>
        <v/>
      </c>
      <c r="H196">
        <f>IF(COUNTA(B196:C196)&gt;0,1,0)</f>
        <v/>
      </c>
      <c r="I196">
        <f>IF(F196="",0,1)</f>
        <v/>
      </c>
    </row>
    <row r="197">
      <c r="A197" s="41" t="n"/>
      <c r="B197" s="41" t="n"/>
      <c r="C197" s="41" t="n"/>
      <c r="D197" s="41" t="n"/>
      <c r="E197" s="41" t="n"/>
      <c r="F197" s="19">
        <f>IF(COUNTA(A197:E197)=0,"",TRIM(IF(A197="","받은 가족 없음 ","")&amp;IF(B197="","보낸 분 없음 ","")&amp;IF(AND(B197&lt;&gt;"",COUNTIFS($B$2:$B$501,B197,$C$2:$C$501,C197)&gt;1),"중복 의심","")))</f>
        <v/>
      </c>
      <c r="G197">
        <f>IF(AND(A197&lt;&gt;"",A197=가족별!$B$1),COUNTIF($A$2:A197,가족별!$B$1),"")</f>
        <v/>
      </c>
      <c r="H197">
        <f>IF(COUNTA(B197:C197)&gt;0,1,0)</f>
        <v/>
      </c>
      <c r="I197">
        <f>IF(F197="",0,1)</f>
        <v/>
      </c>
    </row>
    <row r="198">
      <c r="A198" s="41" t="n"/>
      <c r="B198" s="41" t="n"/>
      <c r="C198" s="41" t="n"/>
      <c r="D198" s="41" t="n"/>
      <c r="E198" s="41" t="n"/>
      <c r="F198" s="19">
        <f>IF(COUNTA(A198:E198)=0,"",TRIM(IF(A198="","받은 가족 없음 ","")&amp;IF(B198="","보낸 분 없음 ","")&amp;IF(AND(B198&lt;&gt;"",COUNTIFS($B$2:$B$501,B198,$C$2:$C$501,C198)&gt;1),"중복 의심","")))</f>
        <v/>
      </c>
      <c r="G198">
        <f>IF(AND(A198&lt;&gt;"",A198=가족별!$B$1),COUNTIF($A$2:A198,가족별!$B$1),"")</f>
        <v/>
      </c>
      <c r="H198">
        <f>IF(COUNTA(B198:C198)&gt;0,1,0)</f>
        <v/>
      </c>
      <c r="I198">
        <f>IF(F198="",0,1)</f>
        <v/>
      </c>
    </row>
    <row r="199">
      <c r="A199" s="41" t="n"/>
      <c r="B199" s="41" t="n"/>
      <c r="C199" s="41" t="n"/>
      <c r="D199" s="41" t="n"/>
      <c r="E199" s="41" t="n"/>
      <c r="F199" s="19">
        <f>IF(COUNTA(A199:E199)=0,"",TRIM(IF(A199="","받은 가족 없음 ","")&amp;IF(B199="","보낸 분 없음 ","")&amp;IF(AND(B199&lt;&gt;"",COUNTIFS($B$2:$B$501,B199,$C$2:$C$501,C199)&gt;1),"중복 의심","")))</f>
        <v/>
      </c>
      <c r="G199">
        <f>IF(AND(A199&lt;&gt;"",A199=가족별!$B$1),COUNTIF($A$2:A199,가족별!$B$1),"")</f>
        <v/>
      </c>
      <c r="H199">
        <f>IF(COUNTA(B199:C199)&gt;0,1,0)</f>
        <v/>
      </c>
      <c r="I199">
        <f>IF(F199="",0,1)</f>
        <v/>
      </c>
    </row>
    <row r="200">
      <c r="A200" s="41" t="n"/>
      <c r="B200" s="41" t="n"/>
      <c r="C200" s="41" t="n"/>
      <c r="D200" s="41" t="n"/>
      <c r="E200" s="41" t="n"/>
      <c r="F200" s="19">
        <f>IF(COUNTA(A200:E200)=0,"",TRIM(IF(A200="","받은 가족 없음 ","")&amp;IF(B200="","보낸 분 없음 ","")&amp;IF(AND(B200&lt;&gt;"",COUNTIFS($B$2:$B$501,B200,$C$2:$C$501,C200)&gt;1),"중복 의심","")))</f>
        <v/>
      </c>
      <c r="G200">
        <f>IF(AND(A200&lt;&gt;"",A200=가족별!$B$1),COUNTIF($A$2:A200,가족별!$B$1),"")</f>
        <v/>
      </c>
      <c r="H200">
        <f>IF(COUNTA(B200:C200)&gt;0,1,0)</f>
        <v/>
      </c>
      <c r="I200">
        <f>IF(F200="",0,1)</f>
        <v/>
      </c>
    </row>
    <row r="201">
      <c r="A201" s="41" t="n"/>
      <c r="B201" s="41" t="n"/>
      <c r="C201" s="41" t="n"/>
      <c r="D201" s="41" t="n"/>
      <c r="E201" s="41" t="n"/>
      <c r="F201" s="19">
        <f>IF(COUNTA(A201:E201)=0,"",TRIM(IF(A201="","받은 가족 없음 ","")&amp;IF(B201="","보낸 분 없음 ","")&amp;IF(AND(B201&lt;&gt;"",COUNTIFS($B$2:$B$501,B201,$C$2:$C$501,C201)&gt;1),"중복 의심","")))</f>
        <v/>
      </c>
      <c r="G201">
        <f>IF(AND(A201&lt;&gt;"",A201=가족별!$B$1),COUNTIF($A$2:A201,가족별!$B$1),"")</f>
        <v/>
      </c>
      <c r="H201">
        <f>IF(COUNTA(B201:C201)&gt;0,1,0)</f>
        <v/>
      </c>
      <c r="I201">
        <f>IF(F201="",0,1)</f>
        <v/>
      </c>
    </row>
    <row r="202">
      <c r="A202" s="41" t="n"/>
      <c r="B202" s="41" t="n"/>
      <c r="C202" s="41" t="n"/>
      <c r="D202" s="41" t="n"/>
      <c r="E202" s="41" t="n"/>
      <c r="F202" s="19">
        <f>IF(COUNTA(A202:E202)=0,"",TRIM(IF(A202="","받은 가족 없음 ","")&amp;IF(B202="","보낸 분 없음 ","")&amp;IF(AND(B202&lt;&gt;"",COUNTIFS($B$2:$B$501,B202,$C$2:$C$501,C202)&gt;1),"중복 의심","")))</f>
        <v/>
      </c>
      <c r="G202">
        <f>IF(AND(A202&lt;&gt;"",A202=가족별!$B$1),COUNTIF($A$2:A202,가족별!$B$1),"")</f>
        <v/>
      </c>
      <c r="H202">
        <f>IF(COUNTA(B202:C202)&gt;0,1,0)</f>
        <v/>
      </c>
      <c r="I202">
        <f>IF(F202="",0,1)</f>
        <v/>
      </c>
    </row>
    <row r="203">
      <c r="A203" s="41" t="n"/>
      <c r="B203" s="41" t="n"/>
      <c r="C203" s="41" t="n"/>
      <c r="D203" s="41" t="n"/>
      <c r="E203" s="41" t="n"/>
      <c r="F203" s="19">
        <f>IF(COUNTA(A203:E203)=0,"",TRIM(IF(A203="","받은 가족 없음 ","")&amp;IF(B203="","보낸 분 없음 ","")&amp;IF(AND(B203&lt;&gt;"",COUNTIFS($B$2:$B$501,B203,$C$2:$C$501,C203)&gt;1),"중복 의심","")))</f>
        <v/>
      </c>
      <c r="G203">
        <f>IF(AND(A203&lt;&gt;"",A203=가족별!$B$1),COUNTIF($A$2:A203,가족별!$B$1),"")</f>
        <v/>
      </c>
      <c r="H203">
        <f>IF(COUNTA(B203:C203)&gt;0,1,0)</f>
        <v/>
      </c>
      <c r="I203">
        <f>IF(F203="",0,1)</f>
        <v/>
      </c>
    </row>
    <row r="204">
      <c r="A204" s="41" t="n"/>
      <c r="B204" s="41" t="n"/>
      <c r="C204" s="41" t="n"/>
      <c r="D204" s="41" t="n"/>
      <c r="E204" s="41" t="n"/>
      <c r="F204" s="19">
        <f>IF(COUNTA(A204:E204)=0,"",TRIM(IF(A204="","받은 가족 없음 ","")&amp;IF(B204="","보낸 분 없음 ","")&amp;IF(AND(B204&lt;&gt;"",COUNTIFS($B$2:$B$501,B204,$C$2:$C$501,C204)&gt;1),"중복 의심","")))</f>
        <v/>
      </c>
      <c r="G204">
        <f>IF(AND(A204&lt;&gt;"",A204=가족별!$B$1),COUNTIF($A$2:A204,가족별!$B$1),"")</f>
        <v/>
      </c>
      <c r="H204">
        <f>IF(COUNTA(B204:C204)&gt;0,1,0)</f>
        <v/>
      </c>
      <c r="I204">
        <f>IF(F204="",0,1)</f>
        <v/>
      </c>
    </row>
    <row r="205">
      <c r="A205" s="41" t="n"/>
      <c r="B205" s="41" t="n"/>
      <c r="C205" s="41" t="n"/>
      <c r="D205" s="41" t="n"/>
      <c r="E205" s="41" t="n"/>
      <c r="F205" s="19">
        <f>IF(COUNTA(A205:E205)=0,"",TRIM(IF(A205="","받은 가족 없음 ","")&amp;IF(B205="","보낸 분 없음 ","")&amp;IF(AND(B205&lt;&gt;"",COUNTIFS($B$2:$B$501,B205,$C$2:$C$501,C205)&gt;1),"중복 의심","")))</f>
        <v/>
      </c>
      <c r="G205">
        <f>IF(AND(A205&lt;&gt;"",A205=가족별!$B$1),COUNTIF($A$2:A205,가족별!$B$1),"")</f>
        <v/>
      </c>
      <c r="H205">
        <f>IF(COUNTA(B205:C205)&gt;0,1,0)</f>
        <v/>
      </c>
      <c r="I205">
        <f>IF(F205="",0,1)</f>
        <v/>
      </c>
    </row>
    <row r="206">
      <c r="A206" s="41" t="n"/>
      <c r="B206" s="41" t="n"/>
      <c r="C206" s="41" t="n"/>
      <c r="D206" s="41" t="n"/>
      <c r="E206" s="41" t="n"/>
      <c r="F206" s="19">
        <f>IF(COUNTA(A206:E206)=0,"",TRIM(IF(A206="","받은 가족 없음 ","")&amp;IF(B206="","보낸 분 없음 ","")&amp;IF(AND(B206&lt;&gt;"",COUNTIFS($B$2:$B$501,B206,$C$2:$C$501,C206)&gt;1),"중복 의심","")))</f>
        <v/>
      </c>
      <c r="G206">
        <f>IF(AND(A206&lt;&gt;"",A206=가족별!$B$1),COUNTIF($A$2:A206,가족별!$B$1),"")</f>
        <v/>
      </c>
      <c r="H206">
        <f>IF(COUNTA(B206:C206)&gt;0,1,0)</f>
        <v/>
      </c>
      <c r="I206">
        <f>IF(F206="",0,1)</f>
        <v/>
      </c>
    </row>
    <row r="207">
      <c r="A207" s="41" t="n"/>
      <c r="B207" s="41" t="n"/>
      <c r="C207" s="41" t="n"/>
      <c r="D207" s="41" t="n"/>
      <c r="E207" s="41" t="n"/>
      <c r="F207" s="19">
        <f>IF(COUNTA(A207:E207)=0,"",TRIM(IF(A207="","받은 가족 없음 ","")&amp;IF(B207="","보낸 분 없음 ","")&amp;IF(AND(B207&lt;&gt;"",COUNTIFS($B$2:$B$501,B207,$C$2:$C$501,C207)&gt;1),"중복 의심","")))</f>
        <v/>
      </c>
      <c r="G207">
        <f>IF(AND(A207&lt;&gt;"",A207=가족별!$B$1),COUNTIF($A$2:A207,가족별!$B$1),"")</f>
        <v/>
      </c>
      <c r="H207">
        <f>IF(COUNTA(B207:C207)&gt;0,1,0)</f>
        <v/>
      </c>
      <c r="I207">
        <f>IF(F207="",0,1)</f>
        <v/>
      </c>
    </row>
    <row r="208">
      <c r="A208" s="41" t="n"/>
      <c r="B208" s="41" t="n"/>
      <c r="C208" s="41" t="n"/>
      <c r="D208" s="41" t="n"/>
      <c r="E208" s="41" t="n"/>
      <c r="F208" s="19">
        <f>IF(COUNTA(A208:E208)=0,"",TRIM(IF(A208="","받은 가족 없음 ","")&amp;IF(B208="","보낸 분 없음 ","")&amp;IF(AND(B208&lt;&gt;"",COUNTIFS($B$2:$B$501,B208,$C$2:$C$501,C208)&gt;1),"중복 의심","")))</f>
        <v/>
      </c>
      <c r="G208">
        <f>IF(AND(A208&lt;&gt;"",A208=가족별!$B$1),COUNTIF($A$2:A208,가족별!$B$1),"")</f>
        <v/>
      </c>
      <c r="H208">
        <f>IF(COUNTA(B208:C208)&gt;0,1,0)</f>
        <v/>
      </c>
      <c r="I208">
        <f>IF(F208="",0,1)</f>
        <v/>
      </c>
    </row>
    <row r="209">
      <c r="A209" s="41" t="n"/>
      <c r="B209" s="41" t="n"/>
      <c r="C209" s="41" t="n"/>
      <c r="D209" s="41" t="n"/>
      <c r="E209" s="41" t="n"/>
      <c r="F209" s="19">
        <f>IF(COUNTA(A209:E209)=0,"",TRIM(IF(A209="","받은 가족 없음 ","")&amp;IF(B209="","보낸 분 없음 ","")&amp;IF(AND(B209&lt;&gt;"",COUNTIFS($B$2:$B$501,B209,$C$2:$C$501,C209)&gt;1),"중복 의심","")))</f>
        <v/>
      </c>
      <c r="G209">
        <f>IF(AND(A209&lt;&gt;"",A209=가족별!$B$1),COUNTIF($A$2:A209,가족별!$B$1),"")</f>
        <v/>
      </c>
      <c r="H209">
        <f>IF(COUNTA(B209:C209)&gt;0,1,0)</f>
        <v/>
      </c>
      <c r="I209">
        <f>IF(F209="",0,1)</f>
        <v/>
      </c>
    </row>
    <row r="210">
      <c r="A210" s="41" t="n"/>
      <c r="B210" s="41" t="n"/>
      <c r="C210" s="41" t="n"/>
      <c r="D210" s="41" t="n"/>
      <c r="E210" s="41" t="n"/>
      <c r="F210" s="19">
        <f>IF(COUNTA(A210:E210)=0,"",TRIM(IF(A210="","받은 가족 없음 ","")&amp;IF(B210="","보낸 분 없음 ","")&amp;IF(AND(B210&lt;&gt;"",COUNTIFS($B$2:$B$501,B210,$C$2:$C$501,C210)&gt;1),"중복 의심","")))</f>
        <v/>
      </c>
      <c r="G210">
        <f>IF(AND(A210&lt;&gt;"",A210=가족별!$B$1),COUNTIF($A$2:A210,가족별!$B$1),"")</f>
        <v/>
      </c>
      <c r="H210">
        <f>IF(COUNTA(B210:C210)&gt;0,1,0)</f>
        <v/>
      </c>
      <c r="I210">
        <f>IF(F210="",0,1)</f>
        <v/>
      </c>
    </row>
    <row r="211">
      <c r="A211" s="41" t="n"/>
      <c r="B211" s="41" t="n"/>
      <c r="C211" s="41" t="n"/>
      <c r="D211" s="41" t="n"/>
      <c r="E211" s="41" t="n"/>
      <c r="F211" s="19">
        <f>IF(COUNTA(A211:E211)=0,"",TRIM(IF(A211="","받은 가족 없음 ","")&amp;IF(B211="","보낸 분 없음 ","")&amp;IF(AND(B211&lt;&gt;"",COUNTIFS($B$2:$B$501,B211,$C$2:$C$501,C211)&gt;1),"중복 의심","")))</f>
        <v/>
      </c>
      <c r="G211">
        <f>IF(AND(A211&lt;&gt;"",A211=가족별!$B$1),COUNTIF($A$2:A211,가족별!$B$1),"")</f>
        <v/>
      </c>
      <c r="H211">
        <f>IF(COUNTA(B211:C211)&gt;0,1,0)</f>
        <v/>
      </c>
      <c r="I211">
        <f>IF(F211="",0,1)</f>
        <v/>
      </c>
    </row>
    <row r="212">
      <c r="A212" s="41" t="n"/>
      <c r="B212" s="41" t="n"/>
      <c r="C212" s="41" t="n"/>
      <c r="D212" s="41" t="n"/>
      <c r="E212" s="41" t="n"/>
      <c r="F212" s="19">
        <f>IF(COUNTA(A212:E212)=0,"",TRIM(IF(A212="","받은 가족 없음 ","")&amp;IF(B212="","보낸 분 없음 ","")&amp;IF(AND(B212&lt;&gt;"",COUNTIFS($B$2:$B$501,B212,$C$2:$C$501,C212)&gt;1),"중복 의심","")))</f>
        <v/>
      </c>
      <c r="G212">
        <f>IF(AND(A212&lt;&gt;"",A212=가족별!$B$1),COUNTIF($A$2:A212,가족별!$B$1),"")</f>
        <v/>
      </c>
      <c r="H212">
        <f>IF(COUNTA(B212:C212)&gt;0,1,0)</f>
        <v/>
      </c>
      <c r="I212">
        <f>IF(F212="",0,1)</f>
        <v/>
      </c>
    </row>
    <row r="213">
      <c r="A213" s="41" t="n"/>
      <c r="B213" s="41" t="n"/>
      <c r="C213" s="41" t="n"/>
      <c r="D213" s="41" t="n"/>
      <c r="E213" s="41" t="n"/>
      <c r="F213" s="19">
        <f>IF(COUNTA(A213:E213)=0,"",TRIM(IF(A213="","받은 가족 없음 ","")&amp;IF(B213="","보낸 분 없음 ","")&amp;IF(AND(B213&lt;&gt;"",COUNTIFS($B$2:$B$501,B213,$C$2:$C$501,C213)&gt;1),"중복 의심","")))</f>
        <v/>
      </c>
      <c r="G213">
        <f>IF(AND(A213&lt;&gt;"",A213=가족별!$B$1),COUNTIF($A$2:A213,가족별!$B$1),"")</f>
        <v/>
      </c>
      <c r="H213">
        <f>IF(COUNTA(B213:C213)&gt;0,1,0)</f>
        <v/>
      </c>
      <c r="I213">
        <f>IF(F213="",0,1)</f>
        <v/>
      </c>
    </row>
    <row r="214">
      <c r="A214" s="41" t="n"/>
      <c r="B214" s="41" t="n"/>
      <c r="C214" s="41" t="n"/>
      <c r="D214" s="41" t="n"/>
      <c r="E214" s="41" t="n"/>
      <c r="F214" s="19">
        <f>IF(COUNTA(A214:E214)=0,"",TRIM(IF(A214="","받은 가족 없음 ","")&amp;IF(B214="","보낸 분 없음 ","")&amp;IF(AND(B214&lt;&gt;"",COUNTIFS($B$2:$B$501,B214,$C$2:$C$501,C214)&gt;1),"중복 의심","")))</f>
        <v/>
      </c>
      <c r="G214">
        <f>IF(AND(A214&lt;&gt;"",A214=가족별!$B$1),COUNTIF($A$2:A214,가족별!$B$1),"")</f>
        <v/>
      </c>
      <c r="H214">
        <f>IF(COUNTA(B214:C214)&gt;0,1,0)</f>
        <v/>
      </c>
      <c r="I214">
        <f>IF(F214="",0,1)</f>
        <v/>
      </c>
    </row>
    <row r="215">
      <c r="A215" s="41" t="n"/>
      <c r="B215" s="41" t="n"/>
      <c r="C215" s="41" t="n"/>
      <c r="D215" s="41" t="n"/>
      <c r="E215" s="41" t="n"/>
      <c r="F215" s="19">
        <f>IF(COUNTA(A215:E215)=0,"",TRIM(IF(A215="","받은 가족 없음 ","")&amp;IF(B215="","보낸 분 없음 ","")&amp;IF(AND(B215&lt;&gt;"",COUNTIFS($B$2:$B$501,B215,$C$2:$C$501,C215)&gt;1),"중복 의심","")))</f>
        <v/>
      </c>
      <c r="G215">
        <f>IF(AND(A215&lt;&gt;"",A215=가족별!$B$1),COUNTIF($A$2:A215,가족별!$B$1),"")</f>
        <v/>
      </c>
      <c r="H215">
        <f>IF(COUNTA(B215:C215)&gt;0,1,0)</f>
        <v/>
      </c>
      <c r="I215">
        <f>IF(F215="",0,1)</f>
        <v/>
      </c>
    </row>
    <row r="216">
      <c r="A216" s="41" t="n"/>
      <c r="B216" s="41" t="n"/>
      <c r="C216" s="41" t="n"/>
      <c r="D216" s="41" t="n"/>
      <c r="E216" s="41" t="n"/>
      <c r="F216" s="19">
        <f>IF(COUNTA(A216:E216)=0,"",TRIM(IF(A216="","받은 가족 없음 ","")&amp;IF(B216="","보낸 분 없음 ","")&amp;IF(AND(B216&lt;&gt;"",COUNTIFS($B$2:$B$501,B216,$C$2:$C$501,C216)&gt;1),"중복 의심","")))</f>
        <v/>
      </c>
      <c r="G216">
        <f>IF(AND(A216&lt;&gt;"",A216=가족별!$B$1),COUNTIF($A$2:A216,가족별!$B$1),"")</f>
        <v/>
      </c>
      <c r="H216">
        <f>IF(COUNTA(B216:C216)&gt;0,1,0)</f>
        <v/>
      </c>
      <c r="I216">
        <f>IF(F216="",0,1)</f>
        <v/>
      </c>
    </row>
    <row r="217">
      <c r="A217" s="41" t="n"/>
      <c r="B217" s="41" t="n"/>
      <c r="C217" s="41" t="n"/>
      <c r="D217" s="41" t="n"/>
      <c r="E217" s="41" t="n"/>
      <c r="F217" s="19">
        <f>IF(COUNTA(A217:E217)=0,"",TRIM(IF(A217="","받은 가족 없음 ","")&amp;IF(B217="","보낸 분 없음 ","")&amp;IF(AND(B217&lt;&gt;"",COUNTIFS($B$2:$B$501,B217,$C$2:$C$501,C217)&gt;1),"중복 의심","")))</f>
        <v/>
      </c>
      <c r="G217">
        <f>IF(AND(A217&lt;&gt;"",A217=가족별!$B$1),COUNTIF($A$2:A217,가족별!$B$1),"")</f>
        <v/>
      </c>
      <c r="H217">
        <f>IF(COUNTA(B217:C217)&gt;0,1,0)</f>
        <v/>
      </c>
      <c r="I217">
        <f>IF(F217="",0,1)</f>
        <v/>
      </c>
    </row>
    <row r="218">
      <c r="A218" s="41" t="n"/>
      <c r="B218" s="41" t="n"/>
      <c r="C218" s="41" t="n"/>
      <c r="D218" s="41" t="n"/>
      <c r="E218" s="41" t="n"/>
      <c r="F218" s="19">
        <f>IF(COUNTA(A218:E218)=0,"",TRIM(IF(A218="","받은 가족 없음 ","")&amp;IF(B218="","보낸 분 없음 ","")&amp;IF(AND(B218&lt;&gt;"",COUNTIFS($B$2:$B$501,B218,$C$2:$C$501,C218)&gt;1),"중복 의심","")))</f>
        <v/>
      </c>
      <c r="G218">
        <f>IF(AND(A218&lt;&gt;"",A218=가족별!$B$1),COUNTIF($A$2:A218,가족별!$B$1),"")</f>
        <v/>
      </c>
      <c r="H218">
        <f>IF(COUNTA(B218:C218)&gt;0,1,0)</f>
        <v/>
      </c>
      <c r="I218">
        <f>IF(F218="",0,1)</f>
        <v/>
      </c>
    </row>
    <row r="219">
      <c r="A219" s="41" t="n"/>
      <c r="B219" s="41" t="n"/>
      <c r="C219" s="41" t="n"/>
      <c r="D219" s="41" t="n"/>
      <c r="E219" s="41" t="n"/>
      <c r="F219" s="19">
        <f>IF(COUNTA(A219:E219)=0,"",TRIM(IF(A219="","받은 가족 없음 ","")&amp;IF(B219="","보낸 분 없음 ","")&amp;IF(AND(B219&lt;&gt;"",COUNTIFS($B$2:$B$501,B219,$C$2:$C$501,C219)&gt;1),"중복 의심","")))</f>
        <v/>
      </c>
      <c r="G219">
        <f>IF(AND(A219&lt;&gt;"",A219=가족별!$B$1),COUNTIF($A$2:A219,가족별!$B$1),"")</f>
        <v/>
      </c>
      <c r="H219">
        <f>IF(COUNTA(B219:C219)&gt;0,1,0)</f>
        <v/>
      </c>
      <c r="I219">
        <f>IF(F219="",0,1)</f>
        <v/>
      </c>
    </row>
    <row r="220">
      <c r="A220" s="41" t="n"/>
      <c r="B220" s="41" t="n"/>
      <c r="C220" s="41" t="n"/>
      <c r="D220" s="41" t="n"/>
      <c r="E220" s="41" t="n"/>
      <c r="F220" s="19">
        <f>IF(COUNTA(A220:E220)=0,"",TRIM(IF(A220="","받은 가족 없음 ","")&amp;IF(B220="","보낸 분 없음 ","")&amp;IF(AND(B220&lt;&gt;"",COUNTIFS($B$2:$B$501,B220,$C$2:$C$501,C220)&gt;1),"중복 의심","")))</f>
        <v/>
      </c>
      <c r="G220">
        <f>IF(AND(A220&lt;&gt;"",A220=가족별!$B$1),COUNTIF($A$2:A220,가족별!$B$1),"")</f>
        <v/>
      </c>
      <c r="H220">
        <f>IF(COUNTA(B220:C220)&gt;0,1,0)</f>
        <v/>
      </c>
      <c r="I220">
        <f>IF(F220="",0,1)</f>
        <v/>
      </c>
    </row>
    <row r="221">
      <c r="A221" s="41" t="n"/>
      <c r="B221" s="41" t="n"/>
      <c r="C221" s="41" t="n"/>
      <c r="D221" s="41" t="n"/>
      <c r="E221" s="41" t="n"/>
      <c r="F221" s="19">
        <f>IF(COUNTA(A221:E221)=0,"",TRIM(IF(A221="","받은 가족 없음 ","")&amp;IF(B221="","보낸 분 없음 ","")&amp;IF(AND(B221&lt;&gt;"",COUNTIFS($B$2:$B$501,B221,$C$2:$C$501,C221)&gt;1),"중복 의심","")))</f>
        <v/>
      </c>
      <c r="G221">
        <f>IF(AND(A221&lt;&gt;"",A221=가족별!$B$1),COUNTIF($A$2:A221,가족별!$B$1),"")</f>
        <v/>
      </c>
      <c r="H221">
        <f>IF(COUNTA(B221:C221)&gt;0,1,0)</f>
        <v/>
      </c>
      <c r="I221">
        <f>IF(F221="",0,1)</f>
        <v/>
      </c>
    </row>
    <row r="222">
      <c r="A222" s="41" t="n"/>
      <c r="B222" s="41" t="n"/>
      <c r="C222" s="41" t="n"/>
      <c r="D222" s="41" t="n"/>
      <c r="E222" s="41" t="n"/>
      <c r="F222" s="19">
        <f>IF(COUNTA(A222:E222)=0,"",TRIM(IF(A222="","받은 가족 없음 ","")&amp;IF(B222="","보낸 분 없음 ","")&amp;IF(AND(B222&lt;&gt;"",COUNTIFS($B$2:$B$501,B222,$C$2:$C$501,C222)&gt;1),"중복 의심","")))</f>
        <v/>
      </c>
      <c r="G222">
        <f>IF(AND(A222&lt;&gt;"",A222=가족별!$B$1),COUNTIF($A$2:A222,가족별!$B$1),"")</f>
        <v/>
      </c>
      <c r="H222">
        <f>IF(COUNTA(B222:C222)&gt;0,1,0)</f>
        <v/>
      </c>
      <c r="I222">
        <f>IF(F222="",0,1)</f>
        <v/>
      </c>
    </row>
    <row r="223">
      <c r="A223" s="41" t="n"/>
      <c r="B223" s="41" t="n"/>
      <c r="C223" s="41" t="n"/>
      <c r="D223" s="41" t="n"/>
      <c r="E223" s="41" t="n"/>
      <c r="F223" s="19">
        <f>IF(COUNTA(A223:E223)=0,"",TRIM(IF(A223="","받은 가족 없음 ","")&amp;IF(B223="","보낸 분 없음 ","")&amp;IF(AND(B223&lt;&gt;"",COUNTIFS($B$2:$B$501,B223,$C$2:$C$501,C223)&gt;1),"중복 의심","")))</f>
        <v/>
      </c>
      <c r="G223">
        <f>IF(AND(A223&lt;&gt;"",A223=가족별!$B$1),COUNTIF($A$2:A223,가족별!$B$1),"")</f>
        <v/>
      </c>
      <c r="H223">
        <f>IF(COUNTA(B223:C223)&gt;0,1,0)</f>
        <v/>
      </c>
      <c r="I223">
        <f>IF(F223="",0,1)</f>
        <v/>
      </c>
    </row>
    <row r="224">
      <c r="A224" s="41" t="n"/>
      <c r="B224" s="41" t="n"/>
      <c r="C224" s="41" t="n"/>
      <c r="D224" s="41" t="n"/>
      <c r="E224" s="41" t="n"/>
      <c r="F224" s="19">
        <f>IF(COUNTA(A224:E224)=0,"",TRIM(IF(A224="","받은 가족 없음 ","")&amp;IF(B224="","보낸 분 없음 ","")&amp;IF(AND(B224&lt;&gt;"",COUNTIFS($B$2:$B$501,B224,$C$2:$C$501,C224)&gt;1),"중복 의심","")))</f>
        <v/>
      </c>
      <c r="G224">
        <f>IF(AND(A224&lt;&gt;"",A224=가족별!$B$1),COUNTIF($A$2:A224,가족별!$B$1),"")</f>
        <v/>
      </c>
      <c r="H224">
        <f>IF(COUNTA(B224:C224)&gt;0,1,0)</f>
        <v/>
      </c>
      <c r="I224">
        <f>IF(F224="",0,1)</f>
        <v/>
      </c>
    </row>
    <row r="225">
      <c r="A225" s="41" t="n"/>
      <c r="B225" s="41" t="n"/>
      <c r="C225" s="41" t="n"/>
      <c r="D225" s="41" t="n"/>
      <c r="E225" s="41" t="n"/>
      <c r="F225" s="19">
        <f>IF(COUNTA(A225:E225)=0,"",TRIM(IF(A225="","받은 가족 없음 ","")&amp;IF(B225="","보낸 분 없음 ","")&amp;IF(AND(B225&lt;&gt;"",COUNTIFS($B$2:$B$501,B225,$C$2:$C$501,C225)&gt;1),"중복 의심","")))</f>
        <v/>
      </c>
      <c r="G225">
        <f>IF(AND(A225&lt;&gt;"",A225=가족별!$B$1),COUNTIF($A$2:A225,가족별!$B$1),"")</f>
        <v/>
      </c>
      <c r="H225">
        <f>IF(COUNTA(B225:C225)&gt;0,1,0)</f>
        <v/>
      </c>
      <c r="I225">
        <f>IF(F225="",0,1)</f>
        <v/>
      </c>
    </row>
    <row r="226">
      <c r="A226" s="41" t="n"/>
      <c r="B226" s="41" t="n"/>
      <c r="C226" s="41" t="n"/>
      <c r="D226" s="41" t="n"/>
      <c r="E226" s="41" t="n"/>
      <c r="F226" s="19">
        <f>IF(COUNTA(A226:E226)=0,"",TRIM(IF(A226="","받은 가족 없음 ","")&amp;IF(B226="","보낸 분 없음 ","")&amp;IF(AND(B226&lt;&gt;"",COUNTIFS($B$2:$B$501,B226,$C$2:$C$501,C226)&gt;1),"중복 의심","")))</f>
        <v/>
      </c>
      <c r="G226">
        <f>IF(AND(A226&lt;&gt;"",A226=가족별!$B$1),COUNTIF($A$2:A226,가족별!$B$1),"")</f>
        <v/>
      </c>
      <c r="H226">
        <f>IF(COUNTA(B226:C226)&gt;0,1,0)</f>
        <v/>
      </c>
      <c r="I226">
        <f>IF(F226="",0,1)</f>
        <v/>
      </c>
    </row>
    <row r="227">
      <c r="A227" s="41" t="n"/>
      <c r="B227" s="41" t="n"/>
      <c r="C227" s="41" t="n"/>
      <c r="D227" s="41" t="n"/>
      <c r="E227" s="41" t="n"/>
      <c r="F227" s="19">
        <f>IF(COUNTA(A227:E227)=0,"",TRIM(IF(A227="","받은 가족 없음 ","")&amp;IF(B227="","보낸 분 없음 ","")&amp;IF(AND(B227&lt;&gt;"",COUNTIFS($B$2:$B$501,B227,$C$2:$C$501,C227)&gt;1),"중복 의심","")))</f>
        <v/>
      </c>
      <c r="G227">
        <f>IF(AND(A227&lt;&gt;"",A227=가족별!$B$1),COUNTIF($A$2:A227,가족별!$B$1),"")</f>
        <v/>
      </c>
      <c r="H227">
        <f>IF(COUNTA(B227:C227)&gt;0,1,0)</f>
        <v/>
      </c>
      <c r="I227">
        <f>IF(F227="",0,1)</f>
        <v/>
      </c>
    </row>
    <row r="228">
      <c r="A228" s="41" t="n"/>
      <c r="B228" s="41" t="n"/>
      <c r="C228" s="41" t="n"/>
      <c r="D228" s="41" t="n"/>
      <c r="E228" s="41" t="n"/>
      <c r="F228" s="19">
        <f>IF(COUNTA(A228:E228)=0,"",TRIM(IF(A228="","받은 가족 없음 ","")&amp;IF(B228="","보낸 분 없음 ","")&amp;IF(AND(B228&lt;&gt;"",COUNTIFS($B$2:$B$501,B228,$C$2:$C$501,C228)&gt;1),"중복 의심","")))</f>
        <v/>
      </c>
      <c r="G228">
        <f>IF(AND(A228&lt;&gt;"",A228=가족별!$B$1),COUNTIF($A$2:A228,가족별!$B$1),"")</f>
        <v/>
      </c>
      <c r="H228">
        <f>IF(COUNTA(B228:C228)&gt;0,1,0)</f>
        <v/>
      </c>
      <c r="I228">
        <f>IF(F228="",0,1)</f>
        <v/>
      </c>
    </row>
    <row r="229">
      <c r="A229" s="41" t="n"/>
      <c r="B229" s="41" t="n"/>
      <c r="C229" s="41" t="n"/>
      <c r="D229" s="41" t="n"/>
      <c r="E229" s="41" t="n"/>
      <c r="F229" s="19">
        <f>IF(COUNTA(A229:E229)=0,"",TRIM(IF(A229="","받은 가족 없음 ","")&amp;IF(B229="","보낸 분 없음 ","")&amp;IF(AND(B229&lt;&gt;"",COUNTIFS($B$2:$B$501,B229,$C$2:$C$501,C229)&gt;1),"중복 의심","")))</f>
        <v/>
      </c>
      <c r="G229">
        <f>IF(AND(A229&lt;&gt;"",A229=가족별!$B$1),COUNTIF($A$2:A229,가족별!$B$1),"")</f>
        <v/>
      </c>
      <c r="H229">
        <f>IF(COUNTA(B229:C229)&gt;0,1,0)</f>
        <v/>
      </c>
      <c r="I229">
        <f>IF(F229="",0,1)</f>
        <v/>
      </c>
    </row>
    <row r="230">
      <c r="A230" s="41" t="n"/>
      <c r="B230" s="41" t="n"/>
      <c r="C230" s="41" t="n"/>
      <c r="D230" s="41" t="n"/>
      <c r="E230" s="41" t="n"/>
      <c r="F230" s="19">
        <f>IF(COUNTA(A230:E230)=0,"",TRIM(IF(A230="","받은 가족 없음 ","")&amp;IF(B230="","보낸 분 없음 ","")&amp;IF(AND(B230&lt;&gt;"",COUNTIFS($B$2:$B$501,B230,$C$2:$C$501,C230)&gt;1),"중복 의심","")))</f>
        <v/>
      </c>
      <c r="G230">
        <f>IF(AND(A230&lt;&gt;"",A230=가족별!$B$1),COUNTIF($A$2:A230,가족별!$B$1),"")</f>
        <v/>
      </c>
      <c r="H230">
        <f>IF(COUNTA(B230:C230)&gt;0,1,0)</f>
        <v/>
      </c>
      <c r="I230">
        <f>IF(F230="",0,1)</f>
        <v/>
      </c>
    </row>
    <row r="231">
      <c r="A231" s="41" t="n"/>
      <c r="B231" s="41" t="n"/>
      <c r="C231" s="41" t="n"/>
      <c r="D231" s="41" t="n"/>
      <c r="E231" s="41" t="n"/>
      <c r="F231" s="19">
        <f>IF(COUNTA(A231:E231)=0,"",TRIM(IF(A231="","받은 가족 없음 ","")&amp;IF(B231="","보낸 분 없음 ","")&amp;IF(AND(B231&lt;&gt;"",COUNTIFS($B$2:$B$501,B231,$C$2:$C$501,C231)&gt;1),"중복 의심","")))</f>
        <v/>
      </c>
      <c r="G231">
        <f>IF(AND(A231&lt;&gt;"",A231=가족별!$B$1),COUNTIF($A$2:A231,가족별!$B$1),"")</f>
        <v/>
      </c>
      <c r="H231">
        <f>IF(COUNTA(B231:C231)&gt;0,1,0)</f>
        <v/>
      </c>
      <c r="I231">
        <f>IF(F231="",0,1)</f>
        <v/>
      </c>
    </row>
    <row r="232">
      <c r="A232" s="41" t="n"/>
      <c r="B232" s="41" t="n"/>
      <c r="C232" s="41" t="n"/>
      <c r="D232" s="41" t="n"/>
      <c r="E232" s="41" t="n"/>
      <c r="F232" s="19">
        <f>IF(COUNTA(A232:E232)=0,"",TRIM(IF(A232="","받은 가족 없음 ","")&amp;IF(B232="","보낸 분 없음 ","")&amp;IF(AND(B232&lt;&gt;"",COUNTIFS($B$2:$B$501,B232,$C$2:$C$501,C232)&gt;1),"중복 의심","")))</f>
        <v/>
      </c>
      <c r="G232">
        <f>IF(AND(A232&lt;&gt;"",A232=가족별!$B$1),COUNTIF($A$2:A232,가족별!$B$1),"")</f>
        <v/>
      </c>
      <c r="H232">
        <f>IF(COUNTA(B232:C232)&gt;0,1,0)</f>
        <v/>
      </c>
      <c r="I232">
        <f>IF(F232="",0,1)</f>
        <v/>
      </c>
    </row>
    <row r="233">
      <c r="A233" s="41" t="n"/>
      <c r="B233" s="41" t="n"/>
      <c r="C233" s="41" t="n"/>
      <c r="D233" s="41" t="n"/>
      <c r="E233" s="41" t="n"/>
      <c r="F233" s="19">
        <f>IF(COUNTA(A233:E233)=0,"",TRIM(IF(A233="","받은 가족 없음 ","")&amp;IF(B233="","보낸 분 없음 ","")&amp;IF(AND(B233&lt;&gt;"",COUNTIFS($B$2:$B$501,B233,$C$2:$C$501,C233)&gt;1),"중복 의심","")))</f>
        <v/>
      </c>
      <c r="G233">
        <f>IF(AND(A233&lt;&gt;"",A233=가족별!$B$1),COUNTIF($A$2:A233,가족별!$B$1),"")</f>
        <v/>
      </c>
      <c r="H233">
        <f>IF(COUNTA(B233:C233)&gt;0,1,0)</f>
        <v/>
      </c>
      <c r="I233">
        <f>IF(F233="",0,1)</f>
        <v/>
      </c>
    </row>
    <row r="234">
      <c r="A234" s="41" t="n"/>
      <c r="B234" s="41" t="n"/>
      <c r="C234" s="41" t="n"/>
      <c r="D234" s="41" t="n"/>
      <c r="E234" s="41" t="n"/>
      <c r="F234" s="19">
        <f>IF(COUNTA(A234:E234)=0,"",TRIM(IF(A234="","받은 가족 없음 ","")&amp;IF(B234="","보낸 분 없음 ","")&amp;IF(AND(B234&lt;&gt;"",COUNTIFS($B$2:$B$501,B234,$C$2:$C$501,C234)&gt;1),"중복 의심","")))</f>
        <v/>
      </c>
      <c r="G234">
        <f>IF(AND(A234&lt;&gt;"",A234=가족별!$B$1),COUNTIF($A$2:A234,가족별!$B$1),"")</f>
        <v/>
      </c>
      <c r="H234">
        <f>IF(COUNTA(B234:C234)&gt;0,1,0)</f>
        <v/>
      </c>
      <c r="I234">
        <f>IF(F234="",0,1)</f>
        <v/>
      </c>
    </row>
    <row r="235">
      <c r="A235" s="41" t="n"/>
      <c r="B235" s="41" t="n"/>
      <c r="C235" s="41" t="n"/>
      <c r="D235" s="41" t="n"/>
      <c r="E235" s="41" t="n"/>
      <c r="F235" s="19">
        <f>IF(COUNTA(A235:E235)=0,"",TRIM(IF(A235="","받은 가족 없음 ","")&amp;IF(B235="","보낸 분 없음 ","")&amp;IF(AND(B235&lt;&gt;"",COUNTIFS($B$2:$B$501,B235,$C$2:$C$501,C235)&gt;1),"중복 의심","")))</f>
        <v/>
      </c>
      <c r="G235">
        <f>IF(AND(A235&lt;&gt;"",A235=가족별!$B$1),COUNTIF($A$2:A235,가족별!$B$1),"")</f>
        <v/>
      </c>
      <c r="H235">
        <f>IF(COUNTA(B235:C235)&gt;0,1,0)</f>
        <v/>
      </c>
      <c r="I235">
        <f>IF(F235="",0,1)</f>
        <v/>
      </c>
    </row>
    <row r="236">
      <c r="A236" s="41" t="n"/>
      <c r="B236" s="41" t="n"/>
      <c r="C236" s="41" t="n"/>
      <c r="D236" s="41" t="n"/>
      <c r="E236" s="41" t="n"/>
      <c r="F236" s="19">
        <f>IF(COUNTA(A236:E236)=0,"",TRIM(IF(A236="","받은 가족 없음 ","")&amp;IF(B236="","보낸 분 없음 ","")&amp;IF(AND(B236&lt;&gt;"",COUNTIFS($B$2:$B$501,B236,$C$2:$C$501,C236)&gt;1),"중복 의심","")))</f>
        <v/>
      </c>
      <c r="G236">
        <f>IF(AND(A236&lt;&gt;"",A236=가족별!$B$1),COUNTIF($A$2:A236,가족별!$B$1),"")</f>
        <v/>
      </c>
      <c r="H236">
        <f>IF(COUNTA(B236:C236)&gt;0,1,0)</f>
        <v/>
      </c>
      <c r="I236">
        <f>IF(F236="",0,1)</f>
        <v/>
      </c>
    </row>
    <row r="237">
      <c r="A237" s="41" t="n"/>
      <c r="B237" s="41" t="n"/>
      <c r="C237" s="41" t="n"/>
      <c r="D237" s="41" t="n"/>
      <c r="E237" s="41" t="n"/>
      <c r="F237" s="19">
        <f>IF(COUNTA(A237:E237)=0,"",TRIM(IF(A237="","받은 가족 없음 ","")&amp;IF(B237="","보낸 분 없음 ","")&amp;IF(AND(B237&lt;&gt;"",COUNTIFS($B$2:$B$501,B237,$C$2:$C$501,C237)&gt;1),"중복 의심","")))</f>
        <v/>
      </c>
      <c r="G237">
        <f>IF(AND(A237&lt;&gt;"",A237=가족별!$B$1),COUNTIF($A$2:A237,가족별!$B$1),"")</f>
        <v/>
      </c>
      <c r="H237">
        <f>IF(COUNTA(B237:C237)&gt;0,1,0)</f>
        <v/>
      </c>
      <c r="I237">
        <f>IF(F237="",0,1)</f>
        <v/>
      </c>
    </row>
    <row r="238">
      <c r="A238" s="41" t="n"/>
      <c r="B238" s="41" t="n"/>
      <c r="C238" s="41" t="n"/>
      <c r="D238" s="41" t="n"/>
      <c r="E238" s="41" t="n"/>
      <c r="F238" s="19">
        <f>IF(COUNTA(A238:E238)=0,"",TRIM(IF(A238="","받은 가족 없음 ","")&amp;IF(B238="","보낸 분 없음 ","")&amp;IF(AND(B238&lt;&gt;"",COUNTIFS($B$2:$B$501,B238,$C$2:$C$501,C238)&gt;1),"중복 의심","")))</f>
        <v/>
      </c>
      <c r="G238">
        <f>IF(AND(A238&lt;&gt;"",A238=가족별!$B$1),COUNTIF($A$2:A238,가족별!$B$1),"")</f>
        <v/>
      </c>
      <c r="H238">
        <f>IF(COUNTA(B238:C238)&gt;0,1,0)</f>
        <v/>
      </c>
      <c r="I238">
        <f>IF(F238="",0,1)</f>
        <v/>
      </c>
    </row>
    <row r="239">
      <c r="A239" s="41" t="n"/>
      <c r="B239" s="41" t="n"/>
      <c r="C239" s="41" t="n"/>
      <c r="D239" s="41" t="n"/>
      <c r="E239" s="41" t="n"/>
      <c r="F239" s="19">
        <f>IF(COUNTA(A239:E239)=0,"",TRIM(IF(A239="","받은 가족 없음 ","")&amp;IF(B239="","보낸 분 없음 ","")&amp;IF(AND(B239&lt;&gt;"",COUNTIFS($B$2:$B$501,B239,$C$2:$C$501,C239)&gt;1),"중복 의심","")))</f>
        <v/>
      </c>
      <c r="G239">
        <f>IF(AND(A239&lt;&gt;"",A239=가족별!$B$1),COUNTIF($A$2:A239,가족별!$B$1),"")</f>
        <v/>
      </c>
      <c r="H239">
        <f>IF(COUNTA(B239:C239)&gt;0,1,0)</f>
        <v/>
      </c>
      <c r="I239">
        <f>IF(F239="",0,1)</f>
        <v/>
      </c>
    </row>
    <row r="240">
      <c r="A240" s="41" t="n"/>
      <c r="B240" s="41" t="n"/>
      <c r="C240" s="41" t="n"/>
      <c r="D240" s="41" t="n"/>
      <c r="E240" s="41" t="n"/>
      <c r="F240" s="19">
        <f>IF(COUNTA(A240:E240)=0,"",TRIM(IF(A240="","받은 가족 없음 ","")&amp;IF(B240="","보낸 분 없음 ","")&amp;IF(AND(B240&lt;&gt;"",COUNTIFS($B$2:$B$501,B240,$C$2:$C$501,C240)&gt;1),"중복 의심","")))</f>
        <v/>
      </c>
      <c r="G240">
        <f>IF(AND(A240&lt;&gt;"",A240=가족별!$B$1),COUNTIF($A$2:A240,가족별!$B$1),"")</f>
        <v/>
      </c>
      <c r="H240">
        <f>IF(COUNTA(B240:C240)&gt;0,1,0)</f>
        <v/>
      </c>
      <c r="I240">
        <f>IF(F240="",0,1)</f>
        <v/>
      </c>
    </row>
    <row r="241">
      <c r="A241" s="41" t="n"/>
      <c r="B241" s="41" t="n"/>
      <c r="C241" s="41" t="n"/>
      <c r="D241" s="41" t="n"/>
      <c r="E241" s="41" t="n"/>
      <c r="F241" s="19">
        <f>IF(COUNTA(A241:E241)=0,"",TRIM(IF(A241="","받은 가족 없음 ","")&amp;IF(B241="","보낸 분 없음 ","")&amp;IF(AND(B241&lt;&gt;"",COUNTIFS($B$2:$B$501,B241,$C$2:$C$501,C241)&gt;1),"중복 의심","")))</f>
        <v/>
      </c>
      <c r="G241">
        <f>IF(AND(A241&lt;&gt;"",A241=가족별!$B$1),COUNTIF($A$2:A241,가족별!$B$1),"")</f>
        <v/>
      </c>
      <c r="H241">
        <f>IF(COUNTA(B241:C241)&gt;0,1,0)</f>
        <v/>
      </c>
      <c r="I241">
        <f>IF(F241="",0,1)</f>
        <v/>
      </c>
    </row>
    <row r="242">
      <c r="A242" s="41" t="n"/>
      <c r="B242" s="41" t="n"/>
      <c r="C242" s="41" t="n"/>
      <c r="D242" s="41" t="n"/>
      <c r="E242" s="41" t="n"/>
      <c r="F242" s="19">
        <f>IF(COUNTA(A242:E242)=0,"",TRIM(IF(A242="","받은 가족 없음 ","")&amp;IF(B242="","보낸 분 없음 ","")&amp;IF(AND(B242&lt;&gt;"",COUNTIFS($B$2:$B$501,B242,$C$2:$C$501,C242)&gt;1),"중복 의심","")))</f>
        <v/>
      </c>
      <c r="G242">
        <f>IF(AND(A242&lt;&gt;"",A242=가족별!$B$1),COUNTIF($A$2:A242,가족별!$B$1),"")</f>
        <v/>
      </c>
      <c r="H242">
        <f>IF(COUNTA(B242:C242)&gt;0,1,0)</f>
        <v/>
      </c>
      <c r="I242">
        <f>IF(F242="",0,1)</f>
        <v/>
      </c>
    </row>
    <row r="243">
      <c r="A243" s="41" t="n"/>
      <c r="B243" s="41" t="n"/>
      <c r="C243" s="41" t="n"/>
      <c r="D243" s="41" t="n"/>
      <c r="E243" s="41" t="n"/>
      <c r="F243" s="19">
        <f>IF(COUNTA(A243:E243)=0,"",TRIM(IF(A243="","받은 가족 없음 ","")&amp;IF(B243="","보낸 분 없음 ","")&amp;IF(AND(B243&lt;&gt;"",COUNTIFS($B$2:$B$501,B243,$C$2:$C$501,C243)&gt;1),"중복 의심","")))</f>
        <v/>
      </c>
      <c r="G243">
        <f>IF(AND(A243&lt;&gt;"",A243=가족별!$B$1),COUNTIF($A$2:A243,가족별!$B$1),"")</f>
        <v/>
      </c>
      <c r="H243">
        <f>IF(COUNTA(B243:C243)&gt;0,1,0)</f>
        <v/>
      </c>
      <c r="I243">
        <f>IF(F243="",0,1)</f>
        <v/>
      </c>
    </row>
    <row r="244">
      <c r="A244" s="41" t="n"/>
      <c r="B244" s="41" t="n"/>
      <c r="C244" s="41" t="n"/>
      <c r="D244" s="41" t="n"/>
      <c r="E244" s="41" t="n"/>
      <c r="F244" s="19">
        <f>IF(COUNTA(A244:E244)=0,"",TRIM(IF(A244="","받은 가족 없음 ","")&amp;IF(B244="","보낸 분 없음 ","")&amp;IF(AND(B244&lt;&gt;"",COUNTIFS($B$2:$B$501,B244,$C$2:$C$501,C244)&gt;1),"중복 의심","")))</f>
        <v/>
      </c>
      <c r="G244">
        <f>IF(AND(A244&lt;&gt;"",A244=가족별!$B$1),COUNTIF($A$2:A244,가족별!$B$1),"")</f>
        <v/>
      </c>
      <c r="H244">
        <f>IF(COUNTA(B244:C244)&gt;0,1,0)</f>
        <v/>
      </c>
      <c r="I244">
        <f>IF(F244="",0,1)</f>
        <v/>
      </c>
    </row>
    <row r="245">
      <c r="A245" s="41" t="n"/>
      <c r="B245" s="41" t="n"/>
      <c r="C245" s="41" t="n"/>
      <c r="D245" s="41" t="n"/>
      <c r="E245" s="41" t="n"/>
      <c r="F245" s="19">
        <f>IF(COUNTA(A245:E245)=0,"",TRIM(IF(A245="","받은 가족 없음 ","")&amp;IF(B245="","보낸 분 없음 ","")&amp;IF(AND(B245&lt;&gt;"",COUNTIFS($B$2:$B$501,B245,$C$2:$C$501,C245)&gt;1),"중복 의심","")))</f>
        <v/>
      </c>
      <c r="G245">
        <f>IF(AND(A245&lt;&gt;"",A245=가족별!$B$1),COUNTIF($A$2:A245,가족별!$B$1),"")</f>
        <v/>
      </c>
      <c r="H245">
        <f>IF(COUNTA(B245:C245)&gt;0,1,0)</f>
        <v/>
      </c>
      <c r="I245">
        <f>IF(F245="",0,1)</f>
        <v/>
      </c>
    </row>
    <row r="246">
      <c r="A246" s="41" t="n"/>
      <c r="B246" s="41" t="n"/>
      <c r="C246" s="41" t="n"/>
      <c r="D246" s="41" t="n"/>
      <c r="E246" s="41" t="n"/>
      <c r="F246" s="19">
        <f>IF(COUNTA(A246:E246)=0,"",TRIM(IF(A246="","받은 가족 없음 ","")&amp;IF(B246="","보낸 분 없음 ","")&amp;IF(AND(B246&lt;&gt;"",COUNTIFS($B$2:$B$501,B246,$C$2:$C$501,C246)&gt;1),"중복 의심","")))</f>
        <v/>
      </c>
      <c r="G246">
        <f>IF(AND(A246&lt;&gt;"",A246=가족별!$B$1),COUNTIF($A$2:A246,가족별!$B$1),"")</f>
        <v/>
      </c>
      <c r="H246">
        <f>IF(COUNTA(B246:C246)&gt;0,1,0)</f>
        <v/>
      </c>
      <c r="I246">
        <f>IF(F246="",0,1)</f>
        <v/>
      </c>
    </row>
    <row r="247">
      <c r="A247" s="41" t="n"/>
      <c r="B247" s="41" t="n"/>
      <c r="C247" s="41" t="n"/>
      <c r="D247" s="41" t="n"/>
      <c r="E247" s="41" t="n"/>
      <c r="F247" s="19">
        <f>IF(COUNTA(A247:E247)=0,"",TRIM(IF(A247="","받은 가족 없음 ","")&amp;IF(B247="","보낸 분 없음 ","")&amp;IF(AND(B247&lt;&gt;"",COUNTIFS($B$2:$B$501,B247,$C$2:$C$501,C247)&gt;1),"중복 의심","")))</f>
        <v/>
      </c>
      <c r="G247">
        <f>IF(AND(A247&lt;&gt;"",A247=가족별!$B$1),COUNTIF($A$2:A247,가족별!$B$1),"")</f>
        <v/>
      </c>
      <c r="H247">
        <f>IF(COUNTA(B247:C247)&gt;0,1,0)</f>
        <v/>
      </c>
      <c r="I247">
        <f>IF(F247="",0,1)</f>
        <v/>
      </c>
    </row>
    <row r="248">
      <c r="A248" s="41" t="n"/>
      <c r="B248" s="41" t="n"/>
      <c r="C248" s="41" t="n"/>
      <c r="D248" s="41" t="n"/>
      <c r="E248" s="41" t="n"/>
      <c r="F248" s="19">
        <f>IF(COUNTA(A248:E248)=0,"",TRIM(IF(A248="","받은 가족 없음 ","")&amp;IF(B248="","보낸 분 없음 ","")&amp;IF(AND(B248&lt;&gt;"",COUNTIFS($B$2:$B$501,B248,$C$2:$C$501,C248)&gt;1),"중복 의심","")))</f>
        <v/>
      </c>
      <c r="G248">
        <f>IF(AND(A248&lt;&gt;"",A248=가족별!$B$1),COUNTIF($A$2:A248,가족별!$B$1),"")</f>
        <v/>
      </c>
      <c r="H248">
        <f>IF(COUNTA(B248:C248)&gt;0,1,0)</f>
        <v/>
      </c>
      <c r="I248">
        <f>IF(F248="",0,1)</f>
        <v/>
      </c>
    </row>
    <row r="249">
      <c r="A249" s="41" t="n"/>
      <c r="B249" s="41" t="n"/>
      <c r="C249" s="41" t="n"/>
      <c r="D249" s="41" t="n"/>
      <c r="E249" s="41" t="n"/>
      <c r="F249" s="19">
        <f>IF(COUNTA(A249:E249)=0,"",TRIM(IF(A249="","받은 가족 없음 ","")&amp;IF(B249="","보낸 분 없음 ","")&amp;IF(AND(B249&lt;&gt;"",COUNTIFS($B$2:$B$501,B249,$C$2:$C$501,C249)&gt;1),"중복 의심","")))</f>
        <v/>
      </c>
      <c r="G249">
        <f>IF(AND(A249&lt;&gt;"",A249=가족별!$B$1),COUNTIF($A$2:A249,가족별!$B$1),"")</f>
        <v/>
      </c>
      <c r="H249">
        <f>IF(COUNTA(B249:C249)&gt;0,1,0)</f>
        <v/>
      </c>
      <c r="I249">
        <f>IF(F249="",0,1)</f>
        <v/>
      </c>
    </row>
    <row r="250">
      <c r="A250" s="41" t="n"/>
      <c r="B250" s="41" t="n"/>
      <c r="C250" s="41" t="n"/>
      <c r="D250" s="41" t="n"/>
      <c r="E250" s="41" t="n"/>
      <c r="F250" s="19">
        <f>IF(COUNTA(A250:E250)=0,"",TRIM(IF(A250="","받은 가족 없음 ","")&amp;IF(B250="","보낸 분 없음 ","")&amp;IF(AND(B250&lt;&gt;"",COUNTIFS($B$2:$B$501,B250,$C$2:$C$501,C250)&gt;1),"중복 의심","")))</f>
        <v/>
      </c>
      <c r="G250">
        <f>IF(AND(A250&lt;&gt;"",A250=가족별!$B$1),COUNTIF($A$2:A250,가족별!$B$1),"")</f>
        <v/>
      </c>
      <c r="H250">
        <f>IF(COUNTA(B250:C250)&gt;0,1,0)</f>
        <v/>
      </c>
      <c r="I250">
        <f>IF(F250="",0,1)</f>
        <v/>
      </c>
    </row>
    <row r="251">
      <c r="A251" s="41" t="n"/>
      <c r="B251" s="41" t="n"/>
      <c r="C251" s="41" t="n"/>
      <c r="D251" s="41" t="n"/>
      <c r="E251" s="41" t="n"/>
      <c r="F251" s="19">
        <f>IF(COUNTA(A251:E251)=0,"",TRIM(IF(A251="","받은 가족 없음 ","")&amp;IF(B251="","보낸 분 없음 ","")&amp;IF(AND(B251&lt;&gt;"",COUNTIFS($B$2:$B$501,B251,$C$2:$C$501,C251)&gt;1),"중복 의심","")))</f>
        <v/>
      </c>
      <c r="G251">
        <f>IF(AND(A251&lt;&gt;"",A251=가족별!$B$1),COUNTIF($A$2:A251,가족별!$B$1),"")</f>
        <v/>
      </c>
      <c r="H251">
        <f>IF(COUNTA(B251:C251)&gt;0,1,0)</f>
        <v/>
      </c>
      <c r="I251">
        <f>IF(F251="",0,1)</f>
        <v/>
      </c>
    </row>
    <row r="252">
      <c r="A252" s="41" t="n"/>
      <c r="B252" s="41" t="n"/>
      <c r="C252" s="41" t="n"/>
      <c r="D252" s="41" t="n"/>
      <c r="E252" s="41" t="n"/>
      <c r="F252" s="19">
        <f>IF(COUNTA(A252:E252)=0,"",TRIM(IF(A252="","받은 가족 없음 ","")&amp;IF(B252="","보낸 분 없음 ","")&amp;IF(AND(B252&lt;&gt;"",COUNTIFS($B$2:$B$501,B252,$C$2:$C$501,C252)&gt;1),"중복 의심","")))</f>
        <v/>
      </c>
      <c r="G252">
        <f>IF(AND(A252&lt;&gt;"",A252=가족별!$B$1),COUNTIF($A$2:A252,가족별!$B$1),"")</f>
        <v/>
      </c>
      <c r="H252">
        <f>IF(COUNTA(B252:C252)&gt;0,1,0)</f>
        <v/>
      </c>
      <c r="I252">
        <f>IF(F252="",0,1)</f>
        <v/>
      </c>
    </row>
    <row r="253">
      <c r="A253" s="41" t="n"/>
      <c r="B253" s="41" t="n"/>
      <c r="C253" s="41" t="n"/>
      <c r="D253" s="41" t="n"/>
      <c r="E253" s="41" t="n"/>
      <c r="F253" s="19">
        <f>IF(COUNTA(A253:E253)=0,"",TRIM(IF(A253="","받은 가족 없음 ","")&amp;IF(B253="","보낸 분 없음 ","")&amp;IF(AND(B253&lt;&gt;"",COUNTIFS($B$2:$B$501,B253,$C$2:$C$501,C253)&gt;1),"중복 의심","")))</f>
        <v/>
      </c>
      <c r="G253">
        <f>IF(AND(A253&lt;&gt;"",A253=가족별!$B$1),COUNTIF($A$2:A253,가족별!$B$1),"")</f>
        <v/>
      </c>
      <c r="H253">
        <f>IF(COUNTA(B253:C253)&gt;0,1,0)</f>
        <v/>
      </c>
      <c r="I253">
        <f>IF(F253="",0,1)</f>
        <v/>
      </c>
    </row>
    <row r="254">
      <c r="A254" s="41" t="n"/>
      <c r="B254" s="41" t="n"/>
      <c r="C254" s="41" t="n"/>
      <c r="D254" s="41" t="n"/>
      <c r="E254" s="41" t="n"/>
      <c r="F254" s="19">
        <f>IF(COUNTA(A254:E254)=0,"",TRIM(IF(A254="","받은 가족 없음 ","")&amp;IF(B254="","보낸 분 없음 ","")&amp;IF(AND(B254&lt;&gt;"",COUNTIFS($B$2:$B$501,B254,$C$2:$C$501,C254)&gt;1),"중복 의심","")))</f>
        <v/>
      </c>
      <c r="G254">
        <f>IF(AND(A254&lt;&gt;"",A254=가족별!$B$1),COUNTIF($A$2:A254,가족별!$B$1),"")</f>
        <v/>
      </c>
      <c r="H254">
        <f>IF(COUNTA(B254:C254)&gt;0,1,0)</f>
        <v/>
      </c>
      <c r="I254">
        <f>IF(F254="",0,1)</f>
        <v/>
      </c>
    </row>
    <row r="255">
      <c r="A255" s="41" t="n"/>
      <c r="B255" s="41" t="n"/>
      <c r="C255" s="41" t="n"/>
      <c r="D255" s="41" t="n"/>
      <c r="E255" s="41" t="n"/>
      <c r="F255" s="19">
        <f>IF(COUNTA(A255:E255)=0,"",TRIM(IF(A255="","받은 가족 없음 ","")&amp;IF(B255="","보낸 분 없음 ","")&amp;IF(AND(B255&lt;&gt;"",COUNTIFS($B$2:$B$501,B255,$C$2:$C$501,C255)&gt;1),"중복 의심","")))</f>
        <v/>
      </c>
      <c r="G255">
        <f>IF(AND(A255&lt;&gt;"",A255=가족별!$B$1),COUNTIF($A$2:A255,가족별!$B$1),"")</f>
        <v/>
      </c>
      <c r="H255">
        <f>IF(COUNTA(B255:C255)&gt;0,1,0)</f>
        <v/>
      </c>
      <c r="I255">
        <f>IF(F255="",0,1)</f>
        <v/>
      </c>
    </row>
    <row r="256">
      <c r="A256" s="41" t="n"/>
      <c r="B256" s="41" t="n"/>
      <c r="C256" s="41" t="n"/>
      <c r="D256" s="41" t="n"/>
      <c r="E256" s="41" t="n"/>
      <c r="F256" s="19">
        <f>IF(COUNTA(A256:E256)=0,"",TRIM(IF(A256="","받은 가족 없음 ","")&amp;IF(B256="","보낸 분 없음 ","")&amp;IF(AND(B256&lt;&gt;"",COUNTIFS($B$2:$B$501,B256,$C$2:$C$501,C256)&gt;1),"중복 의심","")))</f>
        <v/>
      </c>
      <c r="G256">
        <f>IF(AND(A256&lt;&gt;"",A256=가족별!$B$1),COUNTIF($A$2:A256,가족별!$B$1),"")</f>
        <v/>
      </c>
      <c r="H256">
        <f>IF(COUNTA(B256:C256)&gt;0,1,0)</f>
        <v/>
      </c>
      <c r="I256">
        <f>IF(F256="",0,1)</f>
        <v/>
      </c>
    </row>
    <row r="257">
      <c r="A257" s="41" t="n"/>
      <c r="B257" s="41" t="n"/>
      <c r="C257" s="41" t="n"/>
      <c r="D257" s="41" t="n"/>
      <c r="E257" s="41" t="n"/>
      <c r="F257" s="19">
        <f>IF(COUNTA(A257:E257)=0,"",TRIM(IF(A257="","받은 가족 없음 ","")&amp;IF(B257="","보낸 분 없음 ","")&amp;IF(AND(B257&lt;&gt;"",COUNTIFS($B$2:$B$501,B257,$C$2:$C$501,C257)&gt;1),"중복 의심","")))</f>
        <v/>
      </c>
      <c r="G257">
        <f>IF(AND(A257&lt;&gt;"",A257=가족별!$B$1),COUNTIF($A$2:A257,가족별!$B$1),"")</f>
        <v/>
      </c>
      <c r="H257">
        <f>IF(COUNTA(B257:C257)&gt;0,1,0)</f>
        <v/>
      </c>
      <c r="I257">
        <f>IF(F257="",0,1)</f>
        <v/>
      </c>
    </row>
    <row r="258">
      <c r="A258" s="41" t="n"/>
      <c r="B258" s="41" t="n"/>
      <c r="C258" s="41" t="n"/>
      <c r="D258" s="41" t="n"/>
      <c r="E258" s="41" t="n"/>
      <c r="F258" s="19">
        <f>IF(COUNTA(A258:E258)=0,"",TRIM(IF(A258="","받은 가족 없음 ","")&amp;IF(B258="","보낸 분 없음 ","")&amp;IF(AND(B258&lt;&gt;"",COUNTIFS($B$2:$B$501,B258,$C$2:$C$501,C258)&gt;1),"중복 의심","")))</f>
        <v/>
      </c>
      <c r="G258">
        <f>IF(AND(A258&lt;&gt;"",A258=가족별!$B$1),COUNTIF($A$2:A258,가족별!$B$1),"")</f>
        <v/>
      </c>
      <c r="H258">
        <f>IF(COUNTA(B258:C258)&gt;0,1,0)</f>
        <v/>
      </c>
      <c r="I258">
        <f>IF(F258="",0,1)</f>
        <v/>
      </c>
    </row>
    <row r="259">
      <c r="A259" s="41" t="n"/>
      <c r="B259" s="41" t="n"/>
      <c r="C259" s="41" t="n"/>
      <c r="D259" s="41" t="n"/>
      <c r="E259" s="41" t="n"/>
      <c r="F259" s="19">
        <f>IF(COUNTA(A259:E259)=0,"",TRIM(IF(A259="","받은 가족 없음 ","")&amp;IF(B259="","보낸 분 없음 ","")&amp;IF(AND(B259&lt;&gt;"",COUNTIFS($B$2:$B$501,B259,$C$2:$C$501,C259)&gt;1),"중복 의심","")))</f>
        <v/>
      </c>
      <c r="G259">
        <f>IF(AND(A259&lt;&gt;"",A259=가족별!$B$1),COUNTIF($A$2:A259,가족별!$B$1),"")</f>
        <v/>
      </c>
      <c r="H259">
        <f>IF(COUNTA(B259:C259)&gt;0,1,0)</f>
        <v/>
      </c>
      <c r="I259">
        <f>IF(F259="",0,1)</f>
        <v/>
      </c>
    </row>
    <row r="260">
      <c r="A260" s="41" t="n"/>
      <c r="B260" s="41" t="n"/>
      <c r="C260" s="41" t="n"/>
      <c r="D260" s="41" t="n"/>
      <c r="E260" s="41" t="n"/>
      <c r="F260" s="19">
        <f>IF(COUNTA(A260:E260)=0,"",TRIM(IF(A260="","받은 가족 없음 ","")&amp;IF(B260="","보낸 분 없음 ","")&amp;IF(AND(B260&lt;&gt;"",COUNTIFS($B$2:$B$501,B260,$C$2:$C$501,C260)&gt;1),"중복 의심","")))</f>
        <v/>
      </c>
      <c r="G260">
        <f>IF(AND(A260&lt;&gt;"",A260=가족별!$B$1),COUNTIF($A$2:A260,가족별!$B$1),"")</f>
        <v/>
      </c>
      <c r="H260">
        <f>IF(COUNTA(B260:C260)&gt;0,1,0)</f>
        <v/>
      </c>
      <c r="I260">
        <f>IF(F260="",0,1)</f>
        <v/>
      </c>
    </row>
    <row r="261">
      <c r="A261" s="41" t="n"/>
      <c r="B261" s="41" t="n"/>
      <c r="C261" s="41" t="n"/>
      <c r="D261" s="41" t="n"/>
      <c r="E261" s="41" t="n"/>
      <c r="F261" s="19">
        <f>IF(COUNTA(A261:E261)=0,"",TRIM(IF(A261="","받은 가족 없음 ","")&amp;IF(B261="","보낸 분 없음 ","")&amp;IF(AND(B261&lt;&gt;"",COUNTIFS($B$2:$B$501,B261,$C$2:$C$501,C261)&gt;1),"중복 의심","")))</f>
        <v/>
      </c>
      <c r="G261">
        <f>IF(AND(A261&lt;&gt;"",A261=가족별!$B$1),COUNTIF($A$2:A261,가족별!$B$1),"")</f>
        <v/>
      </c>
      <c r="H261">
        <f>IF(COUNTA(B261:C261)&gt;0,1,0)</f>
        <v/>
      </c>
      <c r="I261">
        <f>IF(F261="",0,1)</f>
        <v/>
      </c>
    </row>
    <row r="262">
      <c r="A262" s="41" t="n"/>
      <c r="B262" s="41" t="n"/>
      <c r="C262" s="41" t="n"/>
      <c r="D262" s="41" t="n"/>
      <c r="E262" s="41" t="n"/>
      <c r="F262" s="19">
        <f>IF(COUNTA(A262:E262)=0,"",TRIM(IF(A262="","받은 가족 없음 ","")&amp;IF(B262="","보낸 분 없음 ","")&amp;IF(AND(B262&lt;&gt;"",COUNTIFS($B$2:$B$501,B262,$C$2:$C$501,C262)&gt;1),"중복 의심","")))</f>
        <v/>
      </c>
      <c r="G262">
        <f>IF(AND(A262&lt;&gt;"",A262=가족별!$B$1),COUNTIF($A$2:A262,가족별!$B$1),"")</f>
        <v/>
      </c>
      <c r="H262">
        <f>IF(COUNTA(B262:C262)&gt;0,1,0)</f>
        <v/>
      </c>
      <c r="I262">
        <f>IF(F262="",0,1)</f>
        <v/>
      </c>
    </row>
    <row r="263">
      <c r="A263" s="41" t="n"/>
      <c r="B263" s="41" t="n"/>
      <c r="C263" s="41" t="n"/>
      <c r="D263" s="41" t="n"/>
      <c r="E263" s="41" t="n"/>
      <c r="F263" s="19">
        <f>IF(COUNTA(A263:E263)=0,"",TRIM(IF(A263="","받은 가족 없음 ","")&amp;IF(B263="","보낸 분 없음 ","")&amp;IF(AND(B263&lt;&gt;"",COUNTIFS($B$2:$B$501,B263,$C$2:$C$501,C263)&gt;1),"중복 의심","")))</f>
        <v/>
      </c>
      <c r="G263">
        <f>IF(AND(A263&lt;&gt;"",A263=가족별!$B$1),COUNTIF($A$2:A263,가족별!$B$1),"")</f>
        <v/>
      </c>
      <c r="H263">
        <f>IF(COUNTA(B263:C263)&gt;0,1,0)</f>
        <v/>
      </c>
      <c r="I263">
        <f>IF(F263="",0,1)</f>
        <v/>
      </c>
    </row>
    <row r="264">
      <c r="A264" s="41" t="n"/>
      <c r="B264" s="41" t="n"/>
      <c r="C264" s="41" t="n"/>
      <c r="D264" s="41" t="n"/>
      <c r="E264" s="41" t="n"/>
      <c r="F264" s="19">
        <f>IF(COUNTA(A264:E264)=0,"",TRIM(IF(A264="","받은 가족 없음 ","")&amp;IF(B264="","보낸 분 없음 ","")&amp;IF(AND(B264&lt;&gt;"",COUNTIFS($B$2:$B$501,B264,$C$2:$C$501,C264)&gt;1),"중복 의심","")))</f>
        <v/>
      </c>
      <c r="G264">
        <f>IF(AND(A264&lt;&gt;"",A264=가족별!$B$1),COUNTIF($A$2:A264,가족별!$B$1),"")</f>
        <v/>
      </c>
      <c r="H264">
        <f>IF(COUNTA(B264:C264)&gt;0,1,0)</f>
        <v/>
      </c>
      <c r="I264">
        <f>IF(F264="",0,1)</f>
        <v/>
      </c>
    </row>
    <row r="265">
      <c r="A265" s="41" t="n"/>
      <c r="B265" s="41" t="n"/>
      <c r="C265" s="41" t="n"/>
      <c r="D265" s="41" t="n"/>
      <c r="E265" s="41" t="n"/>
      <c r="F265" s="19">
        <f>IF(COUNTA(A265:E265)=0,"",TRIM(IF(A265="","받은 가족 없음 ","")&amp;IF(B265="","보낸 분 없음 ","")&amp;IF(AND(B265&lt;&gt;"",COUNTIFS($B$2:$B$501,B265,$C$2:$C$501,C265)&gt;1),"중복 의심","")))</f>
        <v/>
      </c>
      <c r="G265">
        <f>IF(AND(A265&lt;&gt;"",A265=가족별!$B$1),COUNTIF($A$2:A265,가족별!$B$1),"")</f>
        <v/>
      </c>
      <c r="H265">
        <f>IF(COUNTA(B265:C265)&gt;0,1,0)</f>
        <v/>
      </c>
      <c r="I265">
        <f>IF(F265="",0,1)</f>
        <v/>
      </c>
    </row>
    <row r="266">
      <c r="A266" s="41" t="n"/>
      <c r="B266" s="41" t="n"/>
      <c r="C266" s="41" t="n"/>
      <c r="D266" s="41" t="n"/>
      <c r="E266" s="41" t="n"/>
      <c r="F266" s="19">
        <f>IF(COUNTA(A266:E266)=0,"",TRIM(IF(A266="","받은 가족 없음 ","")&amp;IF(B266="","보낸 분 없음 ","")&amp;IF(AND(B266&lt;&gt;"",COUNTIFS($B$2:$B$501,B266,$C$2:$C$501,C266)&gt;1),"중복 의심","")))</f>
        <v/>
      </c>
      <c r="G266">
        <f>IF(AND(A266&lt;&gt;"",A266=가족별!$B$1),COUNTIF($A$2:A266,가족별!$B$1),"")</f>
        <v/>
      </c>
      <c r="H266">
        <f>IF(COUNTA(B266:C266)&gt;0,1,0)</f>
        <v/>
      </c>
      <c r="I266">
        <f>IF(F266="",0,1)</f>
        <v/>
      </c>
    </row>
    <row r="267">
      <c r="A267" s="41" t="n"/>
      <c r="B267" s="41" t="n"/>
      <c r="C267" s="41" t="n"/>
      <c r="D267" s="41" t="n"/>
      <c r="E267" s="41" t="n"/>
      <c r="F267" s="19">
        <f>IF(COUNTA(A267:E267)=0,"",TRIM(IF(A267="","받은 가족 없음 ","")&amp;IF(B267="","보낸 분 없음 ","")&amp;IF(AND(B267&lt;&gt;"",COUNTIFS($B$2:$B$501,B267,$C$2:$C$501,C267)&gt;1),"중복 의심","")))</f>
        <v/>
      </c>
      <c r="G267">
        <f>IF(AND(A267&lt;&gt;"",A267=가족별!$B$1),COUNTIF($A$2:A267,가족별!$B$1),"")</f>
        <v/>
      </c>
      <c r="H267">
        <f>IF(COUNTA(B267:C267)&gt;0,1,0)</f>
        <v/>
      </c>
      <c r="I267">
        <f>IF(F267="",0,1)</f>
        <v/>
      </c>
    </row>
    <row r="268">
      <c r="A268" s="41" t="n"/>
      <c r="B268" s="41" t="n"/>
      <c r="C268" s="41" t="n"/>
      <c r="D268" s="41" t="n"/>
      <c r="E268" s="41" t="n"/>
      <c r="F268" s="19">
        <f>IF(COUNTA(A268:E268)=0,"",TRIM(IF(A268="","받은 가족 없음 ","")&amp;IF(B268="","보낸 분 없음 ","")&amp;IF(AND(B268&lt;&gt;"",COUNTIFS($B$2:$B$501,B268,$C$2:$C$501,C268)&gt;1),"중복 의심","")))</f>
        <v/>
      </c>
      <c r="G268">
        <f>IF(AND(A268&lt;&gt;"",A268=가족별!$B$1),COUNTIF($A$2:A268,가족별!$B$1),"")</f>
        <v/>
      </c>
      <c r="H268">
        <f>IF(COUNTA(B268:C268)&gt;0,1,0)</f>
        <v/>
      </c>
      <c r="I268">
        <f>IF(F268="",0,1)</f>
        <v/>
      </c>
    </row>
    <row r="269">
      <c r="A269" s="41" t="n"/>
      <c r="B269" s="41" t="n"/>
      <c r="C269" s="41" t="n"/>
      <c r="D269" s="41" t="n"/>
      <c r="E269" s="41" t="n"/>
      <c r="F269" s="19">
        <f>IF(COUNTA(A269:E269)=0,"",TRIM(IF(A269="","받은 가족 없음 ","")&amp;IF(B269="","보낸 분 없음 ","")&amp;IF(AND(B269&lt;&gt;"",COUNTIFS($B$2:$B$501,B269,$C$2:$C$501,C269)&gt;1),"중복 의심","")))</f>
        <v/>
      </c>
      <c r="G269">
        <f>IF(AND(A269&lt;&gt;"",A269=가족별!$B$1),COUNTIF($A$2:A269,가족별!$B$1),"")</f>
        <v/>
      </c>
      <c r="H269">
        <f>IF(COUNTA(B269:C269)&gt;0,1,0)</f>
        <v/>
      </c>
      <c r="I269">
        <f>IF(F269="",0,1)</f>
        <v/>
      </c>
    </row>
    <row r="270">
      <c r="A270" s="41" t="n"/>
      <c r="B270" s="41" t="n"/>
      <c r="C270" s="41" t="n"/>
      <c r="D270" s="41" t="n"/>
      <c r="E270" s="41" t="n"/>
      <c r="F270" s="19">
        <f>IF(COUNTA(A270:E270)=0,"",TRIM(IF(A270="","받은 가족 없음 ","")&amp;IF(B270="","보낸 분 없음 ","")&amp;IF(AND(B270&lt;&gt;"",COUNTIFS($B$2:$B$501,B270,$C$2:$C$501,C270)&gt;1),"중복 의심","")))</f>
        <v/>
      </c>
      <c r="G270">
        <f>IF(AND(A270&lt;&gt;"",A270=가족별!$B$1),COUNTIF($A$2:A270,가족별!$B$1),"")</f>
        <v/>
      </c>
      <c r="H270">
        <f>IF(COUNTA(B270:C270)&gt;0,1,0)</f>
        <v/>
      </c>
      <c r="I270">
        <f>IF(F270="",0,1)</f>
        <v/>
      </c>
    </row>
    <row r="271">
      <c r="A271" s="41" t="n"/>
      <c r="B271" s="41" t="n"/>
      <c r="C271" s="41" t="n"/>
      <c r="D271" s="41" t="n"/>
      <c r="E271" s="41" t="n"/>
      <c r="F271" s="19">
        <f>IF(COUNTA(A271:E271)=0,"",TRIM(IF(A271="","받은 가족 없음 ","")&amp;IF(B271="","보낸 분 없음 ","")&amp;IF(AND(B271&lt;&gt;"",COUNTIFS($B$2:$B$501,B271,$C$2:$C$501,C271)&gt;1),"중복 의심","")))</f>
        <v/>
      </c>
      <c r="G271">
        <f>IF(AND(A271&lt;&gt;"",A271=가족별!$B$1),COUNTIF($A$2:A271,가족별!$B$1),"")</f>
        <v/>
      </c>
      <c r="H271">
        <f>IF(COUNTA(B271:C271)&gt;0,1,0)</f>
        <v/>
      </c>
      <c r="I271">
        <f>IF(F271="",0,1)</f>
        <v/>
      </c>
    </row>
    <row r="272">
      <c r="A272" s="41" t="n"/>
      <c r="B272" s="41" t="n"/>
      <c r="C272" s="41" t="n"/>
      <c r="D272" s="41" t="n"/>
      <c r="E272" s="41" t="n"/>
      <c r="F272" s="19">
        <f>IF(COUNTA(A272:E272)=0,"",TRIM(IF(A272="","받은 가족 없음 ","")&amp;IF(B272="","보낸 분 없음 ","")&amp;IF(AND(B272&lt;&gt;"",COUNTIFS($B$2:$B$501,B272,$C$2:$C$501,C272)&gt;1),"중복 의심","")))</f>
        <v/>
      </c>
      <c r="G272">
        <f>IF(AND(A272&lt;&gt;"",A272=가족별!$B$1),COUNTIF($A$2:A272,가족별!$B$1),"")</f>
        <v/>
      </c>
      <c r="H272">
        <f>IF(COUNTA(B272:C272)&gt;0,1,0)</f>
        <v/>
      </c>
      <c r="I272">
        <f>IF(F272="",0,1)</f>
        <v/>
      </c>
    </row>
    <row r="273">
      <c r="A273" s="41" t="n"/>
      <c r="B273" s="41" t="n"/>
      <c r="C273" s="41" t="n"/>
      <c r="D273" s="41" t="n"/>
      <c r="E273" s="41" t="n"/>
      <c r="F273" s="19">
        <f>IF(COUNTA(A273:E273)=0,"",TRIM(IF(A273="","받은 가족 없음 ","")&amp;IF(B273="","보낸 분 없음 ","")&amp;IF(AND(B273&lt;&gt;"",COUNTIFS($B$2:$B$501,B273,$C$2:$C$501,C273)&gt;1),"중복 의심","")))</f>
        <v/>
      </c>
      <c r="G273">
        <f>IF(AND(A273&lt;&gt;"",A273=가족별!$B$1),COUNTIF($A$2:A273,가족별!$B$1),"")</f>
        <v/>
      </c>
      <c r="H273">
        <f>IF(COUNTA(B273:C273)&gt;0,1,0)</f>
        <v/>
      </c>
      <c r="I273">
        <f>IF(F273="",0,1)</f>
        <v/>
      </c>
    </row>
    <row r="274">
      <c r="A274" s="41" t="n"/>
      <c r="B274" s="41" t="n"/>
      <c r="C274" s="41" t="n"/>
      <c r="D274" s="41" t="n"/>
      <c r="E274" s="41" t="n"/>
      <c r="F274" s="19">
        <f>IF(COUNTA(A274:E274)=0,"",TRIM(IF(A274="","받은 가족 없음 ","")&amp;IF(B274="","보낸 분 없음 ","")&amp;IF(AND(B274&lt;&gt;"",COUNTIFS($B$2:$B$501,B274,$C$2:$C$501,C274)&gt;1),"중복 의심","")))</f>
        <v/>
      </c>
      <c r="G274">
        <f>IF(AND(A274&lt;&gt;"",A274=가족별!$B$1),COUNTIF($A$2:A274,가족별!$B$1),"")</f>
        <v/>
      </c>
      <c r="H274">
        <f>IF(COUNTA(B274:C274)&gt;0,1,0)</f>
        <v/>
      </c>
      <c r="I274">
        <f>IF(F274="",0,1)</f>
        <v/>
      </c>
    </row>
    <row r="275">
      <c r="A275" s="41" t="n"/>
      <c r="B275" s="41" t="n"/>
      <c r="C275" s="41" t="n"/>
      <c r="D275" s="41" t="n"/>
      <c r="E275" s="41" t="n"/>
      <c r="F275" s="19">
        <f>IF(COUNTA(A275:E275)=0,"",TRIM(IF(A275="","받은 가족 없음 ","")&amp;IF(B275="","보낸 분 없음 ","")&amp;IF(AND(B275&lt;&gt;"",COUNTIFS($B$2:$B$501,B275,$C$2:$C$501,C275)&gt;1),"중복 의심","")))</f>
        <v/>
      </c>
      <c r="G275">
        <f>IF(AND(A275&lt;&gt;"",A275=가족별!$B$1),COUNTIF($A$2:A275,가족별!$B$1),"")</f>
        <v/>
      </c>
      <c r="H275">
        <f>IF(COUNTA(B275:C275)&gt;0,1,0)</f>
        <v/>
      </c>
      <c r="I275">
        <f>IF(F275="",0,1)</f>
        <v/>
      </c>
    </row>
    <row r="276">
      <c r="A276" s="41" t="n"/>
      <c r="B276" s="41" t="n"/>
      <c r="C276" s="41" t="n"/>
      <c r="D276" s="41" t="n"/>
      <c r="E276" s="41" t="n"/>
      <c r="F276" s="19">
        <f>IF(COUNTA(A276:E276)=0,"",TRIM(IF(A276="","받은 가족 없음 ","")&amp;IF(B276="","보낸 분 없음 ","")&amp;IF(AND(B276&lt;&gt;"",COUNTIFS($B$2:$B$501,B276,$C$2:$C$501,C276)&gt;1),"중복 의심","")))</f>
        <v/>
      </c>
      <c r="G276">
        <f>IF(AND(A276&lt;&gt;"",A276=가족별!$B$1),COUNTIF($A$2:A276,가족별!$B$1),"")</f>
        <v/>
      </c>
      <c r="H276">
        <f>IF(COUNTA(B276:C276)&gt;0,1,0)</f>
        <v/>
      </c>
      <c r="I276">
        <f>IF(F276="",0,1)</f>
        <v/>
      </c>
    </row>
    <row r="277">
      <c r="A277" s="41" t="n"/>
      <c r="B277" s="41" t="n"/>
      <c r="C277" s="41" t="n"/>
      <c r="D277" s="41" t="n"/>
      <c r="E277" s="41" t="n"/>
      <c r="F277" s="19">
        <f>IF(COUNTA(A277:E277)=0,"",TRIM(IF(A277="","받은 가족 없음 ","")&amp;IF(B277="","보낸 분 없음 ","")&amp;IF(AND(B277&lt;&gt;"",COUNTIFS($B$2:$B$501,B277,$C$2:$C$501,C277)&gt;1),"중복 의심","")))</f>
        <v/>
      </c>
      <c r="G277">
        <f>IF(AND(A277&lt;&gt;"",A277=가족별!$B$1),COUNTIF($A$2:A277,가족별!$B$1),"")</f>
        <v/>
      </c>
      <c r="H277">
        <f>IF(COUNTA(B277:C277)&gt;0,1,0)</f>
        <v/>
      </c>
      <c r="I277">
        <f>IF(F277="",0,1)</f>
        <v/>
      </c>
    </row>
    <row r="278">
      <c r="A278" s="41" t="n"/>
      <c r="B278" s="41" t="n"/>
      <c r="C278" s="41" t="n"/>
      <c r="D278" s="41" t="n"/>
      <c r="E278" s="41" t="n"/>
      <c r="F278" s="19">
        <f>IF(COUNTA(A278:E278)=0,"",TRIM(IF(A278="","받은 가족 없음 ","")&amp;IF(B278="","보낸 분 없음 ","")&amp;IF(AND(B278&lt;&gt;"",COUNTIFS($B$2:$B$501,B278,$C$2:$C$501,C278)&gt;1),"중복 의심","")))</f>
        <v/>
      </c>
      <c r="G278">
        <f>IF(AND(A278&lt;&gt;"",A278=가족별!$B$1),COUNTIF($A$2:A278,가족별!$B$1),"")</f>
        <v/>
      </c>
      <c r="H278">
        <f>IF(COUNTA(B278:C278)&gt;0,1,0)</f>
        <v/>
      </c>
      <c r="I278">
        <f>IF(F278="",0,1)</f>
        <v/>
      </c>
    </row>
    <row r="279">
      <c r="A279" s="41" t="n"/>
      <c r="B279" s="41" t="n"/>
      <c r="C279" s="41" t="n"/>
      <c r="D279" s="41" t="n"/>
      <c r="E279" s="41" t="n"/>
      <c r="F279" s="19">
        <f>IF(COUNTA(A279:E279)=0,"",TRIM(IF(A279="","받은 가족 없음 ","")&amp;IF(B279="","보낸 분 없음 ","")&amp;IF(AND(B279&lt;&gt;"",COUNTIFS($B$2:$B$501,B279,$C$2:$C$501,C279)&gt;1),"중복 의심","")))</f>
        <v/>
      </c>
      <c r="G279">
        <f>IF(AND(A279&lt;&gt;"",A279=가족별!$B$1),COUNTIF($A$2:A279,가족별!$B$1),"")</f>
        <v/>
      </c>
      <c r="H279">
        <f>IF(COUNTA(B279:C279)&gt;0,1,0)</f>
        <v/>
      </c>
      <c r="I279">
        <f>IF(F279="",0,1)</f>
        <v/>
      </c>
    </row>
    <row r="280">
      <c r="A280" s="41" t="n"/>
      <c r="B280" s="41" t="n"/>
      <c r="C280" s="41" t="n"/>
      <c r="D280" s="41" t="n"/>
      <c r="E280" s="41" t="n"/>
      <c r="F280" s="19">
        <f>IF(COUNTA(A280:E280)=0,"",TRIM(IF(A280="","받은 가족 없음 ","")&amp;IF(B280="","보낸 분 없음 ","")&amp;IF(AND(B280&lt;&gt;"",COUNTIFS($B$2:$B$501,B280,$C$2:$C$501,C280)&gt;1),"중복 의심","")))</f>
        <v/>
      </c>
      <c r="G280">
        <f>IF(AND(A280&lt;&gt;"",A280=가족별!$B$1),COUNTIF($A$2:A280,가족별!$B$1),"")</f>
        <v/>
      </c>
      <c r="H280">
        <f>IF(COUNTA(B280:C280)&gt;0,1,0)</f>
        <v/>
      </c>
      <c r="I280">
        <f>IF(F280="",0,1)</f>
        <v/>
      </c>
    </row>
    <row r="281">
      <c r="A281" s="41" t="n"/>
      <c r="B281" s="41" t="n"/>
      <c r="C281" s="41" t="n"/>
      <c r="D281" s="41" t="n"/>
      <c r="E281" s="41" t="n"/>
      <c r="F281" s="19">
        <f>IF(COUNTA(A281:E281)=0,"",TRIM(IF(A281="","받은 가족 없음 ","")&amp;IF(B281="","보낸 분 없음 ","")&amp;IF(AND(B281&lt;&gt;"",COUNTIFS($B$2:$B$501,B281,$C$2:$C$501,C281)&gt;1),"중복 의심","")))</f>
        <v/>
      </c>
      <c r="G281">
        <f>IF(AND(A281&lt;&gt;"",A281=가족별!$B$1),COUNTIF($A$2:A281,가족별!$B$1),"")</f>
        <v/>
      </c>
      <c r="H281">
        <f>IF(COUNTA(B281:C281)&gt;0,1,0)</f>
        <v/>
      </c>
      <c r="I281">
        <f>IF(F281="",0,1)</f>
        <v/>
      </c>
    </row>
    <row r="282">
      <c r="A282" s="41" t="n"/>
      <c r="B282" s="41" t="n"/>
      <c r="C282" s="41" t="n"/>
      <c r="D282" s="41" t="n"/>
      <c r="E282" s="41" t="n"/>
      <c r="F282" s="19">
        <f>IF(COUNTA(A282:E282)=0,"",TRIM(IF(A282="","받은 가족 없음 ","")&amp;IF(B282="","보낸 분 없음 ","")&amp;IF(AND(B282&lt;&gt;"",COUNTIFS($B$2:$B$501,B282,$C$2:$C$501,C282)&gt;1),"중복 의심","")))</f>
        <v/>
      </c>
      <c r="G282">
        <f>IF(AND(A282&lt;&gt;"",A282=가족별!$B$1),COUNTIF($A$2:A282,가족별!$B$1),"")</f>
        <v/>
      </c>
      <c r="H282">
        <f>IF(COUNTA(B282:C282)&gt;0,1,0)</f>
        <v/>
      </c>
      <c r="I282">
        <f>IF(F282="",0,1)</f>
        <v/>
      </c>
    </row>
    <row r="283">
      <c r="A283" s="41" t="n"/>
      <c r="B283" s="41" t="n"/>
      <c r="C283" s="41" t="n"/>
      <c r="D283" s="41" t="n"/>
      <c r="E283" s="41" t="n"/>
      <c r="F283" s="19">
        <f>IF(COUNTA(A283:E283)=0,"",TRIM(IF(A283="","받은 가족 없음 ","")&amp;IF(B283="","보낸 분 없음 ","")&amp;IF(AND(B283&lt;&gt;"",COUNTIFS($B$2:$B$501,B283,$C$2:$C$501,C283)&gt;1),"중복 의심","")))</f>
        <v/>
      </c>
      <c r="G283">
        <f>IF(AND(A283&lt;&gt;"",A283=가족별!$B$1),COUNTIF($A$2:A283,가족별!$B$1),"")</f>
        <v/>
      </c>
      <c r="H283">
        <f>IF(COUNTA(B283:C283)&gt;0,1,0)</f>
        <v/>
      </c>
      <c r="I283">
        <f>IF(F283="",0,1)</f>
        <v/>
      </c>
    </row>
    <row r="284">
      <c r="A284" s="41" t="n"/>
      <c r="B284" s="41" t="n"/>
      <c r="C284" s="41" t="n"/>
      <c r="D284" s="41" t="n"/>
      <c r="E284" s="41" t="n"/>
      <c r="F284" s="19">
        <f>IF(COUNTA(A284:E284)=0,"",TRIM(IF(A284="","받은 가족 없음 ","")&amp;IF(B284="","보낸 분 없음 ","")&amp;IF(AND(B284&lt;&gt;"",COUNTIFS($B$2:$B$501,B284,$C$2:$C$501,C284)&gt;1),"중복 의심","")))</f>
        <v/>
      </c>
      <c r="G284">
        <f>IF(AND(A284&lt;&gt;"",A284=가족별!$B$1),COUNTIF($A$2:A284,가족별!$B$1),"")</f>
        <v/>
      </c>
      <c r="H284">
        <f>IF(COUNTA(B284:C284)&gt;0,1,0)</f>
        <v/>
      </c>
      <c r="I284">
        <f>IF(F284="",0,1)</f>
        <v/>
      </c>
    </row>
    <row r="285">
      <c r="A285" s="41" t="n"/>
      <c r="B285" s="41" t="n"/>
      <c r="C285" s="41" t="n"/>
      <c r="D285" s="41" t="n"/>
      <c r="E285" s="41" t="n"/>
      <c r="F285" s="19">
        <f>IF(COUNTA(A285:E285)=0,"",TRIM(IF(A285="","받은 가족 없음 ","")&amp;IF(B285="","보낸 분 없음 ","")&amp;IF(AND(B285&lt;&gt;"",COUNTIFS($B$2:$B$501,B285,$C$2:$C$501,C285)&gt;1),"중복 의심","")))</f>
        <v/>
      </c>
      <c r="G285">
        <f>IF(AND(A285&lt;&gt;"",A285=가족별!$B$1),COUNTIF($A$2:A285,가족별!$B$1),"")</f>
        <v/>
      </c>
      <c r="H285">
        <f>IF(COUNTA(B285:C285)&gt;0,1,0)</f>
        <v/>
      </c>
      <c r="I285">
        <f>IF(F285="",0,1)</f>
        <v/>
      </c>
    </row>
    <row r="286">
      <c r="A286" s="41" t="n"/>
      <c r="B286" s="41" t="n"/>
      <c r="C286" s="41" t="n"/>
      <c r="D286" s="41" t="n"/>
      <c r="E286" s="41" t="n"/>
      <c r="F286" s="19">
        <f>IF(COUNTA(A286:E286)=0,"",TRIM(IF(A286="","받은 가족 없음 ","")&amp;IF(B286="","보낸 분 없음 ","")&amp;IF(AND(B286&lt;&gt;"",COUNTIFS($B$2:$B$501,B286,$C$2:$C$501,C286)&gt;1),"중복 의심","")))</f>
        <v/>
      </c>
      <c r="G286">
        <f>IF(AND(A286&lt;&gt;"",A286=가족별!$B$1),COUNTIF($A$2:A286,가족별!$B$1),"")</f>
        <v/>
      </c>
      <c r="H286">
        <f>IF(COUNTA(B286:C286)&gt;0,1,0)</f>
        <v/>
      </c>
      <c r="I286">
        <f>IF(F286="",0,1)</f>
        <v/>
      </c>
    </row>
    <row r="287">
      <c r="A287" s="41" t="n"/>
      <c r="B287" s="41" t="n"/>
      <c r="C287" s="41" t="n"/>
      <c r="D287" s="41" t="n"/>
      <c r="E287" s="41" t="n"/>
      <c r="F287" s="19">
        <f>IF(COUNTA(A287:E287)=0,"",TRIM(IF(A287="","받은 가족 없음 ","")&amp;IF(B287="","보낸 분 없음 ","")&amp;IF(AND(B287&lt;&gt;"",COUNTIFS($B$2:$B$501,B287,$C$2:$C$501,C287)&gt;1),"중복 의심","")))</f>
        <v/>
      </c>
      <c r="G287">
        <f>IF(AND(A287&lt;&gt;"",A287=가족별!$B$1),COUNTIF($A$2:A287,가족별!$B$1),"")</f>
        <v/>
      </c>
      <c r="H287">
        <f>IF(COUNTA(B287:C287)&gt;0,1,0)</f>
        <v/>
      </c>
      <c r="I287">
        <f>IF(F287="",0,1)</f>
        <v/>
      </c>
    </row>
    <row r="288">
      <c r="A288" s="41" t="n"/>
      <c r="B288" s="41" t="n"/>
      <c r="C288" s="41" t="n"/>
      <c r="D288" s="41" t="n"/>
      <c r="E288" s="41" t="n"/>
      <c r="F288" s="19">
        <f>IF(COUNTA(A288:E288)=0,"",TRIM(IF(A288="","받은 가족 없음 ","")&amp;IF(B288="","보낸 분 없음 ","")&amp;IF(AND(B288&lt;&gt;"",COUNTIFS($B$2:$B$501,B288,$C$2:$C$501,C288)&gt;1),"중복 의심","")))</f>
        <v/>
      </c>
      <c r="G288">
        <f>IF(AND(A288&lt;&gt;"",A288=가족별!$B$1),COUNTIF($A$2:A288,가족별!$B$1),"")</f>
        <v/>
      </c>
      <c r="H288">
        <f>IF(COUNTA(B288:C288)&gt;0,1,0)</f>
        <v/>
      </c>
      <c r="I288">
        <f>IF(F288="",0,1)</f>
        <v/>
      </c>
    </row>
    <row r="289">
      <c r="A289" s="41" t="n"/>
      <c r="B289" s="41" t="n"/>
      <c r="C289" s="41" t="n"/>
      <c r="D289" s="41" t="n"/>
      <c r="E289" s="41" t="n"/>
      <c r="F289" s="19">
        <f>IF(COUNTA(A289:E289)=0,"",TRIM(IF(A289="","받은 가족 없음 ","")&amp;IF(B289="","보낸 분 없음 ","")&amp;IF(AND(B289&lt;&gt;"",COUNTIFS($B$2:$B$501,B289,$C$2:$C$501,C289)&gt;1),"중복 의심","")))</f>
        <v/>
      </c>
      <c r="G289">
        <f>IF(AND(A289&lt;&gt;"",A289=가족별!$B$1),COUNTIF($A$2:A289,가족별!$B$1),"")</f>
        <v/>
      </c>
      <c r="H289">
        <f>IF(COUNTA(B289:C289)&gt;0,1,0)</f>
        <v/>
      </c>
      <c r="I289">
        <f>IF(F289="",0,1)</f>
        <v/>
      </c>
    </row>
    <row r="290">
      <c r="A290" s="41" t="n"/>
      <c r="B290" s="41" t="n"/>
      <c r="C290" s="41" t="n"/>
      <c r="D290" s="41" t="n"/>
      <c r="E290" s="41" t="n"/>
      <c r="F290" s="19">
        <f>IF(COUNTA(A290:E290)=0,"",TRIM(IF(A290="","받은 가족 없음 ","")&amp;IF(B290="","보낸 분 없음 ","")&amp;IF(AND(B290&lt;&gt;"",COUNTIFS($B$2:$B$501,B290,$C$2:$C$501,C290)&gt;1),"중복 의심","")))</f>
        <v/>
      </c>
      <c r="G290">
        <f>IF(AND(A290&lt;&gt;"",A290=가족별!$B$1),COUNTIF($A$2:A290,가족별!$B$1),"")</f>
        <v/>
      </c>
      <c r="H290">
        <f>IF(COUNTA(B290:C290)&gt;0,1,0)</f>
        <v/>
      </c>
      <c r="I290">
        <f>IF(F290="",0,1)</f>
        <v/>
      </c>
    </row>
    <row r="291">
      <c r="A291" s="41" t="n"/>
      <c r="B291" s="41" t="n"/>
      <c r="C291" s="41" t="n"/>
      <c r="D291" s="41" t="n"/>
      <c r="E291" s="41" t="n"/>
      <c r="F291" s="19">
        <f>IF(COUNTA(A291:E291)=0,"",TRIM(IF(A291="","받은 가족 없음 ","")&amp;IF(B291="","보낸 분 없음 ","")&amp;IF(AND(B291&lt;&gt;"",COUNTIFS($B$2:$B$501,B291,$C$2:$C$501,C291)&gt;1),"중복 의심","")))</f>
        <v/>
      </c>
      <c r="G291">
        <f>IF(AND(A291&lt;&gt;"",A291=가족별!$B$1),COUNTIF($A$2:A291,가족별!$B$1),"")</f>
        <v/>
      </c>
      <c r="H291">
        <f>IF(COUNTA(B291:C291)&gt;0,1,0)</f>
        <v/>
      </c>
      <c r="I291">
        <f>IF(F291="",0,1)</f>
        <v/>
      </c>
    </row>
    <row r="292">
      <c r="A292" s="41" t="n"/>
      <c r="B292" s="41" t="n"/>
      <c r="C292" s="41" t="n"/>
      <c r="D292" s="41" t="n"/>
      <c r="E292" s="41" t="n"/>
      <c r="F292" s="19">
        <f>IF(COUNTA(A292:E292)=0,"",TRIM(IF(A292="","받은 가족 없음 ","")&amp;IF(B292="","보낸 분 없음 ","")&amp;IF(AND(B292&lt;&gt;"",COUNTIFS($B$2:$B$501,B292,$C$2:$C$501,C292)&gt;1),"중복 의심","")))</f>
        <v/>
      </c>
      <c r="G292">
        <f>IF(AND(A292&lt;&gt;"",A292=가족별!$B$1),COUNTIF($A$2:A292,가족별!$B$1),"")</f>
        <v/>
      </c>
      <c r="H292">
        <f>IF(COUNTA(B292:C292)&gt;0,1,0)</f>
        <v/>
      </c>
      <c r="I292">
        <f>IF(F292="",0,1)</f>
        <v/>
      </c>
    </row>
    <row r="293">
      <c r="A293" s="41" t="n"/>
      <c r="B293" s="41" t="n"/>
      <c r="C293" s="41" t="n"/>
      <c r="D293" s="41" t="n"/>
      <c r="E293" s="41" t="n"/>
      <c r="F293" s="19">
        <f>IF(COUNTA(A293:E293)=0,"",TRIM(IF(A293="","받은 가족 없음 ","")&amp;IF(B293="","보낸 분 없음 ","")&amp;IF(AND(B293&lt;&gt;"",COUNTIFS($B$2:$B$501,B293,$C$2:$C$501,C293)&gt;1),"중복 의심","")))</f>
        <v/>
      </c>
      <c r="G293">
        <f>IF(AND(A293&lt;&gt;"",A293=가족별!$B$1),COUNTIF($A$2:A293,가족별!$B$1),"")</f>
        <v/>
      </c>
      <c r="H293">
        <f>IF(COUNTA(B293:C293)&gt;0,1,0)</f>
        <v/>
      </c>
      <c r="I293">
        <f>IF(F293="",0,1)</f>
        <v/>
      </c>
    </row>
    <row r="294">
      <c r="A294" s="41" t="n"/>
      <c r="B294" s="41" t="n"/>
      <c r="C294" s="41" t="n"/>
      <c r="D294" s="41" t="n"/>
      <c r="E294" s="41" t="n"/>
      <c r="F294" s="19">
        <f>IF(COUNTA(A294:E294)=0,"",TRIM(IF(A294="","받은 가족 없음 ","")&amp;IF(B294="","보낸 분 없음 ","")&amp;IF(AND(B294&lt;&gt;"",COUNTIFS($B$2:$B$501,B294,$C$2:$C$501,C294)&gt;1),"중복 의심","")))</f>
        <v/>
      </c>
      <c r="G294">
        <f>IF(AND(A294&lt;&gt;"",A294=가족별!$B$1),COUNTIF($A$2:A294,가족별!$B$1),"")</f>
        <v/>
      </c>
      <c r="H294">
        <f>IF(COUNTA(B294:C294)&gt;0,1,0)</f>
        <v/>
      </c>
      <c r="I294">
        <f>IF(F294="",0,1)</f>
        <v/>
      </c>
    </row>
    <row r="295">
      <c r="A295" s="41" t="n"/>
      <c r="B295" s="41" t="n"/>
      <c r="C295" s="41" t="n"/>
      <c r="D295" s="41" t="n"/>
      <c r="E295" s="41" t="n"/>
      <c r="F295" s="19">
        <f>IF(COUNTA(A295:E295)=0,"",TRIM(IF(A295="","받은 가족 없음 ","")&amp;IF(B295="","보낸 분 없음 ","")&amp;IF(AND(B295&lt;&gt;"",COUNTIFS($B$2:$B$501,B295,$C$2:$C$501,C295)&gt;1),"중복 의심","")))</f>
        <v/>
      </c>
      <c r="G295">
        <f>IF(AND(A295&lt;&gt;"",A295=가족별!$B$1),COUNTIF($A$2:A295,가족별!$B$1),"")</f>
        <v/>
      </c>
      <c r="H295">
        <f>IF(COUNTA(B295:C295)&gt;0,1,0)</f>
        <v/>
      </c>
      <c r="I295">
        <f>IF(F295="",0,1)</f>
        <v/>
      </c>
    </row>
    <row r="296">
      <c r="A296" s="41" t="n"/>
      <c r="B296" s="41" t="n"/>
      <c r="C296" s="41" t="n"/>
      <c r="D296" s="41" t="n"/>
      <c r="E296" s="41" t="n"/>
      <c r="F296" s="19">
        <f>IF(COUNTA(A296:E296)=0,"",TRIM(IF(A296="","받은 가족 없음 ","")&amp;IF(B296="","보낸 분 없음 ","")&amp;IF(AND(B296&lt;&gt;"",COUNTIFS($B$2:$B$501,B296,$C$2:$C$501,C296)&gt;1),"중복 의심","")))</f>
        <v/>
      </c>
      <c r="G296">
        <f>IF(AND(A296&lt;&gt;"",A296=가족별!$B$1),COUNTIF($A$2:A296,가족별!$B$1),"")</f>
        <v/>
      </c>
      <c r="H296">
        <f>IF(COUNTA(B296:C296)&gt;0,1,0)</f>
        <v/>
      </c>
      <c r="I296">
        <f>IF(F296="",0,1)</f>
        <v/>
      </c>
    </row>
    <row r="297">
      <c r="A297" s="41" t="n"/>
      <c r="B297" s="41" t="n"/>
      <c r="C297" s="41" t="n"/>
      <c r="D297" s="41" t="n"/>
      <c r="E297" s="41" t="n"/>
      <c r="F297" s="19">
        <f>IF(COUNTA(A297:E297)=0,"",TRIM(IF(A297="","받은 가족 없음 ","")&amp;IF(B297="","보낸 분 없음 ","")&amp;IF(AND(B297&lt;&gt;"",COUNTIFS($B$2:$B$501,B297,$C$2:$C$501,C297)&gt;1),"중복 의심","")))</f>
        <v/>
      </c>
      <c r="G297">
        <f>IF(AND(A297&lt;&gt;"",A297=가족별!$B$1),COUNTIF($A$2:A297,가족별!$B$1),"")</f>
        <v/>
      </c>
      <c r="H297">
        <f>IF(COUNTA(B297:C297)&gt;0,1,0)</f>
        <v/>
      </c>
      <c r="I297">
        <f>IF(F297="",0,1)</f>
        <v/>
      </c>
    </row>
    <row r="298">
      <c r="A298" s="41" t="n"/>
      <c r="B298" s="41" t="n"/>
      <c r="C298" s="41" t="n"/>
      <c r="D298" s="41" t="n"/>
      <c r="E298" s="41" t="n"/>
      <c r="F298" s="19">
        <f>IF(COUNTA(A298:E298)=0,"",TRIM(IF(A298="","받은 가족 없음 ","")&amp;IF(B298="","보낸 분 없음 ","")&amp;IF(AND(B298&lt;&gt;"",COUNTIFS($B$2:$B$501,B298,$C$2:$C$501,C298)&gt;1),"중복 의심","")))</f>
        <v/>
      </c>
      <c r="G298">
        <f>IF(AND(A298&lt;&gt;"",A298=가족별!$B$1),COUNTIF($A$2:A298,가족별!$B$1),"")</f>
        <v/>
      </c>
      <c r="H298">
        <f>IF(COUNTA(B298:C298)&gt;0,1,0)</f>
        <v/>
      </c>
      <c r="I298">
        <f>IF(F298="",0,1)</f>
        <v/>
      </c>
    </row>
    <row r="299">
      <c r="A299" s="41" t="n"/>
      <c r="B299" s="41" t="n"/>
      <c r="C299" s="41" t="n"/>
      <c r="D299" s="41" t="n"/>
      <c r="E299" s="41" t="n"/>
      <c r="F299" s="19">
        <f>IF(COUNTA(A299:E299)=0,"",TRIM(IF(A299="","받은 가족 없음 ","")&amp;IF(B299="","보낸 분 없음 ","")&amp;IF(AND(B299&lt;&gt;"",COUNTIFS($B$2:$B$501,B299,$C$2:$C$501,C299)&gt;1),"중복 의심","")))</f>
        <v/>
      </c>
      <c r="G299">
        <f>IF(AND(A299&lt;&gt;"",A299=가족별!$B$1),COUNTIF($A$2:A299,가족별!$B$1),"")</f>
        <v/>
      </c>
      <c r="H299">
        <f>IF(COUNTA(B299:C299)&gt;0,1,0)</f>
        <v/>
      </c>
      <c r="I299">
        <f>IF(F299="",0,1)</f>
        <v/>
      </c>
    </row>
    <row r="300">
      <c r="A300" s="41" t="n"/>
      <c r="B300" s="41" t="n"/>
      <c r="C300" s="41" t="n"/>
      <c r="D300" s="41" t="n"/>
      <c r="E300" s="41" t="n"/>
      <c r="F300" s="19">
        <f>IF(COUNTA(A300:E300)=0,"",TRIM(IF(A300="","받은 가족 없음 ","")&amp;IF(B300="","보낸 분 없음 ","")&amp;IF(AND(B300&lt;&gt;"",COUNTIFS($B$2:$B$501,B300,$C$2:$C$501,C300)&gt;1),"중복 의심","")))</f>
        <v/>
      </c>
      <c r="G300">
        <f>IF(AND(A300&lt;&gt;"",A300=가족별!$B$1),COUNTIF($A$2:A300,가족별!$B$1),"")</f>
        <v/>
      </c>
      <c r="H300">
        <f>IF(COUNTA(B300:C300)&gt;0,1,0)</f>
        <v/>
      </c>
      <c r="I300">
        <f>IF(F300="",0,1)</f>
        <v/>
      </c>
    </row>
    <row r="301">
      <c r="A301" s="41" t="n"/>
      <c r="B301" s="41" t="n"/>
      <c r="C301" s="41" t="n"/>
      <c r="D301" s="41" t="n"/>
      <c r="E301" s="41" t="n"/>
      <c r="F301" s="19">
        <f>IF(COUNTA(A301:E301)=0,"",TRIM(IF(A301="","받은 가족 없음 ","")&amp;IF(B301="","보낸 분 없음 ","")&amp;IF(AND(B301&lt;&gt;"",COUNTIFS($B$2:$B$501,B301,$C$2:$C$501,C301)&gt;1),"중복 의심","")))</f>
        <v/>
      </c>
      <c r="G301">
        <f>IF(AND(A301&lt;&gt;"",A301=가족별!$B$1),COUNTIF($A$2:A301,가족별!$B$1),"")</f>
        <v/>
      </c>
      <c r="H301">
        <f>IF(COUNTA(B301:C301)&gt;0,1,0)</f>
        <v/>
      </c>
      <c r="I301">
        <f>IF(F301="",0,1)</f>
        <v/>
      </c>
    </row>
    <row r="302">
      <c r="A302" s="41" t="n"/>
      <c r="B302" s="41" t="n"/>
      <c r="C302" s="41" t="n"/>
      <c r="D302" s="41" t="n"/>
      <c r="E302" s="41" t="n"/>
      <c r="F302" s="19">
        <f>IF(COUNTA(A302:E302)=0,"",TRIM(IF(A302="","받은 가족 없음 ","")&amp;IF(B302="","보낸 분 없음 ","")&amp;IF(AND(B302&lt;&gt;"",COUNTIFS($B$2:$B$501,B302,$C$2:$C$501,C302)&gt;1),"중복 의심","")))</f>
        <v/>
      </c>
      <c r="G302">
        <f>IF(AND(A302&lt;&gt;"",A302=가족별!$B$1),COUNTIF($A$2:A302,가족별!$B$1),"")</f>
        <v/>
      </c>
      <c r="H302">
        <f>IF(COUNTA(B302:C302)&gt;0,1,0)</f>
        <v/>
      </c>
      <c r="I302">
        <f>IF(F302="",0,1)</f>
        <v/>
      </c>
    </row>
    <row r="303">
      <c r="A303" s="41" t="n"/>
      <c r="B303" s="41" t="n"/>
      <c r="C303" s="41" t="n"/>
      <c r="D303" s="41" t="n"/>
      <c r="E303" s="41" t="n"/>
      <c r="F303" s="19">
        <f>IF(COUNTA(A303:E303)=0,"",TRIM(IF(A303="","받은 가족 없음 ","")&amp;IF(B303="","보낸 분 없음 ","")&amp;IF(AND(B303&lt;&gt;"",COUNTIFS($B$2:$B$501,B303,$C$2:$C$501,C303)&gt;1),"중복 의심","")))</f>
        <v/>
      </c>
      <c r="G303">
        <f>IF(AND(A303&lt;&gt;"",A303=가족별!$B$1),COUNTIF($A$2:A303,가족별!$B$1),"")</f>
        <v/>
      </c>
      <c r="H303">
        <f>IF(COUNTA(B303:C303)&gt;0,1,0)</f>
        <v/>
      </c>
      <c r="I303">
        <f>IF(F303="",0,1)</f>
        <v/>
      </c>
    </row>
    <row r="304">
      <c r="A304" s="41" t="n"/>
      <c r="B304" s="41" t="n"/>
      <c r="C304" s="41" t="n"/>
      <c r="D304" s="41" t="n"/>
      <c r="E304" s="41" t="n"/>
      <c r="F304" s="19">
        <f>IF(COUNTA(A304:E304)=0,"",TRIM(IF(A304="","받은 가족 없음 ","")&amp;IF(B304="","보낸 분 없음 ","")&amp;IF(AND(B304&lt;&gt;"",COUNTIFS($B$2:$B$501,B304,$C$2:$C$501,C304)&gt;1),"중복 의심","")))</f>
        <v/>
      </c>
      <c r="G304">
        <f>IF(AND(A304&lt;&gt;"",A304=가족별!$B$1),COUNTIF($A$2:A304,가족별!$B$1),"")</f>
        <v/>
      </c>
      <c r="H304">
        <f>IF(COUNTA(B304:C304)&gt;0,1,0)</f>
        <v/>
      </c>
      <c r="I304">
        <f>IF(F304="",0,1)</f>
        <v/>
      </c>
    </row>
    <row r="305">
      <c r="A305" s="41" t="n"/>
      <c r="B305" s="41" t="n"/>
      <c r="C305" s="41" t="n"/>
      <c r="D305" s="41" t="n"/>
      <c r="E305" s="41" t="n"/>
      <c r="F305" s="19">
        <f>IF(COUNTA(A305:E305)=0,"",TRIM(IF(A305="","받은 가족 없음 ","")&amp;IF(B305="","보낸 분 없음 ","")&amp;IF(AND(B305&lt;&gt;"",COUNTIFS($B$2:$B$501,B305,$C$2:$C$501,C305)&gt;1),"중복 의심","")))</f>
        <v/>
      </c>
      <c r="G305">
        <f>IF(AND(A305&lt;&gt;"",A305=가족별!$B$1),COUNTIF($A$2:A305,가족별!$B$1),"")</f>
        <v/>
      </c>
      <c r="H305">
        <f>IF(COUNTA(B305:C305)&gt;0,1,0)</f>
        <v/>
      </c>
      <c r="I305">
        <f>IF(F305="",0,1)</f>
        <v/>
      </c>
    </row>
    <row r="306">
      <c r="A306" s="41" t="n"/>
      <c r="B306" s="41" t="n"/>
      <c r="C306" s="41" t="n"/>
      <c r="D306" s="41" t="n"/>
      <c r="E306" s="41" t="n"/>
      <c r="F306" s="19">
        <f>IF(COUNTA(A306:E306)=0,"",TRIM(IF(A306="","받은 가족 없음 ","")&amp;IF(B306="","보낸 분 없음 ","")&amp;IF(AND(B306&lt;&gt;"",COUNTIFS($B$2:$B$501,B306,$C$2:$C$501,C306)&gt;1),"중복 의심","")))</f>
        <v/>
      </c>
      <c r="G306">
        <f>IF(AND(A306&lt;&gt;"",A306=가족별!$B$1),COUNTIF($A$2:A306,가족별!$B$1),"")</f>
        <v/>
      </c>
      <c r="H306">
        <f>IF(COUNTA(B306:C306)&gt;0,1,0)</f>
        <v/>
      </c>
      <c r="I306">
        <f>IF(F306="",0,1)</f>
        <v/>
      </c>
    </row>
    <row r="307">
      <c r="A307" s="41" t="n"/>
      <c r="B307" s="41" t="n"/>
      <c r="C307" s="41" t="n"/>
      <c r="D307" s="41" t="n"/>
      <c r="E307" s="41" t="n"/>
      <c r="F307" s="19">
        <f>IF(COUNTA(A307:E307)=0,"",TRIM(IF(A307="","받은 가족 없음 ","")&amp;IF(B307="","보낸 분 없음 ","")&amp;IF(AND(B307&lt;&gt;"",COUNTIFS($B$2:$B$501,B307,$C$2:$C$501,C307)&gt;1),"중복 의심","")))</f>
        <v/>
      </c>
      <c r="G307">
        <f>IF(AND(A307&lt;&gt;"",A307=가족별!$B$1),COUNTIF($A$2:A307,가족별!$B$1),"")</f>
        <v/>
      </c>
      <c r="H307">
        <f>IF(COUNTA(B307:C307)&gt;0,1,0)</f>
        <v/>
      </c>
      <c r="I307">
        <f>IF(F307="",0,1)</f>
        <v/>
      </c>
    </row>
    <row r="308">
      <c r="A308" s="41" t="n"/>
      <c r="B308" s="41" t="n"/>
      <c r="C308" s="41" t="n"/>
      <c r="D308" s="41" t="n"/>
      <c r="E308" s="41" t="n"/>
      <c r="F308" s="19">
        <f>IF(COUNTA(A308:E308)=0,"",TRIM(IF(A308="","받은 가족 없음 ","")&amp;IF(B308="","보낸 분 없음 ","")&amp;IF(AND(B308&lt;&gt;"",COUNTIFS($B$2:$B$501,B308,$C$2:$C$501,C308)&gt;1),"중복 의심","")))</f>
        <v/>
      </c>
      <c r="G308">
        <f>IF(AND(A308&lt;&gt;"",A308=가족별!$B$1),COUNTIF($A$2:A308,가족별!$B$1),"")</f>
        <v/>
      </c>
      <c r="H308">
        <f>IF(COUNTA(B308:C308)&gt;0,1,0)</f>
        <v/>
      </c>
      <c r="I308">
        <f>IF(F308="",0,1)</f>
        <v/>
      </c>
    </row>
    <row r="309">
      <c r="A309" s="41" t="n"/>
      <c r="B309" s="41" t="n"/>
      <c r="C309" s="41" t="n"/>
      <c r="D309" s="41" t="n"/>
      <c r="E309" s="41" t="n"/>
      <c r="F309" s="19">
        <f>IF(COUNTA(A309:E309)=0,"",TRIM(IF(A309="","받은 가족 없음 ","")&amp;IF(B309="","보낸 분 없음 ","")&amp;IF(AND(B309&lt;&gt;"",COUNTIFS($B$2:$B$501,B309,$C$2:$C$501,C309)&gt;1),"중복 의심","")))</f>
        <v/>
      </c>
      <c r="G309">
        <f>IF(AND(A309&lt;&gt;"",A309=가족별!$B$1),COUNTIF($A$2:A309,가족별!$B$1),"")</f>
        <v/>
      </c>
      <c r="H309">
        <f>IF(COUNTA(B309:C309)&gt;0,1,0)</f>
        <v/>
      </c>
      <c r="I309">
        <f>IF(F309="",0,1)</f>
        <v/>
      </c>
    </row>
    <row r="310">
      <c r="A310" s="41" t="n"/>
      <c r="B310" s="41" t="n"/>
      <c r="C310" s="41" t="n"/>
      <c r="D310" s="41" t="n"/>
      <c r="E310" s="41" t="n"/>
      <c r="F310" s="19">
        <f>IF(COUNTA(A310:E310)=0,"",TRIM(IF(A310="","받은 가족 없음 ","")&amp;IF(B310="","보낸 분 없음 ","")&amp;IF(AND(B310&lt;&gt;"",COUNTIFS($B$2:$B$501,B310,$C$2:$C$501,C310)&gt;1),"중복 의심","")))</f>
        <v/>
      </c>
      <c r="G310">
        <f>IF(AND(A310&lt;&gt;"",A310=가족별!$B$1),COUNTIF($A$2:A310,가족별!$B$1),"")</f>
        <v/>
      </c>
      <c r="H310">
        <f>IF(COUNTA(B310:C310)&gt;0,1,0)</f>
        <v/>
      </c>
      <c r="I310">
        <f>IF(F310="",0,1)</f>
        <v/>
      </c>
    </row>
    <row r="311">
      <c r="A311" s="41" t="n"/>
      <c r="B311" s="41" t="n"/>
      <c r="C311" s="41" t="n"/>
      <c r="D311" s="41" t="n"/>
      <c r="E311" s="41" t="n"/>
      <c r="F311" s="19">
        <f>IF(COUNTA(A311:E311)=0,"",TRIM(IF(A311="","받은 가족 없음 ","")&amp;IF(B311="","보낸 분 없음 ","")&amp;IF(AND(B311&lt;&gt;"",COUNTIFS($B$2:$B$501,B311,$C$2:$C$501,C311)&gt;1),"중복 의심","")))</f>
        <v/>
      </c>
      <c r="G311">
        <f>IF(AND(A311&lt;&gt;"",A311=가족별!$B$1),COUNTIF($A$2:A311,가족별!$B$1),"")</f>
        <v/>
      </c>
      <c r="H311">
        <f>IF(COUNTA(B311:C311)&gt;0,1,0)</f>
        <v/>
      </c>
      <c r="I311">
        <f>IF(F311="",0,1)</f>
        <v/>
      </c>
    </row>
    <row r="312">
      <c r="A312" s="41" t="n"/>
      <c r="B312" s="41" t="n"/>
      <c r="C312" s="41" t="n"/>
      <c r="D312" s="41" t="n"/>
      <c r="E312" s="41" t="n"/>
      <c r="F312" s="19">
        <f>IF(COUNTA(A312:E312)=0,"",TRIM(IF(A312="","받은 가족 없음 ","")&amp;IF(B312="","보낸 분 없음 ","")&amp;IF(AND(B312&lt;&gt;"",COUNTIFS($B$2:$B$501,B312,$C$2:$C$501,C312)&gt;1),"중복 의심","")))</f>
        <v/>
      </c>
      <c r="G312">
        <f>IF(AND(A312&lt;&gt;"",A312=가족별!$B$1),COUNTIF($A$2:A312,가족별!$B$1),"")</f>
        <v/>
      </c>
      <c r="H312">
        <f>IF(COUNTA(B312:C312)&gt;0,1,0)</f>
        <v/>
      </c>
      <c r="I312">
        <f>IF(F312="",0,1)</f>
        <v/>
      </c>
    </row>
    <row r="313">
      <c r="A313" s="41" t="n"/>
      <c r="B313" s="41" t="n"/>
      <c r="C313" s="41" t="n"/>
      <c r="D313" s="41" t="n"/>
      <c r="E313" s="41" t="n"/>
      <c r="F313" s="19">
        <f>IF(COUNTA(A313:E313)=0,"",TRIM(IF(A313="","받은 가족 없음 ","")&amp;IF(B313="","보낸 분 없음 ","")&amp;IF(AND(B313&lt;&gt;"",COUNTIFS($B$2:$B$501,B313,$C$2:$C$501,C313)&gt;1),"중복 의심","")))</f>
        <v/>
      </c>
      <c r="G313">
        <f>IF(AND(A313&lt;&gt;"",A313=가족별!$B$1),COUNTIF($A$2:A313,가족별!$B$1),"")</f>
        <v/>
      </c>
      <c r="H313">
        <f>IF(COUNTA(B313:C313)&gt;0,1,0)</f>
        <v/>
      </c>
      <c r="I313">
        <f>IF(F313="",0,1)</f>
        <v/>
      </c>
    </row>
    <row r="314">
      <c r="A314" s="41" t="n"/>
      <c r="B314" s="41" t="n"/>
      <c r="C314" s="41" t="n"/>
      <c r="D314" s="41" t="n"/>
      <c r="E314" s="41" t="n"/>
      <c r="F314" s="19">
        <f>IF(COUNTA(A314:E314)=0,"",TRIM(IF(A314="","받은 가족 없음 ","")&amp;IF(B314="","보낸 분 없음 ","")&amp;IF(AND(B314&lt;&gt;"",COUNTIFS($B$2:$B$501,B314,$C$2:$C$501,C314)&gt;1),"중복 의심","")))</f>
        <v/>
      </c>
      <c r="G314">
        <f>IF(AND(A314&lt;&gt;"",A314=가족별!$B$1),COUNTIF($A$2:A314,가족별!$B$1),"")</f>
        <v/>
      </c>
      <c r="H314">
        <f>IF(COUNTA(B314:C314)&gt;0,1,0)</f>
        <v/>
      </c>
      <c r="I314">
        <f>IF(F314="",0,1)</f>
        <v/>
      </c>
    </row>
    <row r="315">
      <c r="A315" s="41" t="n"/>
      <c r="B315" s="41" t="n"/>
      <c r="C315" s="41" t="n"/>
      <c r="D315" s="41" t="n"/>
      <c r="E315" s="41" t="n"/>
      <c r="F315" s="19">
        <f>IF(COUNTA(A315:E315)=0,"",TRIM(IF(A315="","받은 가족 없음 ","")&amp;IF(B315="","보낸 분 없음 ","")&amp;IF(AND(B315&lt;&gt;"",COUNTIFS($B$2:$B$501,B315,$C$2:$C$501,C315)&gt;1),"중복 의심","")))</f>
        <v/>
      </c>
      <c r="G315">
        <f>IF(AND(A315&lt;&gt;"",A315=가족별!$B$1),COUNTIF($A$2:A315,가족별!$B$1),"")</f>
        <v/>
      </c>
      <c r="H315">
        <f>IF(COUNTA(B315:C315)&gt;0,1,0)</f>
        <v/>
      </c>
      <c r="I315">
        <f>IF(F315="",0,1)</f>
        <v/>
      </c>
    </row>
    <row r="316">
      <c r="A316" s="41" t="n"/>
      <c r="B316" s="41" t="n"/>
      <c r="C316" s="41" t="n"/>
      <c r="D316" s="41" t="n"/>
      <c r="E316" s="41" t="n"/>
      <c r="F316" s="19">
        <f>IF(COUNTA(A316:E316)=0,"",TRIM(IF(A316="","받은 가족 없음 ","")&amp;IF(B316="","보낸 분 없음 ","")&amp;IF(AND(B316&lt;&gt;"",COUNTIFS($B$2:$B$501,B316,$C$2:$C$501,C316)&gt;1),"중복 의심","")))</f>
        <v/>
      </c>
      <c r="G316">
        <f>IF(AND(A316&lt;&gt;"",A316=가족별!$B$1),COUNTIF($A$2:A316,가족별!$B$1),"")</f>
        <v/>
      </c>
      <c r="H316">
        <f>IF(COUNTA(B316:C316)&gt;0,1,0)</f>
        <v/>
      </c>
      <c r="I316">
        <f>IF(F316="",0,1)</f>
        <v/>
      </c>
    </row>
    <row r="317">
      <c r="A317" s="41" t="n"/>
      <c r="B317" s="41" t="n"/>
      <c r="C317" s="41" t="n"/>
      <c r="D317" s="41" t="n"/>
      <c r="E317" s="41" t="n"/>
      <c r="F317" s="19">
        <f>IF(COUNTA(A317:E317)=0,"",TRIM(IF(A317="","받은 가족 없음 ","")&amp;IF(B317="","보낸 분 없음 ","")&amp;IF(AND(B317&lt;&gt;"",COUNTIFS($B$2:$B$501,B317,$C$2:$C$501,C317)&gt;1),"중복 의심","")))</f>
        <v/>
      </c>
      <c r="G317">
        <f>IF(AND(A317&lt;&gt;"",A317=가족별!$B$1),COUNTIF($A$2:A317,가족별!$B$1),"")</f>
        <v/>
      </c>
      <c r="H317">
        <f>IF(COUNTA(B317:C317)&gt;0,1,0)</f>
        <v/>
      </c>
      <c r="I317">
        <f>IF(F317="",0,1)</f>
        <v/>
      </c>
    </row>
    <row r="318">
      <c r="A318" s="41" t="n"/>
      <c r="B318" s="41" t="n"/>
      <c r="C318" s="41" t="n"/>
      <c r="D318" s="41" t="n"/>
      <c r="E318" s="41" t="n"/>
      <c r="F318" s="19">
        <f>IF(COUNTA(A318:E318)=0,"",TRIM(IF(A318="","받은 가족 없음 ","")&amp;IF(B318="","보낸 분 없음 ","")&amp;IF(AND(B318&lt;&gt;"",COUNTIFS($B$2:$B$501,B318,$C$2:$C$501,C318)&gt;1),"중복 의심","")))</f>
        <v/>
      </c>
      <c r="G318">
        <f>IF(AND(A318&lt;&gt;"",A318=가족별!$B$1),COUNTIF($A$2:A318,가족별!$B$1),"")</f>
        <v/>
      </c>
      <c r="H318">
        <f>IF(COUNTA(B318:C318)&gt;0,1,0)</f>
        <v/>
      </c>
      <c r="I318">
        <f>IF(F318="",0,1)</f>
        <v/>
      </c>
    </row>
    <row r="319">
      <c r="A319" s="41" t="n"/>
      <c r="B319" s="41" t="n"/>
      <c r="C319" s="41" t="n"/>
      <c r="D319" s="41" t="n"/>
      <c r="E319" s="41" t="n"/>
      <c r="F319" s="19">
        <f>IF(COUNTA(A319:E319)=0,"",TRIM(IF(A319="","받은 가족 없음 ","")&amp;IF(B319="","보낸 분 없음 ","")&amp;IF(AND(B319&lt;&gt;"",COUNTIFS($B$2:$B$501,B319,$C$2:$C$501,C319)&gt;1),"중복 의심","")))</f>
        <v/>
      </c>
      <c r="G319">
        <f>IF(AND(A319&lt;&gt;"",A319=가족별!$B$1),COUNTIF($A$2:A319,가족별!$B$1),"")</f>
        <v/>
      </c>
      <c r="H319">
        <f>IF(COUNTA(B319:C319)&gt;0,1,0)</f>
        <v/>
      </c>
      <c r="I319">
        <f>IF(F319="",0,1)</f>
        <v/>
      </c>
    </row>
    <row r="320">
      <c r="A320" s="41" t="n"/>
      <c r="B320" s="41" t="n"/>
      <c r="C320" s="41" t="n"/>
      <c r="D320" s="41" t="n"/>
      <c r="E320" s="41" t="n"/>
      <c r="F320" s="19">
        <f>IF(COUNTA(A320:E320)=0,"",TRIM(IF(A320="","받은 가족 없음 ","")&amp;IF(B320="","보낸 분 없음 ","")&amp;IF(AND(B320&lt;&gt;"",COUNTIFS($B$2:$B$501,B320,$C$2:$C$501,C320)&gt;1),"중복 의심","")))</f>
        <v/>
      </c>
      <c r="G320">
        <f>IF(AND(A320&lt;&gt;"",A320=가족별!$B$1),COUNTIF($A$2:A320,가족별!$B$1),"")</f>
        <v/>
      </c>
      <c r="H320">
        <f>IF(COUNTA(B320:C320)&gt;0,1,0)</f>
        <v/>
      </c>
      <c r="I320">
        <f>IF(F320="",0,1)</f>
        <v/>
      </c>
    </row>
    <row r="321">
      <c r="A321" s="41" t="n"/>
      <c r="B321" s="41" t="n"/>
      <c r="C321" s="41" t="n"/>
      <c r="D321" s="41" t="n"/>
      <c r="E321" s="41" t="n"/>
      <c r="F321" s="19">
        <f>IF(COUNTA(A321:E321)=0,"",TRIM(IF(A321="","받은 가족 없음 ","")&amp;IF(B321="","보낸 분 없음 ","")&amp;IF(AND(B321&lt;&gt;"",COUNTIFS($B$2:$B$501,B321,$C$2:$C$501,C321)&gt;1),"중복 의심","")))</f>
        <v/>
      </c>
      <c r="G321">
        <f>IF(AND(A321&lt;&gt;"",A321=가족별!$B$1),COUNTIF($A$2:A321,가족별!$B$1),"")</f>
        <v/>
      </c>
      <c r="H321">
        <f>IF(COUNTA(B321:C321)&gt;0,1,0)</f>
        <v/>
      </c>
      <c r="I321">
        <f>IF(F321="",0,1)</f>
        <v/>
      </c>
    </row>
    <row r="322">
      <c r="A322" s="41" t="n"/>
      <c r="B322" s="41" t="n"/>
      <c r="C322" s="41" t="n"/>
      <c r="D322" s="41" t="n"/>
      <c r="E322" s="41" t="n"/>
      <c r="F322" s="19">
        <f>IF(COUNTA(A322:E322)=0,"",TRIM(IF(A322="","받은 가족 없음 ","")&amp;IF(B322="","보낸 분 없음 ","")&amp;IF(AND(B322&lt;&gt;"",COUNTIFS($B$2:$B$501,B322,$C$2:$C$501,C322)&gt;1),"중복 의심","")))</f>
        <v/>
      </c>
      <c r="G322">
        <f>IF(AND(A322&lt;&gt;"",A322=가족별!$B$1),COUNTIF($A$2:A322,가족별!$B$1),"")</f>
        <v/>
      </c>
      <c r="H322">
        <f>IF(COUNTA(B322:C322)&gt;0,1,0)</f>
        <v/>
      </c>
      <c r="I322">
        <f>IF(F322="",0,1)</f>
        <v/>
      </c>
    </row>
    <row r="323">
      <c r="A323" s="41" t="n"/>
      <c r="B323" s="41" t="n"/>
      <c r="C323" s="41" t="n"/>
      <c r="D323" s="41" t="n"/>
      <c r="E323" s="41" t="n"/>
      <c r="F323" s="19">
        <f>IF(COUNTA(A323:E323)=0,"",TRIM(IF(A323="","받은 가족 없음 ","")&amp;IF(B323="","보낸 분 없음 ","")&amp;IF(AND(B323&lt;&gt;"",COUNTIFS($B$2:$B$501,B323,$C$2:$C$501,C323)&gt;1),"중복 의심","")))</f>
        <v/>
      </c>
      <c r="G323">
        <f>IF(AND(A323&lt;&gt;"",A323=가족별!$B$1),COUNTIF($A$2:A323,가족별!$B$1),"")</f>
        <v/>
      </c>
      <c r="H323">
        <f>IF(COUNTA(B323:C323)&gt;0,1,0)</f>
        <v/>
      </c>
      <c r="I323">
        <f>IF(F323="",0,1)</f>
        <v/>
      </c>
    </row>
    <row r="324">
      <c r="A324" s="41" t="n"/>
      <c r="B324" s="41" t="n"/>
      <c r="C324" s="41" t="n"/>
      <c r="D324" s="41" t="n"/>
      <c r="E324" s="41" t="n"/>
      <c r="F324" s="19">
        <f>IF(COUNTA(A324:E324)=0,"",TRIM(IF(A324="","받은 가족 없음 ","")&amp;IF(B324="","보낸 분 없음 ","")&amp;IF(AND(B324&lt;&gt;"",COUNTIFS($B$2:$B$501,B324,$C$2:$C$501,C324)&gt;1),"중복 의심","")))</f>
        <v/>
      </c>
      <c r="G324">
        <f>IF(AND(A324&lt;&gt;"",A324=가족별!$B$1),COUNTIF($A$2:A324,가족별!$B$1),"")</f>
        <v/>
      </c>
      <c r="H324">
        <f>IF(COUNTA(B324:C324)&gt;0,1,0)</f>
        <v/>
      </c>
      <c r="I324">
        <f>IF(F324="",0,1)</f>
        <v/>
      </c>
    </row>
    <row r="325">
      <c r="A325" s="41" t="n"/>
      <c r="B325" s="41" t="n"/>
      <c r="C325" s="41" t="n"/>
      <c r="D325" s="41" t="n"/>
      <c r="E325" s="41" t="n"/>
      <c r="F325" s="19">
        <f>IF(COUNTA(A325:E325)=0,"",TRIM(IF(A325="","받은 가족 없음 ","")&amp;IF(B325="","보낸 분 없음 ","")&amp;IF(AND(B325&lt;&gt;"",COUNTIFS($B$2:$B$501,B325,$C$2:$C$501,C325)&gt;1),"중복 의심","")))</f>
        <v/>
      </c>
      <c r="G325">
        <f>IF(AND(A325&lt;&gt;"",A325=가족별!$B$1),COUNTIF($A$2:A325,가족별!$B$1),"")</f>
        <v/>
      </c>
      <c r="H325">
        <f>IF(COUNTA(B325:C325)&gt;0,1,0)</f>
        <v/>
      </c>
      <c r="I325">
        <f>IF(F325="",0,1)</f>
        <v/>
      </c>
    </row>
    <row r="326">
      <c r="A326" s="41" t="n"/>
      <c r="B326" s="41" t="n"/>
      <c r="C326" s="41" t="n"/>
      <c r="D326" s="41" t="n"/>
      <c r="E326" s="41" t="n"/>
      <c r="F326" s="19">
        <f>IF(COUNTA(A326:E326)=0,"",TRIM(IF(A326="","받은 가족 없음 ","")&amp;IF(B326="","보낸 분 없음 ","")&amp;IF(AND(B326&lt;&gt;"",COUNTIFS($B$2:$B$501,B326,$C$2:$C$501,C326)&gt;1),"중복 의심","")))</f>
        <v/>
      </c>
      <c r="G326">
        <f>IF(AND(A326&lt;&gt;"",A326=가족별!$B$1),COUNTIF($A$2:A326,가족별!$B$1),"")</f>
        <v/>
      </c>
      <c r="H326">
        <f>IF(COUNTA(B326:C326)&gt;0,1,0)</f>
        <v/>
      </c>
      <c r="I326">
        <f>IF(F326="",0,1)</f>
        <v/>
      </c>
    </row>
    <row r="327">
      <c r="A327" s="41" t="n"/>
      <c r="B327" s="41" t="n"/>
      <c r="C327" s="41" t="n"/>
      <c r="D327" s="41" t="n"/>
      <c r="E327" s="41" t="n"/>
      <c r="F327" s="19">
        <f>IF(COUNTA(A327:E327)=0,"",TRIM(IF(A327="","받은 가족 없음 ","")&amp;IF(B327="","보낸 분 없음 ","")&amp;IF(AND(B327&lt;&gt;"",COUNTIFS($B$2:$B$501,B327,$C$2:$C$501,C327)&gt;1),"중복 의심","")))</f>
        <v/>
      </c>
      <c r="G327">
        <f>IF(AND(A327&lt;&gt;"",A327=가족별!$B$1),COUNTIF($A$2:A327,가족별!$B$1),"")</f>
        <v/>
      </c>
      <c r="H327">
        <f>IF(COUNTA(B327:C327)&gt;0,1,0)</f>
        <v/>
      </c>
      <c r="I327">
        <f>IF(F327="",0,1)</f>
        <v/>
      </c>
    </row>
    <row r="328">
      <c r="A328" s="41" t="n"/>
      <c r="B328" s="41" t="n"/>
      <c r="C328" s="41" t="n"/>
      <c r="D328" s="41" t="n"/>
      <c r="E328" s="41" t="n"/>
      <c r="F328" s="19">
        <f>IF(COUNTA(A328:E328)=0,"",TRIM(IF(A328="","받은 가족 없음 ","")&amp;IF(B328="","보낸 분 없음 ","")&amp;IF(AND(B328&lt;&gt;"",COUNTIFS($B$2:$B$501,B328,$C$2:$C$501,C328)&gt;1),"중복 의심","")))</f>
        <v/>
      </c>
      <c r="G328">
        <f>IF(AND(A328&lt;&gt;"",A328=가족별!$B$1),COUNTIF($A$2:A328,가족별!$B$1),"")</f>
        <v/>
      </c>
      <c r="H328">
        <f>IF(COUNTA(B328:C328)&gt;0,1,0)</f>
        <v/>
      </c>
      <c r="I328">
        <f>IF(F328="",0,1)</f>
        <v/>
      </c>
    </row>
    <row r="329">
      <c r="A329" s="41" t="n"/>
      <c r="B329" s="41" t="n"/>
      <c r="C329" s="41" t="n"/>
      <c r="D329" s="41" t="n"/>
      <c r="E329" s="41" t="n"/>
      <c r="F329" s="19">
        <f>IF(COUNTA(A329:E329)=0,"",TRIM(IF(A329="","받은 가족 없음 ","")&amp;IF(B329="","보낸 분 없음 ","")&amp;IF(AND(B329&lt;&gt;"",COUNTIFS($B$2:$B$501,B329,$C$2:$C$501,C329)&gt;1),"중복 의심","")))</f>
        <v/>
      </c>
      <c r="G329">
        <f>IF(AND(A329&lt;&gt;"",A329=가족별!$B$1),COUNTIF($A$2:A329,가족별!$B$1),"")</f>
        <v/>
      </c>
      <c r="H329">
        <f>IF(COUNTA(B329:C329)&gt;0,1,0)</f>
        <v/>
      </c>
      <c r="I329">
        <f>IF(F329="",0,1)</f>
        <v/>
      </c>
    </row>
    <row r="330">
      <c r="A330" s="41" t="n"/>
      <c r="B330" s="41" t="n"/>
      <c r="C330" s="41" t="n"/>
      <c r="D330" s="41" t="n"/>
      <c r="E330" s="41" t="n"/>
      <c r="F330" s="19">
        <f>IF(COUNTA(A330:E330)=0,"",TRIM(IF(A330="","받은 가족 없음 ","")&amp;IF(B330="","보낸 분 없음 ","")&amp;IF(AND(B330&lt;&gt;"",COUNTIFS($B$2:$B$501,B330,$C$2:$C$501,C330)&gt;1),"중복 의심","")))</f>
        <v/>
      </c>
      <c r="G330">
        <f>IF(AND(A330&lt;&gt;"",A330=가족별!$B$1),COUNTIF($A$2:A330,가족별!$B$1),"")</f>
        <v/>
      </c>
      <c r="H330">
        <f>IF(COUNTA(B330:C330)&gt;0,1,0)</f>
        <v/>
      </c>
      <c r="I330">
        <f>IF(F330="",0,1)</f>
        <v/>
      </c>
    </row>
    <row r="331">
      <c r="A331" s="41" t="n"/>
      <c r="B331" s="41" t="n"/>
      <c r="C331" s="41" t="n"/>
      <c r="D331" s="41" t="n"/>
      <c r="E331" s="41" t="n"/>
      <c r="F331" s="19">
        <f>IF(COUNTA(A331:E331)=0,"",TRIM(IF(A331="","받은 가족 없음 ","")&amp;IF(B331="","보낸 분 없음 ","")&amp;IF(AND(B331&lt;&gt;"",COUNTIFS($B$2:$B$501,B331,$C$2:$C$501,C331)&gt;1),"중복 의심","")))</f>
        <v/>
      </c>
      <c r="G331">
        <f>IF(AND(A331&lt;&gt;"",A331=가족별!$B$1),COUNTIF($A$2:A331,가족별!$B$1),"")</f>
        <v/>
      </c>
      <c r="H331">
        <f>IF(COUNTA(B331:C331)&gt;0,1,0)</f>
        <v/>
      </c>
      <c r="I331">
        <f>IF(F331="",0,1)</f>
        <v/>
      </c>
    </row>
    <row r="332">
      <c r="A332" s="41" t="n"/>
      <c r="B332" s="41" t="n"/>
      <c r="C332" s="41" t="n"/>
      <c r="D332" s="41" t="n"/>
      <c r="E332" s="41" t="n"/>
      <c r="F332" s="19">
        <f>IF(COUNTA(A332:E332)=0,"",TRIM(IF(A332="","받은 가족 없음 ","")&amp;IF(B332="","보낸 분 없음 ","")&amp;IF(AND(B332&lt;&gt;"",COUNTIFS($B$2:$B$501,B332,$C$2:$C$501,C332)&gt;1),"중복 의심","")))</f>
        <v/>
      </c>
      <c r="G332">
        <f>IF(AND(A332&lt;&gt;"",A332=가족별!$B$1),COUNTIF($A$2:A332,가족별!$B$1),"")</f>
        <v/>
      </c>
      <c r="H332">
        <f>IF(COUNTA(B332:C332)&gt;0,1,0)</f>
        <v/>
      </c>
      <c r="I332">
        <f>IF(F332="",0,1)</f>
        <v/>
      </c>
    </row>
    <row r="333">
      <c r="A333" s="41" t="n"/>
      <c r="B333" s="41" t="n"/>
      <c r="C333" s="41" t="n"/>
      <c r="D333" s="41" t="n"/>
      <c r="E333" s="41" t="n"/>
      <c r="F333" s="19">
        <f>IF(COUNTA(A333:E333)=0,"",TRIM(IF(A333="","받은 가족 없음 ","")&amp;IF(B333="","보낸 분 없음 ","")&amp;IF(AND(B333&lt;&gt;"",COUNTIFS($B$2:$B$501,B333,$C$2:$C$501,C333)&gt;1),"중복 의심","")))</f>
        <v/>
      </c>
      <c r="G333">
        <f>IF(AND(A333&lt;&gt;"",A333=가족별!$B$1),COUNTIF($A$2:A333,가족별!$B$1),"")</f>
        <v/>
      </c>
      <c r="H333">
        <f>IF(COUNTA(B333:C333)&gt;0,1,0)</f>
        <v/>
      </c>
      <c r="I333">
        <f>IF(F333="",0,1)</f>
        <v/>
      </c>
    </row>
    <row r="334">
      <c r="A334" s="41" t="n"/>
      <c r="B334" s="41" t="n"/>
      <c r="C334" s="41" t="n"/>
      <c r="D334" s="41" t="n"/>
      <c r="E334" s="41" t="n"/>
      <c r="F334" s="19">
        <f>IF(COUNTA(A334:E334)=0,"",TRIM(IF(A334="","받은 가족 없음 ","")&amp;IF(B334="","보낸 분 없음 ","")&amp;IF(AND(B334&lt;&gt;"",COUNTIFS($B$2:$B$501,B334,$C$2:$C$501,C334)&gt;1),"중복 의심","")))</f>
        <v/>
      </c>
      <c r="G334">
        <f>IF(AND(A334&lt;&gt;"",A334=가족별!$B$1),COUNTIF($A$2:A334,가족별!$B$1),"")</f>
        <v/>
      </c>
      <c r="H334">
        <f>IF(COUNTA(B334:C334)&gt;0,1,0)</f>
        <v/>
      </c>
      <c r="I334">
        <f>IF(F334="",0,1)</f>
        <v/>
      </c>
    </row>
    <row r="335">
      <c r="A335" s="41" t="n"/>
      <c r="B335" s="41" t="n"/>
      <c r="C335" s="41" t="n"/>
      <c r="D335" s="41" t="n"/>
      <c r="E335" s="41" t="n"/>
      <c r="F335" s="19">
        <f>IF(COUNTA(A335:E335)=0,"",TRIM(IF(A335="","받은 가족 없음 ","")&amp;IF(B335="","보낸 분 없음 ","")&amp;IF(AND(B335&lt;&gt;"",COUNTIFS($B$2:$B$501,B335,$C$2:$C$501,C335)&gt;1),"중복 의심","")))</f>
        <v/>
      </c>
      <c r="G335">
        <f>IF(AND(A335&lt;&gt;"",A335=가족별!$B$1),COUNTIF($A$2:A335,가족별!$B$1),"")</f>
        <v/>
      </c>
      <c r="H335">
        <f>IF(COUNTA(B335:C335)&gt;0,1,0)</f>
        <v/>
      </c>
      <c r="I335">
        <f>IF(F335="",0,1)</f>
        <v/>
      </c>
    </row>
    <row r="336">
      <c r="A336" s="41" t="n"/>
      <c r="B336" s="41" t="n"/>
      <c r="C336" s="41" t="n"/>
      <c r="D336" s="41" t="n"/>
      <c r="E336" s="41" t="n"/>
      <c r="F336" s="19">
        <f>IF(COUNTA(A336:E336)=0,"",TRIM(IF(A336="","받은 가족 없음 ","")&amp;IF(B336="","보낸 분 없음 ","")&amp;IF(AND(B336&lt;&gt;"",COUNTIFS($B$2:$B$501,B336,$C$2:$C$501,C336)&gt;1),"중복 의심","")))</f>
        <v/>
      </c>
      <c r="G336">
        <f>IF(AND(A336&lt;&gt;"",A336=가족별!$B$1),COUNTIF($A$2:A336,가족별!$B$1),"")</f>
        <v/>
      </c>
      <c r="H336">
        <f>IF(COUNTA(B336:C336)&gt;0,1,0)</f>
        <v/>
      </c>
      <c r="I336">
        <f>IF(F336="",0,1)</f>
        <v/>
      </c>
    </row>
    <row r="337">
      <c r="A337" s="41" t="n"/>
      <c r="B337" s="41" t="n"/>
      <c r="C337" s="41" t="n"/>
      <c r="D337" s="41" t="n"/>
      <c r="E337" s="41" t="n"/>
      <c r="F337" s="19">
        <f>IF(COUNTA(A337:E337)=0,"",TRIM(IF(A337="","받은 가족 없음 ","")&amp;IF(B337="","보낸 분 없음 ","")&amp;IF(AND(B337&lt;&gt;"",COUNTIFS($B$2:$B$501,B337,$C$2:$C$501,C337)&gt;1),"중복 의심","")))</f>
        <v/>
      </c>
      <c r="G337">
        <f>IF(AND(A337&lt;&gt;"",A337=가족별!$B$1),COUNTIF($A$2:A337,가족별!$B$1),"")</f>
        <v/>
      </c>
      <c r="H337">
        <f>IF(COUNTA(B337:C337)&gt;0,1,0)</f>
        <v/>
      </c>
      <c r="I337">
        <f>IF(F337="",0,1)</f>
        <v/>
      </c>
    </row>
    <row r="338">
      <c r="A338" s="41" t="n"/>
      <c r="B338" s="41" t="n"/>
      <c r="C338" s="41" t="n"/>
      <c r="D338" s="41" t="n"/>
      <c r="E338" s="41" t="n"/>
      <c r="F338" s="19">
        <f>IF(COUNTA(A338:E338)=0,"",TRIM(IF(A338="","받은 가족 없음 ","")&amp;IF(B338="","보낸 분 없음 ","")&amp;IF(AND(B338&lt;&gt;"",COUNTIFS($B$2:$B$501,B338,$C$2:$C$501,C338)&gt;1),"중복 의심","")))</f>
        <v/>
      </c>
      <c r="G338">
        <f>IF(AND(A338&lt;&gt;"",A338=가족별!$B$1),COUNTIF($A$2:A338,가족별!$B$1),"")</f>
        <v/>
      </c>
      <c r="H338">
        <f>IF(COUNTA(B338:C338)&gt;0,1,0)</f>
        <v/>
      </c>
      <c r="I338">
        <f>IF(F338="",0,1)</f>
        <v/>
      </c>
    </row>
    <row r="339">
      <c r="A339" s="41" t="n"/>
      <c r="B339" s="41" t="n"/>
      <c r="C339" s="41" t="n"/>
      <c r="D339" s="41" t="n"/>
      <c r="E339" s="41" t="n"/>
      <c r="F339" s="19">
        <f>IF(COUNTA(A339:E339)=0,"",TRIM(IF(A339="","받은 가족 없음 ","")&amp;IF(B339="","보낸 분 없음 ","")&amp;IF(AND(B339&lt;&gt;"",COUNTIFS($B$2:$B$501,B339,$C$2:$C$501,C339)&gt;1),"중복 의심","")))</f>
        <v/>
      </c>
      <c r="G339">
        <f>IF(AND(A339&lt;&gt;"",A339=가족별!$B$1),COUNTIF($A$2:A339,가족별!$B$1),"")</f>
        <v/>
      </c>
      <c r="H339">
        <f>IF(COUNTA(B339:C339)&gt;0,1,0)</f>
        <v/>
      </c>
      <c r="I339">
        <f>IF(F339="",0,1)</f>
        <v/>
      </c>
    </row>
    <row r="340">
      <c r="A340" s="41" t="n"/>
      <c r="B340" s="41" t="n"/>
      <c r="C340" s="41" t="n"/>
      <c r="D340" s="41" t="n"/>
      <c r="E340" s="41" t="n"/>
      <c r="F340" s="19">
        <f>IF(COUNTA(A340:E340)=0,"",TRIM(IF(A340="","받은 가족 없음 ","")&amp;IF(B340="","보낸 분 없음 ","")&amp;IF(AND(B340&lt;&gt;"",COUNTIFS($B$2:$B$501,B340,$C$2:$C$501,C340)&gt;1),"중복 의심","")))</f>
        <v/>
      </c>
      <c r="G340">
        <f>IF(AND(A340&lt;&gt;"",A340=가족별!$B$1),COUNTIF($A$2:A340,가족별!$B$1),"")</f>
        <v/>
      </c>
      <c r="H340">
        <f>IF(COUNTA(B340:C340)&gt;0,1,0)</f>
        <v/>
      </c>
      <c r="I340">
        <f>IF(F340="",0,1)</f>
        <v/>
      </c>
    </row>
    <row r="341">
      <c r="A341" s="41" t="n"/>
      <c r="B341" s="41" t="n"/>
      <c r="C341" s="41" t="n"/>
      <c r="D341" s="41" t="n"/>
      <c r="E341" s="41" t="n"/>
      <c r="F341" s="19">
        <f>IF(COUNTA(A341:E341)=0,"",TRIM(IF(A341="","받은 가족 없음 ","")&amp;IF(B341="","보낸 분 없음 ","")&amp;IF(AND(B341&lt;&gt;"",COUNTIFS($B$2:$B$501,B341,$C$2:$C$501,C341)&gt;1),"중복 의심","")))</f>
        <v/>
      </c>
      <c r="G341">
        <f>IF(AND(A341&lt;&gt;"",A341=가족별!$B$1),COUNTIF($A$2:A341,가족별!$B$1),"")</f>
        <v/>
      </c>
      <c r="H341">
        <f>IF(COUNTA(B341:C341)&gt;0,1,0)</f>
        <v/>
      </c>
      <c r="I341">
        <f>IF(F341="",0,1)</f>
        <v/>
      </c>
    </row>
    <row r="342">
      <c r="A342" s="41" t="n"/>
      <c r="B342" s="41" t="n"/>
      <c r="C342" s="41" t="n"/>
      <c r="D342" s="41" t="n"/>
      <c r="E342" s="41" t="n"/>
      <c r="F342" s="19">
        <f>IF(COUNTA(A342:E342)=0,"",TRIM(IF(A342="","받은 가족 없음 ","")&amp;IF(B342="","보낸 분 없음 ","")&amp;IF(AND(B342&lt;&gt;"",COUNTIFS($B$2:$B$501,B342,$C$2:$C$501,C342)&gt;1),"중복 의심","")))</f>
        <v/>
      </c>
      <c r="G342">
        <f>IF(AND(A342&lt;&gt;"",A342=가족별!$B$1),COUNTIF($A$2:A342,가족별!$B$1),"")</f>
        <v/>
      </c>
      <c r="H342">
        <f>IF(COUNTA(B342:C342)&gt;0,1,0)</f>
        <v/>
      </c>
      <c r="I342">
        <f>IF(F342="",0,1)</f>
        <v/>
      </c>
    </row>
    <row r="343">
      <c r="A343" s="41" t="n"/>
      <c r="B343" s="41" t="n"/>
      <c r="C343" s="41" t="n"/>
      <c r="D343" s="41" t="n"/>
      <c r="E343" s="41" t="n"/>
      <c r="F343" s="19">
        <f>IF(COUNTA(A343:E343)=0,"",TRIM(IF(A343="","받은 가족 없음 ","")&amp;IF(B343="","보낸 분 없음 ","")&amp;IF(AND(B343&lt;&gt;"",COUNTIFS($B$2:$B$501,B343,$C$2:$C$501,C343)&gt;1),"중복 의심","")))</f>
        <v/>
      </c>
      <c r="G343">
        <f>IF(AND(A343&lt;&gt;"",A343=가족별!$B$1),COUNTIF($A$2:A343,가족별!$B$1),"")</f>
        <v/>
      </c>
      <c r="H343">
        <f>IF(COUNTA(B343:C343)&gt;0,1,0)</f>
        <v/>
      </c>
      <c r="I343">
        <f>IF(F343="",0,1)</f>
        <v/>
      </c>
    </row>
    <row r="344">
      <c r="A344" s="41" t="n"/>
      <c r="B344" s="41" t="n"/>
      <c r="C344" s="41" t="n"/>
      <c r="D344" s="41" t="n"/>
      <c r="E344" s="41" t="n"/>
      <c r="F344" s="19">
        <f>IF(COUNTA(A344:E344)=0,"",TRIM(IF(A344="","받은 가족 없음 ","")&amp;IF(B344="","보낸 분 없음 ","")&amp;IF(AND(B344&lt;&gt;"",COUNTIFS($B$2:$B$501,B344,$C$2:$C$501,C344)&gt;1),"중복 의심","")))</f>
        <v/>
      </c>
      <c r="G344">
        <f>IF(AND(A344&lt;&gt;"",A344=가족별!$B$1),COUNTIF($A$2:A344,가족별!$B$1),"")</f>
        <v/>
      </c>
      <c r="H344">
        <f>IF(COUNTA(B344:C344)&gt;0,1,0)</f>
        <v/>
      </c>
      <c r="I344">
        <f>IF(F344="",0,1)</f>
        <v/>
      </c>
    </row>
    <row r="345">
      <c r="A345" s="41" t="n"/>
      <c r="B345" s="41" t="n"/>
      <c r="C345" s="41" t="n"/>
      <c r="D345" s="41" t="n"/>
      <c r="E345" s="41" t="n"/>
      <c r="F345" s="19">
        <f>IF(COUNTA(A345:E345)=0,"",TRIM(IF(A345="","받은 가족 없음 ","")&amp;IF(B345="","보낸 분 없음 ","")&amp;IF(AND(B345&lt;&gt;"",COUNTIFS($B$2:$B$501,B345,$C$2:$C$501,C345)&gt;1),"중복 의심","")))</f>
        <v/>
      </c>
      <c r="G345">
        <f>IF(AND(A345&lt;&gt;"",A345=가족별!$B$1),COUNTIF($A$2:A345,가족별!$B$1),"")</f>
        <v/>
      </c>
      <c r="H345">
        <f>IF(COUNTA(B345:C345)&gt;0,1,0)</f>
        <v/>
      </c>
      <c r="I345">
        <f>IF(F345="",0,1)</f>
        <v/>
      </c>
    </row>
    <row r="346">
      <c r="A346" s="41" t="n"/>
      <c r="B346" s="41" t="n"/>
      <c r="C346" s="41" t="n"/>
      <c r="D346" s="41" t="n"/>
      <c r="E346" s="41" t="n"/>
      <c r="F346" s="19">
        <f>IF(COUNTA(A346:E346)=0,"",TRIM(IF(A346="","받은 가족 없음 ","")&amp;IF(B346="","보낸 분 없음 ","")&amp;IF(AND(B346&lt;&gt;"",COUNTIFS($B$2:$B$501,B346,$C$2:$C$501,C346)&gt;1),"중복 의심","")))</f>
        <v/>
      </c>
      <c r="G346">
        <f>IF(AND(A346&lt;&gt;"",A346=가족별!$B$1),COUNTIF($A$2:A346,가족별!$B$1),"")</f>
        <v/>
      </c>
      <c r="H346">
        <f>IF(COUNTA(B346:C346)&gt;0,1,0)</f>
        <v/>
      </c>
      <c r="I346">
        <f>IF(F346="",0,1)</f>
        <v/>
      </c>
    </row>
    <row r="347">
      <c r="A347" s="41" t="n"/>
      <c r="B347" s="41" t="n"/>
      <c r="C347" s="41" t="n"/>
      <c r="D347" s="41" t="n"/>
      <c r="E347" s="41" t="n"/>
      <c r="F347" s="19">
        <f>IF(COUNTA(A347:E347)=0,"",TRIM(IF(A347="","받은 가족 없음 ","")&amp;IF(B347="","보낸 분 없음 ","")&amp;IF(AND(B347&lt;&gt;"",COUNTIFS($B$2:$B$501,B347,$C$2:$C$501,C347)&gt;1),"중복 의심","")))</f>
        <v/>
      </c>
      <c r="G347">
        <f>IF(AND(A347&lt;&gt;"",A347=가족별!$B$1),COUNTIF($A$2:A347,가족별!$B$1),"")</f>
        <v/>
      </c>
      <c r="H347">
        <f>IF(COUNTA(B347:C347)&gt;0,1,0)</f>
        <v/>
      </c>
      <c r="I347">
        <f>IF(F347="",0,1)</f>
        <v/>
      </c>
    </row>
    <row r="348">
      <c r="A348" s="41" t="n"/>
      <c r="B348" s="41" t="n"/>
      <c r="C348" s="41" t="n"/>
      <c r="D348" s="41" t="n"/>
      <c r="E348" s="41" t="n"/>
      <c r="F348" s="19">
        <f>IF(COUNTA(A348:E348)=0,"",TRIM(IF(A348="","받은 가족 없음 ","")&amp;IF(B348="","보낸 분 없음 ","")&amp;IF(AND(B348&lt;&gt;"",COUNTIFS($B$2:$B$501,B348,$C$2:$C$501,C348)&gt;1),"중복 의심","")))</f>
        <v/>
      </c>
      <c r="G348">
        <f>IF(AND(A348&lt;&gt;"",A348=가족별!$B$1),COUNTIF($A$2:A348,가족별!$B$1),"")</f>
        <v/>
      </c>
      <c r="H348">
        <f>IF(COUNTA(B348:C348)&gt;0,1,0)</f>
        <v/>
      </c>
      <c r="I348">
        <f>IF(F348="",0,1)</f>
        <v/>
      </c>
    </row>
    <row r="349">
      <c r="A349" s="41" t="n"/>
      <c r="B349" s="41" t="n"/>
      <c r="C349" s="41" t="n"/>
      <c r="D349" s="41" t="n"/>
      <c r="E349" s="41" t="n"/>
      <c r="F349" s="19">
        <f>IF(COUNTA(A349:E349)=0,"",TRIM(IF(A349="","받은 가족 없음 ","")&amp;IF(B349="","보낸 분 없음 ","")&amp;IF(AND(B349&lt;&gt;"",COUNTIFS($B$2:$B$501,B349,$C$2:$C$501,C349)&gt;1),"중복 의심","")))</f>
        <v/>
      </c>
      <c r="G349">
        <f>IF(AND(A349&lt;&gt;"",A349=가족별!$B$1),COUNTIF($A$2:A349,가족별!$B$1),"")</f>
        <v/>
      </c>
      <c r="H349">
        <f>IF(COUNTA(B349:C349)&gt;0,1,0)</f>
        <v/>
      </c>
      <c r="I349">
        <f>IF(F349="",0,1)</f>
        <v/>
      </c>
    </row>
    <row r="350">
      <c r="A350" s="41" t="n"/>
      <c r="B350" s="41" t="n"/>
      <c r="C350" s="41" t="n"/>
      <c r="D350" s="41" t="n"/>
      <c r="E350" s="41" t="n"/>
      <c r="F350" s="19">
        <f>IF(COUNTA(A350:E350)=0,"",TRIM(IF(A350="","받은 가족 없음 ","")&amp;IF(B350="","보낸 분 없음 ","")&amp;IF(AND(B350&lt;&gt;"",COUNTIFS($B$2:$B$501,B350,$C$2:$C$501,C350)&gt;1),"중복 의심","")))</f>
        <v/>
      </c>
      <c r="G350">
        <f>IF(AND(A350&lt;&gt;"",A350=가족별!$B$1),COUNTIF($A$2:A350,가족별!$B$1),"")</f>
        <v/>
      </c>
      <c r="H350">
        <f>IF(COUNTA(B350:C350)&gt;0,1,0)</f>
        <v/>
      </c>
      <c r="I350">
        <f>IF(F350="",0,1)</f>
        <v/>
      </c>
    </row>
    <row r="351">
      <c r="A351" s="41" t="n"/>
      <c r="B351" s="41" t="n"/>
      <c r="C351" s="41" t="n"/>
      <c r="D351" s="41" t="n"/>
      <c r="E351" s="41" t="n"/>
      <c r="F351" s="19">
        <f>IF(COUNTA(A351:E351)=0,"",TRIM(IF(A351="","받은 가족 없음 ","")&amp;IF(B351="","보낸 분 없음 ","")&amp;IF(AND(B351&lt;&gt;"",COUNTIFS($B$2:$B$501,B351,$C$2:$C$501,C351)&gt;1),"중복 의심","")))</f>
        <v/>
      </c>
      <c r="G351">
        <f>IF(AND(A351&lt;&gt;"",A351=가족별!$B$1),COUNTIF($A$2:A351,가족별!$B$1),"")</f>
        <v/>
      </c>
      <c r="H351">
        <f>IF(COUNTA(B351:C351)&gt;0,1,0)</f>
        <v/>
      </c>
      <c r="I351">
        <f>IF(F351="",0,1)</f>
        <v/>
      </c>
    </row>
    <row r="352">
      <c r="A352" s="41" t="n"/>
      <c r="B352" s="41" t="n"/>
      <c r="C352" s="41" t="n"/>
      <c r="D352" s="41" t="n"/>
      <c r="E352" s="41" t="n"/>
      <c r="F352" s="19">
        <f>IF(COUNTA(A352:E352)=0,"",TRIM(IF(A352="","받은 가족 없음 ","")&amp;IF(B352="","보낸 분 없음 ","")&amp;IF(AND(B352&lt;&gt;"",COUNTIFS($B$2:$B$501,B352,$C$2:$C$501,C352)&gt;1),"중복 의심","")))</f>
        <v/>
      </c>
      <c r="G352">
        <f>IF(AND(A352&lt;&gt;"",A352=가족별!$B$1),COUNTIF($A$2:A352,가족별!$B$1),"")</f>
        <v/>
      </c>
      <c r="H352">
        <f>IF(COUNTA(B352:C352)&gt;0,1,0)</f>
        <v/>
      </c>
      <c r="I352">
        <f>IF(F352="",0,1)</f>
        <v/>
      </c>
    </row>
    <row r="353">
      <c r="A353" s="41" t="n"/>
      <c r="B353" s="41" t="n"/>
      <c r="C353" s="41" t="n"/>
      <c r="D353" s="41" t="n"/>
      <c r="E353" s="41" t="n"/>
      <c r="F353" s="19">
        <f>IF(COUNTA(A353:E353)=0,"",TRIM(IF(A353="","받은 가족 없음 ","")&amp;IF(B353="","보낸 분 없음 ","")&amp;IF(AND(B353&lt;&gt;"",COUNTIFS($B$2:$B$501,B353,$C$2:$C$501,C353)&gt;1),"중복 의심","")))</f>
        <v/>
      </c>
      <c r="G353">
        <f>IF(AND(A353&lt;&gt;"",A353=가족별!$B$1),COUNTIF($A$2:A353,가족별!$B$1),"")</f>
        <v/>
      </c>
      <c r="H353">
        <f>IF(COUNTA(B353:C353)&gt;0,1,0)</f>
        <v/>
      </c>
      <c r="I353">
        <f>IF(F353="",0,1)</f>
        <v/>
      </c>
    </row>
    <row r="354">
      <c r="A354" s="41" t="n"/>
      <c r="B354" s="41" t="n"/>
      <c r="C354" s="41" t="n"/>
      <c r="D354" s="41" t="n"/>
      <c r="E354" s="41" t="n"/>
      <c r="F354" s="19">
        <f>IF(COUNTA(A354:E354)=0,"",TRIM(IF(A354="","받은 가족 없음 ","")&amp;IF(B354="","보낸 분 없음 ","")&amp;IF(AND(B354&lt;&gt;"",COUNTIFS($B$2:$B$501,B354,$C$2:$C$501,C354)&gt;1),"중복 의심","")))</f>
        <v/>
      </c>
      <c r="G354">
        <f>IF(AND(A354&lt;&gt;"",A354=가족별!$B$1),COUNTIF($A$2:A354,가족별!$B$1),"")</f>
        <v/>
      </c>
      <c r="H354">
        <f>IF(COUNTA(B354:C354)&gt;0,1,0)</f>
        <v/>
      </c>
      <c r="I354">
        <f>IF(F354="",0,1)</f>
        <v/>
      </c>
    </row>
    <row r="355">
      <c r="A355" s="41" t="n"/>
      <c r="B355" s="41" t="n"/>
      <c r="C355" s="41" t="n"/>
      <c r="D355" s="41" t="n"/>
      <c r="E355" s="41" t="n"/>
      <c r="F355" s="19">
        <f>IF(COUNTA(A355:E355)=0,"",TRIM(IF(A355="","받은 가족 없음 ","")&amp;IF(B355="","보낸 분 없음 ","")&amp;IF(AND(B355&lt;&gt;"",COUNTIFS($B$2:$B$501,B355,$C$2:$C$501,C355)&gt;1),"중복 의심","")))</f>
        <v/>
      </c>
      <c r="G355">
        <f>IF(AND(A355&lt;&gt;"",A355=가족별!$B$1),COUNTIF($A$2:A355,가족별!$B$1),"")</f>
        <v/>
      </c>
      <c r="H355">
        <f>IF(COUNTA(B355:C355)&gt;0,1,0)</f>
        <v/>
      </c>
      <c r="I355">
        <f>IF(F355="",0,1)</f>
        <v/>
      </c>
    </row>
    <row r="356">
      <c r="A356" s="41" t="n"/>
      <c r="B356" s="41" t="n"/>
      <c r="C356" s="41" t="n"/>
      <c r="D356" s="41" t="n"/>
      <c r="E356" s="41" t="n"/>
      <c r="F356" s="19">
        <f>IF(COUNTA(A356:E356)=0,"",TRIM(IF(A356="","받은 가족 없음 ","")&amp;IF(B356="","보낸 분 없음 ","")&amp;IF(AND(B356&lt;&gt;"",COUNTIFS($B$2:$B$501,B356,$C$2:$C$501,C356)&gt;1),"중복 의심","")))</f>
        <v/>
      </c>
      <c r="G356">
        <f>IF(AND(A356&lt;&gt;"",A356=가족별!$B$1),COUNTIF($A$2:A356,가족별!$B$1),"")</f>
        <v/>
      </c>
      <c r="H356">
        <f>IF(COUNTA(B356:C356)&gt;0,1,0)</f>
        <v/>
      </c>
      <c r="I356">
        <f>IF(F356="",0,1)</f>
        <v/>
      </c>
    </row>
    <row r="357">
      <c r="A357" s="41" t="n"/>
      <c r="B357" s="41" t="n"/>
      <c r="C357" s="41" t="n"/>
      <c r="D357" s="41" t="n"/>
      <c r="E357" s="41" t="n"/>
      <c r="F357" s="19">
        <f>IF(COUNTA(A357:E357)=0,"",TRIM(IF(A357="","받은 가족 없음 ","")&amp;IF(B357="","보낸 분 없음 ","")&amp;IF(AND(B357&lt;&gt;"",COUNTIFS($B$2:$B$501,B357,$C$2:$C$501,C357)&gt;1),"중복 의심","")))</f>
        <v/>
      </c>
      <c r="G357">
        <f>IF(AND(A357&lt;&gt;"",A357=가족별!$B$1),COUNTIF($A$2:A357,가족별!$B$1),"")</f>
        <v/>
      </c>
      <c r="H357">
        <f>IF(COUNTA(B357:C357)&gt;0,1,0)</f>
        <v/>
      </c>
      <c r="I357">
        <f>IF(F357="",0,1)</f>
        <v/>
      </c>
    </row>
    <row r="358">
      <c r="A358" s="41" t="n"/>
      <c r="B358" s="41" t="n"/>
      <c r="C358" s="41" t="n"/>
      <c r="D358" s="41" t="n"/>
      <c r="E358" s="41" t="n"/>
      <c r="F358" s="19">
        <f>IF(COUNTA(A358:E358)=0,"",TRIM(IF(A358="","받은 가족 없음 ","")&amp;IF(B358="","보낸 분 없음 ","")&amp;IF(AND(B358&lt;&gt;"",COUNTIFS($B$2:$B$501,B358,$C$2:$C$501,C358)&gt;1),"중복 의심","")))</f>
        <v/>
      </c>
      <c r="G358">
        <f>IF(AND(A358&lt;&gt;"",A358=가족별!$B$1),COUNTIF($A$2:A358,가족별!$B$1),"")</f>
        <v/>
      </c>
      <c r="H358">
        <f>IF(COUNTA(B358:C358)&gt;0,1,0)</f>
        <v/>
      </c>
      <c r="I358">
        <f>IF(F358="",0,1)</f>
        <v/>
      </c>
    </row>
    <row r="359">
      <c r="A359" s="41" t="n"/>
      <c r="B359" s="41" t="n"/>
      <c r="C359" s="41" t="n"/>
      <c r="D359" s="41" t="n"/>
      <c r="E359" s="41" t="n"/>
      <c r="F359" s="19">
        <f>IF(COUNTA(A359:E359)=0,"",TRIM(IF(A359="","받은 가족 없음 ","")&amp;IF(B359="","보낸 분 없음 ","")&amp;IF(AND(B359&lt;&gt;"",COUNTIFS($B$2:$B$501,B359,$C$2:$C$501,C359)&gt;1),"중복 의심","")))</f>
        <v/>
      </c>
      <c r="G359">
        <f>IF(AND(A359&lt;&gt;"",A359=가족별!$B$1),COUNTIF($A$2:A359,가족별!$B$1),"")</f>
        <v/>
      </c>
      <c r="H359">
        <f>IF(COUNTA(B359:C359)&gt;0,1,0)</f>
        <v/>
      </c>
      <c r="I359">
        <f>IF(F359="",0,1)</f>
        <v/>
      </c>
    </row>
    <row r="360">
      <c r="A360" s="41" t="n"/>
      <c r="B360" s="41" t="n"/>
      <c r="C360" s="41" t="n"/>
      <c r="D360" s="41" t="n"/>
      <c r="E360" s="41" t="n"/>
      <c r="F360" s="19">
        <f>IF(COUNTA(A360:E360)=0,"",TRIM(IF(A360="","받은 가족 없음 ","")&amp;IF(B360="","보낸 분 없음 ","")&amp;IF(AND(B360&lt;&gt;"",COUNTIFS($B$2:$B$501,B360,$C$2:$C$501,C360)&gt;1),"중복 의심","")))</f>
        <v/>
      </c>
      <c r="G360">
        <f>IF(AND(A360&lt;&gt;"",A360=가족별!$B$1),COUNTIF($A$2:A360,가족별!$B$1),"")</f>
        <v/>
      </c>
      <c r="H360">
        <f>IF(COUNTA(B360:C360)&gt;0,1,0)</f>
        <v/>
      </c>
      <c r="I360">
        <f>IF(F360="",0,1)</f>
        <v/>
      </c>
    </row>
    <row r="361">
      <c r="A361" s="41" t="n"/>
      <c r="B361" s="41" t="n"/>
      <c r="C361" s="41" t="n"/>
      <c r="D361" s="41" t="n"/>
      <c r="E361" s="41" t="n"/>
      <c r="F361" s="19">
        <f>IF(COUNTA(A361:E361)=0,"",TRIM(IF(A361="","받은 가족 없음 ","")&amp;IF(B361="","보낸 분 없음 ","")&amp;IF(AND(B361&lt;&gt;"",COUNTIFS($B$2:$B$501,B361,$C$2:$C$501,C361)&gt;1),"중복 의심","")))</f>
        <v/>
      </c>
      <c r="G361">
        <f>IF(AND(A361&lt;&gt;"",A361=가족별!$B$1),COUNTIF($A$2:A361,가족별!$B$1),"")</f>
        <v/>
      </c>
      <c r="H361">
        <f>IF(COUNTA(B361:C361)&gt;0,1,0)</f>
        <v/>
      </c>
      <c r="I361">
        <f>IF(F361="",0,1)</f>
        <v/>
      </c>
    </row>
    <row r="362">
      <c r="A362" s="41" t="n"/>
      <c r="B362" s="41" t="n"/>
      <c r="C362" s="41" t="n"/>
      <c r="D362" s="41" t="n"/>
      <c r="E362" s="41" t="n"/>
      <c r="F362" s="19">
        <f>IF(COUNTA(A362:E362)=0,"",TRIM(IF(A362="","받은 가족 없음 ","")&amp;IF(B362="","보낸 분 없음 ","")&amp;IF(AND(B362&lt;&gt;"",COUNTIFS($B$2:$B$501,B362,$C$2:$C$501,C362)&gt;1),"중복 의심","")))</f>
        <v/>
      </c>
      <c r="G362">
        <f>IF(AND(A362&lt;&gt;"",A362=가족별!$B$1),COUNTIF($A$2:A362,가족별!$B$1),"")</f>
        <v/>
      </c>
      <c r="H362">
        <f>IF(COUNTA(B362:C362)&gt;0,1,0)</f>
        <v/>
      </c>
      <c r="I362">
        <f>IF(F362="",0,1)</f>
        <v/>
      </c>
    </row>
    <row r="363">
      <c r="A363" s="41" t="n"/>
      <c r="B363" s="41" t="n"/>
      <c r="C363" s="41" t="n"/>
      <c r="D363" s="41" t="n"/>
      <c r="E363" s="41" t="n"/>
      <c r="F363" s="19">
        <f>IF(COUNTA(A363:E363)=0,"",TRIM(IF(A363="","받은 가족 없음 ","")&amp;IF(B363="","보낸 분 없음 ","")&amp;IF(AND(B363&lt;&gt;"",COUNTIFS($B$2:$B$501,B363,$C$2:$C$501,C363)&gt;1),"중복 의심","")))</f>
        <v/>
      </c>
      <c r="G363">
        <f>IF(AND(A363&lt;&gt;"",A363=가족별!$B$1),COUNTIF($A$2:A363,가족별!$B$1),"")</f>
        <v/>
      </c>
      <c r="H363">
        <f>IF(COUNTA(B363:C363)&gt;0,1,0)</f>
        <v/>
      </c>
      <c r="I363">
        <f>IF(F363="",0,1)</f>
        <v/>
      </c>
    </row>
    <row r="364">
      <c r="A364" s="41" t="n"/>
      <c r="B364" s="41" t="n"/>
      <c r="C364" s="41" t="n"/>
      <c r="D364" s="41" t="n"/>
      <c r="E364" s="41" t="n"/>
      <c r="F364" s="19">
        <f>IF(COUNTA(A364:E364)=0,"",TRIM(IF(A364="","받은 가족 없음 ","")&amp;IF(B364="","보낸 분 없음 ","")&amp;IF(AND(B364&lt;&gt;"",COUNTIFS($B$2:$B$501,B364,$C$2:$C$501,C364)&gt;1),"중복 의심","")))</f>
        <v/>
      </c>
      <c r="G364">
        <f>IF(AND(A364&lt;&gt;"",A364=가족별!$B$1),COUNTIF($A$2:A364,가족별!$B$1),"")</f>
        <v/>
      </c>
      <c r="H364">
        <f>IF(COUNTA(B364:C364)&gt;0,1,0)</f>
        <v/>
      </c>
      <c r="I364">
        <f>IF(F364="",0,1)</f>
        <v/>
      </c>
    </row>
    <row r="365">
      <c r="A365" s="41" t="n"/>
      <c r="B365" s="41" t="n"/>
      <c r="C365" s="41" t="n"/>
      <c r="D365" s="41" t="n"/>
      <c r="E365" s="41" t="n"/>
      <c r="F365" s="19">
        <f>IF(COUNTA(A365:E365)=0,"",TRIM(IF(A365="","받은 가족 없음 ","")&amp;IF(B365="","보낸 분 없음 ","")&amp;IF(AND(B365&lt;&gt;"",COUNTIFS($B$2:$B$501,B365,$C$2:$C$501,C365)&gt;1),"중복 의심","")))</f>
        <v/>
      </c>
      <c r="G365">
        <f>IF(AND(A365&lt;&gt;"",A365=가족별!$B$1),COUNTIF($A$2:A365,가족별!$B$1),"")</f>
        <v/>
      </c>
      <c r="H365">
        <f>IF(COUNTA(B365:C365)&gt;0,1,0)</f>
        <v/>
      </c>
      <c r="I365">
        <f>IF(F365="",0,1)</f>
        <v/>
      </c>
    </row>
    <row r="366">
      <c r="A366" s="41" t="n"/>
      <c r="B366" s="41" t="n"/>
      <c r="C366" s="41" t="n"/>
      <c r="D366" s="41" t="n"/>
      <c r="E366" s="41" t="n"/>
      <c r="F366" s="19">
        <f>IF(COUNTA(A366:E366)=0,"",TRIM(IF(A366="","받은 가족 없음 ","")&amp;IF(B366="","보낸 분 없음 ","")&amp;IF(AND(B366&lt;&gt;"",COUNTIFS($B$2:$B$501,B366,$C$2:$C$501,C366)&gt;1),"중복 의심","")))</f>
        <v/>
      </c>
      <c r="G366">
        <f>IF(AND(A366&lt;&gt;"",A366=가족별!$B$1),COUNTIF($A$2:A366,가족별!$B$1),"")</f>
        <v/>
      </c>
      <c r="H366">
        <f>IF(COUNTA(B366:C366)&gt;0,1,0)</f>
        <v/>
      </c>
      <c r="I366">
        <f>IF(F366="",0,1)</f>
        <v/>
      </c>
    </row>
    <row r="367">
      <c r="A367" s="41" t="n"/>
      <c r="B367" s="41" t="n"/>
      <c r="C367" s="41" t="n"/>
      <c r="D367" s="41" t="n"/>
      <c r="E367" s="41" t="n"/>
      <c r="F367" s="19">
        <f>IF(COUNTA(A367:E367)=0,"",TRIM(IF(A367="","받은 가족 없음 ","")&amp;IF(B367="","보낸 분 없음 ","")&amp;IF(AND(B367&lt;&gt;"",COUNTIFS($B$2:$B$501,B367,$C$2:$C$501,C367)&gt;1),"중복 의심","")))</f>
        <v/>
      </c>
      <c r="G367">
        <f>IF(AND(A367&lt;&gt;"",A367=가족별!$B$1),COUNTIF($A$2:A367,가족별!$B$1),"")</f>
        <v/>
      </c>
      <c r="H367">
        <f>IF(COUNTA(B367:C367)&gt;0,1,0)</f>
        <v/>
      </c>
      <c r="I367">
        <f>IF(F367="",0,1)</f>
        <v/>
      </c>
    </row>
    <row r="368">
      <c r="A368" s="41" t="n"/>
      <c r="B368" s="41" t="n"/>
      <c r="C368" s="41" t="n"/>
      <c r="D368" s="41" t="n"/>
      <c r="E368" s="41" t="n"/>
      <c r="F368" s="19">
        <f>IF(COUNTA(A368:E368)=0,"",TRIM(IF(A368="","받은 가족 없음 ","")&amp;IF(B368="","보낸 분 없음 ","")&amp;IF(AND(B368&lt;&gt;"",COUNTIFS($B$2:$B$501,B368,$C$2:$C$501,C368)&gt;1),"중복 의심","")))</f>
        <v/>
      </c>
      <c r="G368">
        <f>IF(AND(A368&lt;&gt;"",A368=가족별!$B$1),COUNTIF($A$2:A368,가족별!$B$1),"")</f>
        <v/>
      </c>
      <c r="H368">
        <f>IF(COUNTA(B368:C368)&gt;0,1,0)</f>
        <v/>
      </c>
      <c r="I368">
        <f>IF(F368="",0,1)</f>
        <v/>
      </c>
    </row>
    <row r="369">
      <c r="A369" s="41" t="n"/>
      <c r="B369" s="41" t="n"/>
      <c r="C369" s="41" t="n"/>
      <c r="D369" s="41" t="n"/>
      <c r="E369" s="41" t="n"/>
      <c r="F369" s="19">
        <f>IF(COUNTA(A369:E369)=0,"",TRIM(IF(A369="","받은 가족 없음 ","")&amp;IF(B369="","보낸 분 없음 ","")&amp;IF(AND(B369&lt;&gt;"",COUNTIFS($B$2:$B$501,B369,$C$2:$C$501,C369)&gt;1),"중복 의심","")))</f>
        <v/>
      </c>
      <c r="G369">
        <f>IF(AND(A369&lt;&gt;"",A369=가족별!$B$1),COUNTIF($A$2:A369,가족별!$B$1),"")</f>
        <v/>
      </c>
      <c r="H369">
        <f>IF(COUNTA(B369:C369)&gt;0,1,0)</f>
        <v/>
      </c>
      <c r="I369">
        <f>IF(F369="",0,1)</f>
        <v/>
      </c>
    </row>
    <row r="370">
      <c r="A370" s="41" t="n"/>
      <c r="B370" s="41" t="n"/>
      <c r="C370" s="41" t="n"/>
      <c r="D370" s="41" t="n"/>
      <c r="E370" s="41" t="n"/>
      <c r="F370" s="19">
        <f>IF(COUNTA(A370:E370)=0,"",TRIM(IF(A370="","받은 가족 없음 ","")&amp;IF(B370="","보낸 분 없음 ","")&amp;IF(AND(B370&lt;&gt;"",COUNTIFS($B$2:$B$501,B370,$C$2:$C$501,C370)&gt;1),"중복 의심","")))</f>
        <v/>
      </c>
      <c r="G370">
        <f>IF(AND(A370&lt;&gt;"",A370=가족별!$B$1),COUNTIF($A$2:A370,가족별!$B$1),"")</f>
        <v/>
      </c>
      <c r="H370">
        <f>IF(COUNTA(B370:C370)&gt;0,1,0)</f>
        <v/>
      </c>
      <c r="I370">
        <f>IF(F370="",0,1)</f>
        <v/>
      </c>
    </row>
    <row r="371">
      <c r="A371" s="41" t="n"/>
      <c r="B371" s="41" t="n"/>
      <c r="C371" s="41" t="n"/>
      <c r="D371" s="41" t="n"/>
      <c r="E371" s="41" t="n"/>
      <c r="F371" s="19">
        <f>IF(COUNTA(A371:E371)=0,"",TRIM(IF(A371="","받은 가족 없음 ","")&amp;IF(B371="","보낸 분 없음 ","")&amp;IF(AND(B371&lt;&gt;"",COUNTIFS($B$2:$B$501,B371,$C$2:$C$501,C371)&gt;1),"중복 의심","")))</f>
        <v/>
      </c>
      <c r="G371">
        <f>IF(AND(A371&lt;&gt;"",A371=가족별!$B$1),COUNTIF($A$2:A371,가족별!$B$1),"")</f>
        <v/>
      </c>
      <c r="H371">
        <f>IF(COUNTA(B371:C371)&gt;0,1,0)</f>
        <v/>
      </c>
      <c r="I371">
        <f>IF(F371="",0,1)</f>
        <v/>
      </c>
    </row>
    <row r="372">
      <c r="A372" s="41" t="n"/>
      <c r="B372" s="41" t="n"/>
      <c r="C372" s="41" t="n"/>
      <c r="D372" s="41" t="n"/>
      <c r="E372" s="41" t="n"/>
      <c r="F372" s="19">
        <f>IF(COUNTA(A372:E372)=0,"",TRIM(IF(A372="","받은 가족 없음 ","")&amp;IF(B372="","보낸 분 없음 ","")&amp;IF(AND(B372&lt;&gt;"",COUNTIFS($B$2:$B$501,B372,$C$2:$C$501,C372)&gt;1),"중복 의심","")))</f>
        <v/>
      </c>
      <c r="G372">
        <f>IF(AND(A372&lt;&gt;"",A372=가족별!$B$1),COUNTIF($A$2:A372,가족별!$B$1),"")</f>
        <v/>
      </c>
      <c r="H372">
        <f>IF(COUNTA(B372:C372)&gt;0,1,0)</f>
        <v/>
      </c>
      <c r="I372">
        <f>IF(F372="",0,1)</f>
        <v/>
      </c>
    </row>
    <row r="373">
      <c r="A373" s="41" t="n"/>
      <c r="B373" s="41" t="n"/>
      <c r="C373" s="41" t="n"/>
      <c r="D373" s="41" t="n"/>
      <c r="E373" s="41" t="n"/>
      <c r="F373" s="19">
        <f>IF(COUNTA(A373:E373)=0,"",TRIM(IF(A373="","받은 가족 없음 ","")&amp;IF(B373="","보낸 분 없음 ","")&amp;IF(AND(B373&lt;&gt;"",COUNTIFS($B$2:$B$501,B373,$C$2:$C$501,C373)&gt;1),"중복 의심","")))</f>
        <v/>
      </c>
      <c r="G373">
        <f>IF(AND(A373&lt;&gt;"",A373=가족별!$B$1),COUNTIF($A$2:A373,가족별!$B$1),"")</f>
        <v/>
      </c>
      <c r="H373">
        <f>IF(COUNTA(B373:C373)&gt;0,1,0)</f>
        <v/>
      </c>
      <c r="I373">
        <f>IF(F373="",0,1)</f>
        <v/>
      </c>
    </row>
    <row r="374">
      <c r="A374" s="41" t="n"/>
      <c r="B374" s="41" t="n"/>
      <c r="C374" s="41" t="n"/>
      <c r="D374" s="41" t="n"/>
      <c r="E374" s="41" t="n"/>
      <c r="F374" s="19">
        <f>IF(COUNTA(A374:E374)=0,"",TRIM(IF(A374="","받은 가족 없음 ","")&amp;IF(B374="","보낸 분 없음 ","")&amp;IF(AND(B374&lt;&gt;"",COUNTIFS($B$2:$B$501,B374,$C$2:$C$501,C374)&gt;1),"중복 의심","")))</f>
        <v/>
      </c>
      <c r="G374">
        <f>IF(AND(A374&lt;&gt;"",A374=가족별!$B$1),COUNTIF($A$2:A374,가족별!$B$1),"")</f>
        <v/>
      </c>
      <c r="H374">
        <f>IF(COUNTA(B374:C374)&gt;0,1,0)</f>
        <v/>
      </c>
      <c r="I374">
        <f>IF(F374="",0,1)</f>
        <v/>
      </c>
    </row>
    <row r="375">
      <c r="A375" s="41" t="n"/>
      <c r="B375" s="41" t="n"/>
      <c r="C375" s="41" t="n"/>
      <c r="D375" s="41" t="n"/>
      <c r="E375" s="41" t="n"/>
      <c r="F375" s="19">
        <f>IF(COUNTA(A375:E375)=0,"",TRIM(IF(A375="","받은 가족 없음 ","")&amp;IF(B375="","보낸 분 없음 ","")&amp;IF(AND(B375&lt;&gt;"",COUNTIFS($B$2:$B$501,B375,$C$2:$C$501,C375)&gt;1),"중복 의심","")))</f>
        <v/>
      </c>
      <c r="G375">
        <f>IF(AND(A375&lt;&gt;"",A375=가족별!$B$1),COUNTIF($A$2:A375,가족별!$B$1),"")</f>
        <v/>
      </c>
      <c r="H375">
        <f>IF(COUNTA(B375:C375)&gt;0,1,0)</f>
        <v/>
      </c>
      <c r="I375">
        <f>IF(F375="",0,1)</f>
        <v/>
      </c>
    </row>
    <row r="376">
      <c r="A376" s="41" t="n"/>
      <c r="B376" s="41" t="n"/>
      <c r="C376" s="41" t="n"/>
      <c r="D376" s="41" t="n"/>
      <c r="E376" s="41" t="n"/>
      <c r="F376" s="19">
        <f>IF(COUNTA(A376:E376)=0,"",TRIM(IF(A376="","받은 가족 없음 ","")&amp;IF(B376="","보낸 분 없음 ","")&amp;IF(AND(B376&lt;&gt;"",COUNTIFS($B$2:$B$501,B376,$C$2:$C$501,C376)&gt;1),"중복 의심","")))</f>
        <v/>
      </c>
      <c r="G376">
        <f>IF(AND(A376&lt;&gt;"",A376=가족별!$B$1),COUNTIF($A$2:A376,가족별!$B$1),"")</f>
        <v/>
      </c>
      <c r="H376">
        <f>IF(COUNTA(B376:C376)&gt;0,1,0)</f>
        <v/>
      </c>
      <c r="I376">
        <f>IF(F376="",0,1)</f>
        <v/>
      </c>
    </row>
    <row r="377">
      <c r="A377" s="41" t="n"/>
      <c r="B377" s="41" t="n"/>
      <c r="C377" s="41" t="n"/>
      <c r="D377" s="41" t="n"/>
      <c r="E377" s="41" t="n"/>
      <c r="F377" s="19">
        <f>IF(COUNTA(A377:E377)=0,"",TRIM(IF(A377="","받은 가족 없음 ","")&amp;IF(B377="","보낸 분 없음 ","")&amp;IF(AND(B377&lt;&gt;"",COUNTIFS($B$2:$B$501,B377,$C$2:$C$501,C377)&gt;1),"중복 의심","")))</f>
        <v/>
      </c>
      <c r="G377">
        <f>IF(AND(A377&lt;&gt;"",A377=가족별!$B$1),COUNTIF($A$2:A377,가족별!$B$1),"")</f>
        <v/>
      </c>
      <c r="H377">
        <f>IF(COUNTA(B377:C377)&gt;0,1,0)</f>
        <v/>
      </c>
      <c r="I377">
        <f>IF(F377="",0,1)</f>
        <v/>
      </c>
    </row>
    <row r="378">
      <c r="A378" s="41" t="n"/>
      <c r="B378" s="41" t="n"/>
      <c r="C378" s="41" t="n"/>
      <c r="D378" s="41" t="n"/>
      <c r="E378" s="41" t="n"/>
      <c r="F378" s="19">
        <f>IF(COUNTA(A378:E378)=0,"",TRIM(IF(A378="","받은 가족 없음 ","")&amp;IF(B378="","보낸 분 없음 ","")&amp;IF(AND(B378&lt;&gt;"",COUNTIFS($B$2:$B$501,B378,$C$2:$C$501,C378)&gt;1),"중복 의심","")))</f>
        <v/>
      </c>
      <c r="G378">
        <f>IF(AND(A378&lt;&gt;"",A378=가족별!$B$1),COUNTIF($A$2:A378,가족별!$B$1),"")</f>
        <v/>
      </c>
      <c r="H378">
        <f>IF(COUNTA(B378:C378)&gt;0,1,0)</f>
        <v/>
      </c>
      <c r="I378">
        <f>IF(F378="",0,1)</f>
        <v/>
      </c>
    </row>
    <row r="379">
      <c r="A379" s="41" t="n"/>
      <c r="B379" s="41" t="n"/>
      <c r="C379" s="41" t="n"/>
      <c r="D379" s="41" t="n"/>
      <c r="E379" s="41" t="n"/>
      <c r="F379" s="19">
        <f>IF(COUNTA(A379:E379)=0,"",TRIM(IF(A379="","받은 가족 없음 ","")&amp;IF(B379="","보낸 분 없음 ","")&amp;IF(AND(B379&lt;&gt;"",COUNTIFS($B$2:$B$501,B379,$C$2:$C$501,C379)&gt;1),"중복 의심","")))</f>
        <v/>
      </c>
      <c r="G379">
        <f>IF(AND(A379&lt;&gt;"",A379=가족별!$B$1),COUNTIF($A$2:A379,가족별!$B$1),"")</f>
        <v/>
      </c>
      <c r="H379">
        <f>IF(COUNTA(B379:C379)&gt;0,1,0)</f>
        <v/>
      </c>
      <c r="I379">
        <f>IF(F379="",0,1)</f>
        <v/>
      </c>
    </row>
    <row r="380">
      <c r="A380" s="41" t="n"/>
      <c r="B380" s="41" t="n"/>
      <c r="C380" s="41" t="n"/>
      <c r="D380" s="41" t="n"/>
      <c r="E380" s="41" t="n"/>
      <c r="F380" s="19">
        <f>IF(COUNTA(A380:E380)=0,"",TRIM(IF(A380="","받은 가족 없음 ","")&amp;IF(B380="","보낸 분 없음 ","")&amp;IF(AND(B380&lt;&gt;"",COUNTIFS($B$2:$B$501,B380,$C$2:$C$501,C380)&gt;1),"중복 의심","")))</f>
        <v/>
      </c>
      <c r="G380">
        <f>IF(AND(A380&lt;&gt;"",A380=가족별!$B$1),COUNTIF($A$2:A380,가족별!$B$1),"")</f>
        <v/>
      </c>
      <c r="H380">
        <f>IF(COUNTA(B380:C380)&gt;0,1,0)</f>
        <v/>
      </c>
      <c r="I380">
        <f>IF(F380="",0,1)</f>
        <v/>
      </c>
    </row>
    <row r="381">
      <c r="A381" s="41" t="n"/>
      <c r="B381" s="41" t="n"/>
      <c r="C381" s="41" t="n"/>
      <c r="D381" s="41" t="n"/>
      <c r="E381" s="41" t="n"/>
      <c r="F381" s="19">
        <f>IF(COUNTA(A381:E381)=0,"",TRIM(IF(A381="","받은 가족 없음 ","")&amp;IF(B381="","보낸 분 없음 ","")&amp;IF(AND(B381&lt;&gt;"",COUNTIFS($B$2:$B$501,B381,$C$2:$C$501,C381)&gt;1),"중복 의심","")))</f>
        <v/>
      </c>
      <c r="G381">
        <f>IF(AND(A381&lt;&gt;"",A381=가족별!$B$1),COUNTIF($A$2:A381,가족별!$B$1),"")</f>
        <v/>
      </c>
      <c r="H381">
        <f>IF(COUNTA(B381:C381)&gt;0,1,0)</f>
        <v/>
      </c>
      <c r="I381">
        <f>IF(F381="",0,1)</f>
        <v/>
      </c>
    </row>
    <row r="382">
      <c r="A382" s="41" t="n"/>
      <c r="B382" s="41" t="n"/>
      <c r="C382" s="41" t="n"/>
      <c r="D382" s="41" t="n"/>
      <c r="E382" s="41" t="n"/>
      <c r="F382" s="19">
        <f>IF(COUNTA(A382:E382)=0,"",TRIM(IF(A382="","받은 가족 없음 ","")&amp;IF(B382="","보낸 분 없음 ","")&amp;IF(AND(B382&lt;&gt;"",COUNTIFS($B$2:$B$501,B382,$C$2:$C$501,C382)&gt;1),"중복 의심","")))</f>
        <v/>
      </c>
      <c r="G382">
        <f>IF(AND(A382&lt;&gt;"",A382=가족별!$B$1),COUNTIF($A$2:A382,가족별!$B$1),"")</f>
        <v/>
      </c>
      <c r="H382">
        <f>IF(COUNTA(B382:C382)&gt;0,1,0)</f>
        <v/>
      </c>
      <c r="I382">
        <f>IF(F382="",0,1)</f>
        <v/>
      </c>
    </row>
    <row r="383">
      <c r="A383" s="41" t="n"/>
      <c r="B383" s="41" t="n"/>
      <c r="C383" s="41" t="n"/>
      <c r="D383" s="41" t="n"/>
      <c r="E383" s="41" t="n"/>
      <c r="F383" s="19">
        <f>IF(COUNTA(A383:E383)=0,"",TRIM(IF(A383="","받은 가족 없음 ","")&amp;IF(B383="","보낸 분 없음 ","")&amp;IF(AND(B383&lt;&gt;"",COUNTIFS($B$2:$B$501,B383,$C$2:$C$501,C383)&gt;1),"중복 의심","")))</f>
        <v/>
      </c>
      <c r="G383">
        <f>IF(AND(A383&lt;&gt;"",A383=가족별!$B$1),COUNTIF($A$2:A383,가족별!$B$1),"")</f>
        <v/>
      </c>
      <c r="H383">
        <f>IF(COUNTA(B383:C383)&gt;0,1,0)</f>
        <v/>
      </c>
      <c r="I383">
        <f>IF(F383="",0,1)</f>
        <v/>
      </c>
    </row>
    <row r="384">
      <c r="A384" s="41" t="n"/>
      <c r="B384" s="41" t="n"/>
      <c r="C384" s="41" t="n"/>
      <c r="D384" s="41" t="n"/>
      <c r="E384" s="41" t="n"/>
      <c r="F384" s="19">
        <f>IF(COUNTA(A384:E384)=0,"",TRIM(IF(A384="","받은 가족 없음 ","")&amp;IF(B384="","보낸 분 없음 ","")&amp;IF(AND(B384&lt;&gt;"",COUNTIFS($B$2:$B$501,B384,$C$2:$C$501,C384)&gt;1),"중복 의심","")))</f>
        <v/>
      </c>
      <c r="G384">
        <f>IF(AND(A384&lt;&gt;"",A384=가족별!$B$1),COUNTIF($A$2:A384,가족별!$B$1),"")</f>
        <v/>
      </c>
      <c r="H384">
        <f>IF(COUNTA(B384:C384)&gt;0,1,0)</f>
        <v/>
      </c>
      <c r="I384">
        <f>IF(F384="",0,1)</f>
        <v/>
      </c>
    </row>
    <row r="385">
      <c r="A385" s="41" t="n"/>
      <c r="B385" s="41" t="n"/>
      <c r="C385" s="41" t="n"/>
      <c r="D385" s="41" t="n"/>
      <c r="E385" s="41" t="n"/>
      <c r="F385" s="19">
        <f>IF(COUNTA(A385:E385)=0,"",TRIM(IF(A385="","받은 가족 없음 ","")&amp;IF(B385="","보낸 분 없음 ","")&amp;IF(AND(B385&lt;&gt;"",COUNTIFS($B$2:$B$501,B385,$C$2:$C$501,C385)&gt;1),"중복 의심","")))</f>
        <v/>
      </c>
      <c r="G385">
        <f>IF(AND(A385&lt;&gt;"",A385=가족별!$B$1),COUNTIF($A$2:A385,가족별!$B$1),"")</f>
        <v/>
      </c>
      <c r="H385">
        <f>IF(COUNTA(B385:C385)&gt;0,1,0)</f>
        <v/>
      </c>
      <c r="I385">
        <f>IF(F385="",0,1)</f>
        <v/>
      </c>
    </row>
    <row r="386">
      <c r="A386" s="41" t="n"/>
      <c r="B386" s="41" t="n"/>
      <c r="C386" s="41" t="n"/>
      <c r="D386" s="41" t="n"/>
      <c r="E386" s="41" t="n"/>
      <c r="F386" s="19">
        <f>IF(COUNTA(A386:E386)=0,"",TRIM(IF(A386="","받은 가족 없음 ","")&amp;IF(B386="","보낸 분 없음 ","")&amp;IF(AND(B386&lt;&gt;"",COUNTIFS($B$2:$B$501,B386,$C$2:$C$501,C386)&gt;1),"중복 의심","")))</f>
        <v/>
      </c>
      <c r="G386">
        <f>IF(AND(A386&lt;&gt;"",A386=가족별!$B$1),COUNTIF($A$2:A386,가족별!$B$1),"")</f>
        <v/>
      </c>
      <c r="H386">
        <f>IF(COUNTA(B386:C386)&gt;0,1,0)</f>
        <v/>
      </c>
      <c r="I386">
        <f>IF(F386="",0,1)</f>
        <v/>
      </c>
    </row>
    <row r="387">
      <c r="A387" s="41" t="n"/>
      <c r="B387" s="41" t="n"/>
      <c r="C387" s="41" t="n"/>
      <c r="D387" s="41" t="n"/>
      <c r="E387" s="41" t="n"/>
      <c r="F387" s="19">
        <f>IF(COUNTA(A387:E387)=0,"",TRIM(IF(A387="","받은 가족 없음 ","")&amp;IF(B387="","보낸 분 없음 ","")&amp;IF(AND(B387&lt;&gt;"",COUNTIFS($B$2:$B$501,B387,$C$2:$C$501,C387)&gt;1),"중복 의심","")))</f>
        <v/>
      </c>
      <c r="G387">
        <f>IF(AND(A387&lt;&gt;"",A387=가족별!$B$1),COUNTIF($A$2:A387,가족별!$B$1),"")</f>
        <v/>
      </c>
      <c r="H387">
        <f>IF(COUNTA(B387:C387)&gt;0,1,0)</f>
        <v/>
      </c>
      <c r="I387">
        <f>IF(F387="",0,1)</f>
        <v/>
      </c>
    </row>
    <row r="388">
      <c r="A388" s="41" t="n"/>
      <c r="B388" s="41" t="n"/>
      <c r="C388" s="41" t="n"/>
      <c r="D388" s="41" t="n"/>
      <c r="E388" s="41" t="n"/>
      <c r="F388" s="19">
        <f>IF(COUNTA(A388:E388)=0,"",TRIM(IF(A388="","받은 가족 없음 ","")&amp;IF(B388="","보낸 분 없음 ","")&amp;IF(AND(B388&lt;&gt;"",COUNTIFS($B$2:$B$501,B388,$C$2:$C$501,C388)&gt;1),"중복 의심","")))</f>
        <v/>
      </c>
      <c r="G388">
        <f>IF(AND(A388&lt;&gt;"",A388=가족별!$B$1),COUNTIF($A$2:A388,가족별!$B$1),"")</f>
        <v/>
      </c>
      <c r="H388">
        <f>IF(COUNTA(B388:C388)&gt;0,1,0)</f>
        <v/>
      </c>
      <c r="I388">
        <f>IF(F388="",0,1)</f>
        <v/>
      </c>
    </row>
    <row r="389">
      <c r="A389" s="41" t="n"/>
      <c r="B389" s="41" t="n"/>
      <c r="C389" s="41" t="n"/>
      <c r="D389" s="41" t="n"/>
      <c r="E389" s="41" t="n"/>
      <c r="F389" s="19">
        <f>IF(COUNTA(A389:E389)=0,"",TRIM(IF(A389="","받은 가족 없음 ","")&amp;IF(B389="","보낸 분 없음 ","")&amp;IF(AND(B389&lt;&gt;"",COUNTIFS($B$2:$B$501,B389,$C$2:$C$501,C389)&gt;1),"중복 의심","")))</f>
        <v/>
      </c>
      <c r="G389">
        <f>IF(AND(A389&lt;&gt;"",A389=가족별!$B$1),COUNTIF($A$2:A389,가족별!$B$1),"")</f>
        <v/>
      </c>
      <c r="H389">
        <f>IF(COUNTA(B389:C389)&gt;0,1,0)</f>
        <v/>
      </c>
      <c r="I389">
        <f>IF(F389="",0,1)</f>
        <v/>
      </c>
    </row>
    <row r="390">
      <c r="A390" s="41" t="n"/>
      <c r="B390" s="41" t="n"/>
      <c r="C390" s="41" t="n"/>
      <c r="D390" s="41" t="n"/>
      <c r="E390" s="41" t="n"/>
      <c r="F390" s="19">
        <f>IF(COUNTA(A390:E390)=0,"",TRIM(IF(A390="","받은 가족 없음 ","")&amp;IF(B390="","보낸 분 없음 ","")&amp;IF(AND(B390&lt;&gt;"",COUNTIFS($B$2:$B$501,B390,$C$2:$C$501,C390)&gt;1),"중복 의심","")))</f>
        <v/>
      </c>
      <c r="G390">
        <f>IF(AND(A390&lt;&gt;"",A390=가족별!$B$1),COUNTIF($A$2:A390,가족별!$B$1),"")</f>
        <v/>
      </c>
      <c r="H390">
        <f>IF(COUNTA(B390:C390)&gt;0,1,0)</f>
        <v/>
      </c>
      <c r="I390">
        <f>IF(F390="",0,1)</f>
        <v/>
      </c>
    </row>
    <row r="391">
      <c r="A391" s="41" t="n"/>
      <c r="B391" s="41" t="n"/>
      <c r="C391" s="41" t="n"/>
      <c r="D391" s="41" t="n"/>
      <c r="E391" s="41" t="n"/>
      <c r="F391" s="19">
        <f>IF(COUNTA(A391:E391)=0,"",TRIM(IF(A391="","받은 가족 없음 ","")&amp;IF(B391="","보낸 분 없음 ","")&amp;IF(AND(B391&lt;&gt;"",COUNTIFS($B$2:$B$501,B391,$C$2:$C$501,C391)&gt;1),"중복 의심","")))</f>
        <v/>
      </c>
      <c r="G391">
        <f>IF(AND(A391&lt;&gt;"",A391=가족별!$B$1),COUNTIF($A$2:A391,가족별!$B$1),"")</f>
        <v/>
      </c>
      <c r="H391">
        <f>IF(COUNTA(B391:C391)&gt;0,1,0)</f>
        <v/>
      </c>
      <c r="I391">
        <f>IF(F391="",0,1)</f>
        <v/>
      </c>
    </row>
    <row r="392">
      <c r="A392" s="41" t="n"/>
      <c r="B392" s="41" t="n"/>
      <c r="C392" s="41" t="n"/>
      <c r="D392" s="41" t="n"/>
      <c r="E392" s="41" t="n"/>
      <c r="F392" s="19">
        <f>IF(COUNTA(A392:E392)=0,"",TRIM(IF(A392="","받은 가족 없음 ","")&amp;IF(B392="","보낸 분 없음 ","")&amp;IF(AND(B392&lt;&gt;"",COUNTIFS($B$2:$B$501,B392,$C$2:$C$501,C392)&gt;1),"중복 의심","")))</f>
        <v/>
      </c>
      <c r="G392">
        <f>IF(AND(A392&lt;&gt;"",A392=가족별!$B$1),COUNTIF($A$2:A392,가족별!$B$1),"")</f>
        <v/>
      </c>
      <c r="H392">
        <f>IF(COUNTA(B392:C392)&gt;0,1,0)</f>
        <v/>
      </c>
      <c r="I392">
        <f>IF(F392="",0,1)</f>
        <v/>
      </c>
    </row>
    <row r="393">
      <c r="A393" s="41" t="n"/>
      <c r="B393" s="41" t="n"/>
      <c r="C393" s="41" t="n"/>
      <c r="D393" s="41" t="n"/>
      <c r="E393" s="41" t="n"/>
      <c r="F393" s="19">
        <f>IF(COUNTA(A393:E393)=0,"",TRIM(IF(A393="","받은 가족 없음 ","")&amp;IF(B393="","보낸 분 없음 ","")&amp;IF(AND(B393&lt;&gt;"",COUNTIFS($B$2:$B$501,B393,$C$2:$C$501,C393)&gt;1),"중복 의심","")))</f>
        <v/>
      </c>
      <c r="G393">
        <f>IF(AND(A393&lt;&gt;"",A393=가족별!$B$1),COUNTIF($A$2:A393,가족별!$B$1),"")</f>
        <v/>
      </c>
      <c r="H393">
        <f>IF(COUNTA(B393:C393)&gt;0,1,0)</f>
        <v/>
      </c>
      <c r="I393">
        <f>IF(F393="",0,1)</f>
        <v/>
      </c>
    </row>
    <row r="394">
      <c r="A394" s="41" t="n"/>
      <c r="B394" s="41" t="n"/>
      <c r="C394" s="41" t="n"/>
      <c r="D394" s="41" t="n"/>
      <c r="E394" s="41" t="n"/>
      <c r="F394" s="19">
        <f>IF(COUNTA(A394:E394)=0,"",TRIM(IF(A394="","받은 가족 없음 ","")&amp;IF(B394="","보낸 분 없음 ","")&amp;IF(AND(B394&lt;&gt;"",COUNTIFS($B$2:$B$501,B394,$C$2:$C$501,C394)&gt;1),"중복 의심","")))</f>
        <v/>
      </c>
      <c r="G394">
        <f>IF(AND(A394&lt;&gt;"",A394=가족별!$B$1),COUNTIF($A$2:A394,가족별!$B$1),"")</f>
        <v/>
      </c>
      <c r="H394">
        <f>IF(COUNTA(B394:C394)&gt;0,1,0)</f>
        <v/>
      </c>
      <c r="I394">
        <f>IF(F394="",0,1)</f>
        <v/>
      </c>
    </row>
    <row r="395">
      <c r="A395" s="41" t="n"/>
      <c r="B395" s="41" t="n"/>
      <c r="C395" s="41" t="n"/>
      <c r="D395" s="41" t="n"/>
      <c r="E395" s="41" t="n"/>
      <c r="F395" s="19">
        <f>IF(COUNTA(A395:E395)=0,"",TRIM(IF(A395="","받은 가족 없음 ","")&amp;IF(B395="","보낸 분 없음 ","")&amp;IF(AND(B395&lt;&gt;"",COUNTIFS($B$2:$B$501,B395,$C$2:$C$501,C395)&gt;1),"중복 의심","")))</f>
        <v/>
      </c>
      <c r="G395">
        <f>IF(AND(A395&lt;&gt;"",A395=가족별!$B$1),COUNTIF($A$2:A395,가족별!$B$1),"")</f>
        <v/>
      </c>
      <c r="H395">
        <f>IF(COUNTA(B395:C395)&gt;0,1,0)</f>
        <v/>
      </c>
      <c r="I395">
        <f>IF(F395="",0,1)</f>
        <v/>
      </c>
    </row>
    <row r="396">
      <c r="A396" s="41" t="n"/>
      <c r="B396" s="41" t="n"/>
      <c r="C396" s="41" t="n"/>
      <c r="D396" s="41" t="n"/>
      <c r="E396" s="41" t="n"/>
      <c r="F396" s="19">
        <f>IF(COUNTA(A396:E396)=0,"",TRIM(IF(A396="","받은 가족 없음 ","")&amp;IF(B396="","보낸 분 없음 ","")&amp;IF(AND(B396&lt;&gt;"",COUNTIFS($B$2:$B$501,B396,$C$2:$C$501,C396)&gt;1),"중복 의심","")))</f>
        <v/>
      </c>
      <c r="G396">
        <f>IF(AND(A396&lt;&gt;"",A396=가족별!$B$1),COUNTIF($A$2:A396,가족별!$B$1),"")</f>
        <v/>
      </c>
      <c r="H396">
        <f>IF(COUNTA(B396:C396)&gt;0,1,0)</f>
        <v/>
      </c>
      <c r="I396">
        <f>IF(F396="",0,1)</f>
        <v/>
      </c>
    </row>
    <row r="397">
      <c r="A397" s="41" t="n"/>
      <c r="B397" s="41" t="n"/>
      <c r="C397" s="41" t="n"/>
      <c r="D397" s="41" t="n"/>
      <c r="E397" s="41" t="n"/>
      <c r="F397" s="19">
        <f>IF(COUNTA(A397:E397)=0,"",TRIM(IF(A397="","받은 가족 없음 ","")&amp;IF(B397="","보낸 분 없음 ","")&amp;IF(AND(B397&lt;&gt;"",COUNTIFS($B$2:$B$501,B397,$C$2:$C$501,C397)&gt;1),"중복 의심","")))</f>
        <v/>
      </c>
      <c r="G397">
        <f>IF(AND(A397&lt;&gt;"",A397=가족별!$B$1),COUNTIF($A$2:A397,가족별!$B$1),"")</f>
        <v/>
      </c>
      <c r="H397">
        <f>IF(COUNTA(B397:C397)&gt;0,1,0)</f>
        <v/>
      </c>
      <c r="I397">
        <f>IF(F397="",0,1)</f>
        <v/>
      </c>
    </row>
    <row r="398">
      <c r="A398" s="41" t="n"/>
      <c r="B398" s="41" t="n"/>
      <c r="C398" s="41" t="n"/>
      <c r="D398" s="41" t="n"/>
      <c r="E398" s="41" t="n"/>
      <c r="F398" s="19">
        <f>IF(COUNTA(A398:E398)=0,"",TRIM(IF(A398="","받은 가족 없음 ","")&amp;IF(B398="","보낸 분 없음 ","")&amp;IF(AND(B398&lt;&gt;"",COUNTIFS($B$2:$B$501,B398,$C$2:$C$501,C398)&gt;1),"중복 의심","")))</f>
        <v/>
      </c>
      <c r="G398">
        <f>IF(AND(A398&lt;&gt;"",A398=가족별!$B$1),COUNTIF($A$2:A398,가족별!$B$1),"")</f>
        <v/>
      </c>
      <c r="H398">
        <f>IF(COUNTA(B398:C398)&gt;0,1,0)</f>
        <v/>
      </c>
      <c r="I398">
        <f>IF(F398="",0,1)</f>
        <v/>
      </c>
    </row>
    <row r="399">
      <c r="A399" s="41" t="n"/>
      <c r="B399" s="41" t="n"/>
      <c r="C399" s="41" t="n"/>
      <c r="D399" s="41" t="n"/>
      <c r="E399" s="41" t="n"/>
      <c r="F399" s="19">
        <f>IF(COUNTA(A399:E399)=0,"",TRIM(IF(A399="","받은 가족 없음 ","")&amp;IF(B399="","보낸 분 없음 ","")&amp;IF(AND(B399&lt;&gt;"",COUNTIFS($B$2:$B$501,B399,$C$2:$C$501,C399)&gt;1),"중복 의심","")))</f>
        <v/>
      </c>
      <c r="G399">
        <f>IF(AND(A399&lt;&gt;"",A399=가족별!$B$1),COUNTIF($A$2:A399,가족별!$B$1),"")</f>
        <v/>
      </c>
      <c r="H399">
        <f>IF(COUNTA(B399:C399)&gt;0,1,0)</f>
        <v/>
      </c>
      <c r="I399">
        <f>IF(F399="",0,1)</f>
        <v/>
      </c>
    </row>
    <row r="400">
      <c r="A400" s="41" t="n"/>
      <c r="B400" s="41" t="n"/>
      <c r="C400" s="41" t="n"/>
      <c r="D400" s="41" t="n"/>
      <c r="E400" s="41" t="n"/>
      <c r="F400" s="19">
        <f>IF(COUNTA(A400:E400)=0,"",TRIM(IF(A400="","받은 가족 없음 ","")&amp;IF(B400="","보낸 분 없음 ","")&amp;IF(AND(B400&lt;&gt;"",COUNTIFS($B$2:$B$501,B400,$C$2:$C$501,C400)&gt;1),"중복 의심","")))</f>
        <v/>
      </c>
      <c r="G400">
        <f>IF(AND(A400&lt;&gt;"",A400=가족별!$B$1),COUNTIF($A$2:A400,가족별!$B$1),"")</f>
        <v/>
      </c>
      <c r="H400">
        <f>IF(COUNTA(B400:C400)&gt;0,1,0)</f>
        <v/>
      </c>
      <c r="I400">
        <f>IF(F400="",0,1)</f>
        <v/>
      </c>
    </row>
    <row r="401">
      <c r="A401" s="41" t="n"/>
      <c r="B401" s="41" t="n"/>
      <c r="C401" s="41" t="n"/>
      <c r="D401" s="41" t="n"/>
      <c r="E401" s="41" t="n"/>
      <c r="F401" s="19">
        <f>IF(COUNTA(A401:E401)=0,"",TRIM(IF(A401="","받은 가족 없음 ","")&amp;IF(B401="","보낸 분 없음 ","")&amp;IF(AND(B401&lt;&gt;"",COUNTIFS($B$2:$B$501,B401,$C$2:$C$501,C401)&gt;1),"중복 의심","")))</f>
        <v/>
      </c>
      <c r="G401">
        <f>IF(AND(A401&lt;&gt;"",A401=가족별!$B$1),COUNTIF($A$2:A401,가족별!$B$1),"")</f>
        <v/>
      </c>
      <c r="H401">
        <f>IF(COUNTA(B401:C401)&gt;0,1,0)</f>
        <v/>
      </c>
      <c r="I401">
        <f>IF(F401="",0,1)</f>
        <v/>
      </c>
    </row>
    <row r="402">
      <c r="A402" s="41" t="n"/>
      <c r="B402" s="41" t="n"/>
      <c r="C402" s="41" t="n"/>
      <c r="D402" s="41" t="n"/>
      <c r="E402" s="41" t="n"/>
      <c r="F402" s="19">
        <f>IF(COUNTA(A402:E402)=0,"",TRIM(IF(A402="","받은 가족 없음 ","")&amp;IF(B402="","보낸 분 없음 ","")&amp;IF(AND(B402&lt;&gt;"",COUNTIFS($B$2:$B$501,B402,$C$2:$C$501,C402)&gt;1),"중복 의심","")))</f>
        <v/>
      </c>
      <c r="G402">
        <f>IF(AND(A402&lt;&gt;"",A402=가족별!$B$1),COUNTIF($A$2:A402,가족별!$B$1),"")</f>
        <v/>
      </c>
      <c r="H402">
        <f>IF(COUNTA(B402:C402)&gt;0,1,0)</f>
        <v/>
      </c>
      <c r="I402">
        <f>IF(F402="",0,1)</f>
        <v/>
      </c>
    </row>
    <row r="403">
      <c r="A403" s="41" t="n"/>
      <c r="B403" s="41" t="n"/>
      <c r="C403" s="41" t="n"/>
      <c r="D403" s="41" t="n"/>
      <c r="E403" s="41" t="n"/>
      <c r="F403" s="19">
        <f>IF(COUNTA(A403:E403)=0,"",TRIM(IF(A403="","받은 가족 없음 ","")&amp;IF(B403="","보낸 분 없음 ","")&amp;IF(AND(B403&lt;&gt;"",COUNTIFS($B$2:$B$501,B403,$C$2:$C$501,C403)&gt;1),"중복 의심","")))</f>
        <v/>
      </c>
      <c r="G403">
        <f>IF(AND(A403&lt;&gt;"",A403=가족별!$B$1),COUNTIF($A$2:A403,가족별!$B$1),"")</f>
        <v/>
      </c>
      <c r="H403">
        <f>IF(COUNTA(B403:C403)&gt;0,1,0)</f>
        <v/>
      </c>
      <c r="I403">
        <f>IF(F403="",0,1)</f>
        <v/>
      </c>
    </row>
    <row r="404">
      <c r="A404" s="41" t="n"/>
      <c r="B404" s="41" t="n"/>
      <c r="C404" s="41" t="n"/>
      <c r="D404" s="41" t="n"/>
      <c r="E404" s="41" t="n"/>
      <c r="F404" s="19">
        <f>IF(COUNTA(A404:E404)=0,"",TRIM(IF(A404="","받은 가족 없음 ","")&amp;IF(B404="","보낸 분 없음 ","")&amp;IF(AND(B404&lt;&gt;"",COUNTIFS($B$2:$B$501,B404,$C$2:$C$501,C404)&gt;1),"중복 의심","")))</f>
        <v/>
      </c>
      <c r="G404">
        <f>IF(AND(A404&lt;&gt;"",A404=가족별!$B$1),COUNTIF($A$2:A404,가족별!$B$1),"")</f>
        <v/>
      </c>
      <c r="H404">
        <f>IF(COUNTA(B404:C404)&gt;0,1,0)</f>
        <v/>
      </c>
      <c r="I404">
        <f>IF(F404="",0,1)</f>
        <v/>
      </c>
    </row>
    <row r="405">
      <c r="A405" s="41" t="n"/>
      <c r="B405" s="41" t="n"/>
      <c r="C405" s="41" t="n"/>
      <c r="D405" s="41" t="n"/>
      <c r="E405" s="41" t="n"/>
      <c r="F405" s="19">
        <f>IF(COUNTA(A405:E405)=0,"",TRIM(IF(A405="","받은 가족 없음 ","")&amp;IF(B405="","보낸 분 없음 ","")&amp;IF(AND(B405&lt;&gt;"",COUNTIFS($B$2:$B$501,B405,$C$2:$C$501,C405)&gt;1),"중복 의심","")))</f>
        <v/>
      </c>
      <c r="G405">
        <f>IF(AND(A405&lt;&gt;"",A405=가족별!$B$1),COUNTIF($A$2:A405,가족별!$B$1),"")</f>
        <v/>
      </c>
      <c r="H405">
        <f>IF(COUNTA(B405:C405)&gt;0,1,0)</f>
        <v/>
      </c>
      <c r="I405">
        <f>IF(F405="",0,1)</f>
        <v/>
      </c>
    </row>
    <row r="406">
      <c r="A406" s="41" t="n"/>
      <c r="B406" s="41" t="n"/>
      <c r="C406" s="41" t="n"/>
      <c r="D406" s="41" t="n"/>
      <c r="E406" s="41" t="n"/>
      <c r="F406" s="19">
        <f>IF(COUNTA(A406:E406)=0,"",TRIM(IF(A406="","받은 가족 없음 ","")&amp;IF(B406="","보낸 분 없음 ","")&amp;IF(AND(B406&lt;&gt;"",COUNTIFS($B$2:$B$501,B406,$C$2:$C$501,C406)&gt;1),"중복 의심","")))</f>
        <v/>
      </c>
      <c r="G406">
        <f>IF(AND(A406&lt;&gt;"",A406=가족별!$B$1),COUNTIF($A$2:A406,가족별!$B$1),"")</f>
        <v/>
      </c>
      <c r="H406">
        <f>IF(COUNTA(B406:C406)&gt;0,1,0)</f>
        <v/>
      </c>
      <c r="I406">
        <f>IF(F406="",0,1)</f>
        <v/>
      </c>
    </row>
    <row r="407">
      <c r="A407" s="41" t="n"/>
      <c r="B407" s="41" t="n"/>
      <c r="C407" s="41" t="n"/>
      <c r="D407" s="41" t="n"/>
      <c r="E407" s="41" t="n"/>
      <c r="F407" s="19">
        <f>IF(COUNTA(A407:E407)=0,"",TRIM(IF(A407="","받은 가족 없음 ","")&amp;IF(B407="","보낸 분 없음 ","")&amp;IF(AND(B407&lt;&gt;"",COUNTIFS($B$2:$B$501,B407,$C$2:$C$501,C407)&gt;1),"중복 의심","")))</f>
        <v/>
      </c>
      <c r="G407">
        <f>IF(AND(A407&lt;&gt;"",A407=가족별!$B$1),COUNTIF($A$2:A407,가족별!$B$1),"")</f>
        <v/>
      </c>
      <c r="H407">
        <f>IF(COUNTA(B407:C407)&gt;0,1,0)</f>
        <v/>
      </c>
      <c r="I407">
        <f>IF(F407="",0,1)</f>
        <v/>
      </c>
    </row>
    <row r="408">
      <c r="A408" s="41" t="n"/>
      <c r="B408" s="41" t="n"/>
      <c r="C408" s="41" t="n"/>
      <c r="D408" s="41" t="n"/>
      <c r="E408" s="41" t="n"/>
      <c r="F408" s="19">
        <f>IF(COUNTA(A408:E408)=0,"",TRIM(IF(A408="","받은 가족 없음 ","")&amp;IF(B408="","보낸 분 없음 ","")&amp;IF(AND(B408&lt;&gt;"",COUNTIFS($B$2:$B$501,B408,$C$2:$C$501,C408)&gt;1),"중복 의심","")))</f>
        <v/>
      </c>
      <c r="G408">
        <f>IF(AND(A408&lt;&gt;"",A408=가족별!$B$1),COUNTIF($A$2:A408,가족별!$B$1),"")</f>
        <v/>
      </c>
      <c r="H408">
        <f>IF(COUNTA(B408:C408)&gt;0,1,0)</f>
        <v/>
      </c>
      <c r="I408">
        <f>IF(F408="",0,1)</f>
        <v/>
      </c>
    </row>
    <row r="409">
      <c r="A409" s="41" t="n"/>
      <c r="B409" s="41" t="n"/>
      <c r="C409" s="41" t="n"/>
      <c r="D409" s="41" t="n"/>
      <c r="E409" s="41" t="n"/>
      <c r="F409" s="19">
        <f>IF(COUNTA(A409:E409)=0,"",TRIM(IF(A409="","받은 가족 없음 ","")&amp;IF(B409="","보낸 분 없음 ","")&amp;IF(AND(B409&lt;&gt;"",COUNTIFS($B$2:$B$501,B409,$C$2:$C$501,C409)&gt;1),"중복 의심","")))</f>
        <v/>
      </c>
      <c r="G409">
        <f>IF(AND(A409&lt;&gt;"",A409=가족별!$B$1),COUNTIF($A$2:A409,가족별!$B$1),"")</f>
        <v/>
      </c>
      <c r="H409">
        <f>IF(COUNTA(B409:C409)&gt;0,1,0)</f>
        <v/>
      </c>
      <c r="I409">
        <f>IF(F409="",0,1)</f>
        <v/>
      </c>
    </row>
    <row r="410">
      <c r="A410" s="41" t="n"/>
      <c r="B410" s="41" t="n"/>
      <c r="C410" s="41" t="n"/>
      <c r="D410" s="41" t="n"/>
      <c r="E410" s="41" t="n"/>
      <c r="F410" s="19">
        <f>IF(COUNTA(A410:E410)=0,"",TRIM(IF(A410="","받은 가족 없음 ","")&amp;IF(B410="","보낸 분 없음 ","")&amp;IF(AND(B410&lt;&gt;"",COUNTIFS($B$2:$B$501,B410,$C$2:$C$501,C410)&gt;1),"중복 의심","")))</f>
        <v/>
      </c>
      <c r="G410">
        <f>IF(AND(A410&lt;&gt;"",A410=가족별!$B$1),COUNTIF($A$2:A410,가족별!$B$1),"")</f>
        <v/>
      </c>
      <c r="H410">
        <f>IF(COUNTA(B410:C410)&gt;0,1,0)</f>
        <v/>
      </c>
      <c r="I410">
        <f>IF(F410="",0,1)</f>
        <v/>
      </c>
    </row>
    <row r="411">
      <c r="A411" s="41" t="n"/>
      <c r="B411" s="41" t="n"/>
      <c r="C411" s="41" t="n"/>
      <c r="D411" s="41" t="n"/>
      <c r="E411" s="41" t="n"/>
      <c r="F411" s="19">
        <f>IF(COUNTA(A411:E411)=0,"",TRIM(IF(A411="","받은 가족 없음 ","")&amp;IF(B411="","보낸 분 없음 ","")&amp;IF(AND(B411&lt;&gt;"",COUNTIFS($B$2:$B$501,B411,$C$2:$C$501,C411)&gt;1),"중복 의심","")))</f>
        <v/>
      </c>
      <c r="G411">
        <f>IF(AND(A411&lt;&gt;"",A411=가족별!$B$1),COUNTIF($A$2:A411,가족별!$B$1),"")</f>
        <v/>
      </c>
      <c r="H411">
        <f>IF(COUNTA(B411:C411)&gt;0,1,0)</f>
        <v/>
      </c>
      <c r="I411">
        <f>IF(F411="",0,1)</f>
        <v/>
      </c>
    </row>
    <row r="412">
      <c r="A412" s="41" t="n"/>
      <c r="B412" s="41" t="n"/>
      <c r="C412" s="41" t="n"/>
      <c r="D412" s="41" t="n"/>
      <c r="E412" s="41" t="n"/>
      <c r="F412" s="19">
        <f>IF(COUNTA(A412:E412)=0,"",TRIM(IF(A412="","받은 가족 없음 ","")&amp;IF(B412="","보낸 분 없음 ","")&amp;IF(AND(B412&lt;&gt;"",COUNTIFS($B$2:$B$501,B412,$C$2:$C$501,C412)&gt;1),"중복 의심","")))</f>
        <v/>
      </c>
      <c r="G412">
        <f>IF(AND(A412&lt;&gt;"",A412=가족별!$B$1),COUNTIF($A$2:A412,가족별!$B$1),"")</f>
        <v/>
      </c>
      <c r="H412">
        <f>IF(COUNTA(B412:C412)&gt;0,1,0)</f>
        <v/>
      </c>
      <c r="I412">
        <f>IF(F412="",0,1)</f>
        <v/>
      </c>
    </row>
    <row r="413">
      <c r="A413" s="41" t="n"/>
      <c r="B413" s="41" t="n"/>
      <c r="C413" s="41" t="n"/>
      <c r="D413" s="41" t="n"/>
      <c r="E413" s="41" t="n"/>
      <c r="F413" s="19">
        <f>IF(COUNTA(A413:E413)=0,"",TRIM(IF(A413="","받은 가족 없음 ","")&amp;IF(B413="","보낸 분 없음 ","")&amp;IF(AND(B413&lt;&gt;"",COUNTIFS($B$2:$B$501,B413,$C$2:$C$501,C413)&gt;1),"중복 의심","")))</f>
        <v/>
      </c>
      <c r="G413">
        <f>IF(AND(A413&lt;&gt;"",A413=가족별!$B$1),COUNTIF($A$2:A413,가족별!$B$1),"")</f>
        <v/>
      </c>
      <c r="H413">
        <f>IF(COUNTA(B413:C413)&gt;0,1,0)</f>
        <v/>
      </c>
      <c r="I413">
        <f>IF(F413="",0,1)</f>
        <v/>
      </c>
    </row>
    <row r="414">
      <c r="A414" s="41" t="n"/>
      <c r="B414" s="41" t="n"/>
      <c r="C414" s="41" t="n"/>
      <c r="D414" s="41" t="n"/>
      <c r="E414" s="41" t="n"/>
      <c r="F414" s="19">
        <f>IF(COUNTA(A414:E414)=0,"",TRIM(IF(A414="","받은 가족 없음 ","")&amp;IF(B414="","보낸 분 없음 ","")&amp;IF(AND(B414&lt;&gt;"",COUNTIFS($B$2:$B$501,B414,$C$2:$C$501,C414)&gt;1),"중복 의심","")))</f>
        <v/>
      </c>
      <c r="G414">
        <f>IF(AND(A414&lt;&gt;"",A414=가족별!$B$1),COUNTIF($A$2:A414,가족별!$B$1),"")</f>
        <v/>
      </c>
      <c r="H414">
        <f>IF(COUNTA(B414:C414)&gt;0,1,0)</f>
        <v/>
      </c>
      <c r="I414">
        <f>IF(F414="",0,1)</f>
        <v/>
      </c>
    </row>
    <row r="415">
      <c r="A415" s="41" t="n"/>
      <c r="B415" s="41" t="n"/>
      <c r="C415" s="41" t="n"/>
      <c r="D415" s="41" t="n"/>
      <c r="E415" s="41" t="n"/>
      <c r="F415" s="19">
        <f>IF(COUNTA(A415:E415)=0,"",TRIM(IF(A415="","받은 가족 없음 ","")&amp;IF(B415="","보낸 분 없음 ","")&amp;IF(AND(B415&lt;&gt;"",COUNTIFS($B$2:$B$501,B415,$C$2:$C$501,C415)&gt;1),"중복 의심","")))</f>
        <v/>
      </c>
      <c r="G415">
        <f>IF(AND(A415&lt;&gt;"",A415=가족별!$B$1),COUNTIF($A$2:A415,가족별!$B$1),"")</f>
        <v/>
      </c>
      <c r="H415">
        <f>IF(COUNTA(B415:C415)&gt;0,1,0)</f>
        <v/>
      </c>
      <c r="I415">
        <f>IF(F415="",0,1)</f>
        <v/>
      </c>
    </row>
    <row r="416">
      <c r="A416" s="41" t="n"/>
      <c r="B416" s="41" t="n"/>
      <c r="C416" s="41" t="n"/>
      <c r="D416" s="41" t="n"/>
      <c r="E416" s="41" t="n"/>
      <c r="F416" s="19">
        <f>IF(COUNTA(A416:E416)=0,"",TRIM(IF(A416="","받은 가족 없음 ","")&amp;IF(B416="","보낸 분 없음 ","")&amp;IF(AND(B416&lt;&gt;"",COUNTIFS($B$2:$B$501,B416,$C$2:$C$501,C416)&gt;1),"중복 의심","")))</f>
        <v/>
      </c>
      <c r="G416">
        <f>IF(AND(A416&lt;&gt;"",A416=가족별!$B$1),COUNTIF($A$2:A416,가족별!$B$1),"")</f>
        <v/>
      </c>
      <c r="H416">
        <f>IF(COUNTA(B416:C416)&gt;0,1,0)</f>
        <v/>
      </c>
      <c r="I416">
        <f>IF(F416="",0,1)</f>
        <v/>
      </c>
    </row>
    <row r="417">
      <c r="A417" s="41" t="n"/>
      <c r="B417" s="41" t="n"/>
      <c r="C417" s="41" t="n"/>
      <c r="D417" s="41" t="n"/>
      <c r="E417" s="41" t="n"/>
      <c r="F417" s="19">
        <f>IF(COUNTA(A417:E417)=0,"",TRIM(IF(A417="","받은 가족 없음 ","")&amp;IF(B417="","보낸 분 없음 ","")&amp;IF(AND(B417&lt;&gt;"",COUNTIFS($B$2:$B$501,B417,$C$2:$C$501,C417)&gt;1),"중복 의심","")))</f>
        <v/>
      </c>
      <c r="G417">
        <f>IF(AND(A417&lt;&gt;"",A417=가족별!$B$1),COUNTIF($A$2:A417,가족별!$B$1),"")</f>
        <v/>
      </c>
      <c r="H417">
        <f>IF(COUNTA(B417:C417)&gt;0,1,0)</f>
        <v/>
      </c>
      <c r="I417">
        <f>IF(F417="",0,1)</f>
        <v/>
      </c>
    </row>
    <row r="418">
      <c r="A418" s="41" t="n"/>
      <c r="B418" s="41" t="n"/>
      <c r="C418" s="41" t="n"/>
      <c r="D418" s="41" t="n"/>
      <c r="E418" s="41" t="n"/>
      <c r="F418" s="19">
        <f>IF(COUNTA(A418:E418)=0,"",TRIM(IF(A418="","받은 가족 없음 ","")&amp;IF(B418="","보낸 분 없음 ","")&amp;IF(AND(B418&lt;&gt;"",COUNTIFS($B$2:$B$501,B418,$C$2:$C$501,C418)&gt;1),"중복 의심","")))</f>
        <v/>
      </c>
      <c r="G418">
        <f>IF(AND(A418&lt;&gt;"",A418=가족별!$B$1),COUNTIF($A$2:A418,가족별!$B$1),"")</f>
        <v/>
      </c>
      <c r="H418">
        <f>IF(COUNTA(B418:C418)&gt;0,1,0)</f>
        <v/>
      </c>
      <c r="I418">
        <f>IF(F418="",0,1)</f>
        <v/>
      </c>
    </row>
    <row r="419">
      <c r="A419" s="41" t="n"/>
      <c r="B419" s="41" t="n"/>
      <c r="C419" s="41" t="n"/>
      <c r="D419" s="41" t="n"/>
      <c r="E419" s="41" t="n"/>
      <c r="F419" s="19">
        <f>IF(COUNTA(A419:E419)=0,"",TRIM(IF(A419="","받은 가족 없음 ","")&amp;IF(B419="","보낸 분 없음 ","")&amp;IF(AND(B419&lt;&gt;"",COUNTIFS($B$2:$B$501,B419,$C$2:$C$501,C419)&gt;1),"중복 의심","")))</f>
        <v/>
      </c>
      <c r="G419">
        <f>IF(AND(A419&lt;&gt;"",A419=가족별!$B$1),COUNTIF($A$2:A419,가족별!$B$1),"")</f>
        <v/>
      </c>
      <c r="H419">
        <f>IF(COUNTA(B419:C419)&gt;0,1,0)</f>
        <v/>
      </c>
      <c r="I419">
        <f>IF(F419="",0,1)</f>
        <v/>
      </c>
    </row>
    <row r="420">
      <c r="A420" s="41" t="n"/>
      <c r="B420" s="41" t="n"/>
      <c r="C420" s="41" t="n"/>
      <c r="D420" s="41" t="n"/>
      <c r="E420" s="41" t="n"/>
      <c r="F420" s="19">
        <f>IF(COUNTA(A420:E420)=0,"",TRIM(IF(A420="","받은 가족 없음 ","")&amp;IF(B420="","보낸 분 없음 ","")&amp;IF(AND(B420&lt;&gt;"",COUNTIFS($B$2:$B$501,B420,$C$2:$C$501,C420)&gt;1),"중복 의심","")))</f>
        <v/>
      </c>
      <c r="G420">
        <f>IF(AND(A420&lt;&gt;"",A420=가족별!$B$1),COUNTIF($A$2:A420,가족별!$B$1),"")</f>
        <v/>
      </c>
      <c r="H420">
        <f>IF(COUNTA(B420:C420)&gt;0,1,0)</f>
        <v/>
      </c>
      <c r="I420">
        <f>IF(F420="",0,1)</f>
        <v/>
      </c>
    </row>
    <row r="421">
      <c r="A421" s="41" t="n"/>
      <c r="B421" s="41" t="n"/>
      <c r="C421" s="41" t="n"/>
      <c r="D421" s="41" t="n"/>
      <c r="E421" s="41" t="n"/>
      <c r="F421" s="19">
        <f>IF(COUNTA(A421:E421)=0,"",TRIM(IF(A421="","받은 가족 없음 ","")&amp;IF(B421="","보낸 분 없음 ","")&amp;IF(AND(B421&lt;&gt;"",COUNTIFS($B$2:$B$501,B421,$C$2:$C$501,C421)&gt;1),"중복 의심","")))</f>
        <v/>
      </c>
      <c r="G421">
        <f>IF(AND(A421&lt;&gt;"",A421=가족별!$B$1),COUNTIF($A$2:A421,가족별!$B$1),"")</f>
        <v/>
      </c>
      <c r="H421">
        <f>IF(COUNTA(B421:C421)&gt;0,1,0)</f>
        <v/>
      </c>
      <c r="I421">
        <f>IF(F421="",0,1)</f>
        <v/>
      </c>
    </row>
    <row r="422">
      <c r="A422" s="41" t="n"/>
      <c r="B422" s="41" t="n"/>
      <c r="C422" s="41" t="n"/>
      <c r="D422" s="41" t="n"/>
      <c r="E422" s="41" t="n"/>
      <c r="F422" s="19">
        <f>IF(COUNTA(A422:E422)=0,"",TRIM(IF(A422="","받은 가족 없음 ","")&amp;IF(B422="","보낸 분 없음 ","")&amp;IF(AND(B422&lt;&gt;"",COUNTIFS($B$2:$B$501,B422,$C$2:$C$501,C422)&gt;1),"중복 의심","")))</f>
        <v/>
      </c>
      <c r="G422">
        <f>IF(AND(A422&lt;&gt;"",A422=가족별!$B$1),COUNTIF($A$2:A422,가족별!$B$1),"")</f>
        <v/>
      </c>
      <c r="H422">
        <f>IF(COUNTA(B422:C422)&gt;0,1,0)</f>
        <v/>
      </c>
      <c r="I422">
        <f>IF(F422="",0,1)</f>
        <v/>
      </c>
    </row>
    <row r="423">
      <c r="A423" s="41" t="n"/>
      <c r="B423" s="41" t="n"/>
      <c r="C423" s="41" t="n"/>
      <c r="D423" s="41" t="n"/>
      <c r="E423" s="41" t="n"/>
      <c r="F423" s="19">
        <f>IF(COUNTA(A423:E423)=0,"",TRIM(IF(A423="","받은 가족 없음 ","")&amp;IF(B423="","보낸 분 없음 ","")&amp;IF(AND(B423&lt;&gt;"",COUNTIFS($B$2:$B$501,B423,$C$2:$C$501,C423)&gt;1),"중복 의심","")))</f>
        <v/>
      </c>
      <c r="G423">
        <f>IF(AND(A423&lt;&gt;"",A423=가족별!$B$1),COUNTIF($A$2:A423,가족별!$B$1),"")</f>
        <v/>
      </c>
      <c r="H423">
        <f>IF(COUNTA(B423:C423)&gt;0,1,0)</f>
        <v/>
      </c>
      <c r="I423">
        <f>IF(F423="",0,1)</f>
        <v/>
      </c>
    </row>
    <row r="424">
      <c r="A424" s="41" t="n"/>
      <c r="B424" s="41" t="n"/>
      <c r="C424" s="41" t="n"/>
      <c r="D424" s="41" t="n"/>
      <c r="E424" s="41" t="n"/>
      <c r="F424" s="19">
        <f>IF(COUNTA(A424:E424)=0,"",TRIM(IF(A424="","받은 가족 없음 ","")&amp;IF(B424="","보낸 분 없음 ","")&amp;IF(AND(B424&lt;&gt;"",COUNTIFS($B$2:$B$501,B424,$C$2:$C$501,C424)&gt;1),"중복 의심","")))</f>
        <v/>
      </c>
      <c r="G424">
        <f>IF(AND(A424&lt;&gt;"",A424=가족별!$B$1),COUNTIF($A$2:A424,가족별!$B$1),"")</f>
        <v/>
      </c>
      <c r="H424">
        <f>IF(COUNTA(B424:C424)&gt;0,1,0)</f>
        <v/>
      </c>
      <c r="I424">
        <f>IF(F424="",0,1)</f>
        <v/>
      </c>
    </row>
    <row r="425">
      <c r="A425" s="41" t="n"/>
      <c r="B425" s="41" t="n"/>
      <c r="C425" s="41" t="n"/>
      <c r="D425" s="41" t="n"/>
      <c r="E425" s="41" t="n"/>
      <c r="F425" s="19">
        <f>IF(COUNTA(A425:E425)=0,"",TRIM(IF(A425="","받은 가족 없음 ","")&amp;IF(B425="","보낸 분 없음 ","")&amp;IF(AND(B425&lt;&gt;"",COUNTIFS($B$2:$B$501,B425,$C$2:$C$501,C425)&gt;1),"중복 의심","")))</f>
        <v/>
      </c>
      <c r="G425">
        <f>IF(AND(A425&lt;&gt;"",A425=가족별!$B$1),COUNTIF($A$2:A425,가족별!$B$1),"")</f>
        <v/>
      </c>
      <c r="H425">
        <f>IF(COUNTA(B425:C425)&gt;0,1,0)</f>
        <v/>
      </c>
      <c r="I425">
        <f>IF(F425="",0,1)</f>
        <v/>
      </c>
    </row>
    <row r="426">
      <c r="A426" s="41" t="n"/>
      <c r="B426" s="41" t="n"/>
      <c r="C426" s="41" t="n"/>
      <c r="D426" s="41" t="n"/>
      <c r="E426" s="41" t="n"/>
      <c r="F426" s="19">
        <f>IF(COUNTA(A426:E426)=0,"",TRIM(IF(A426="","받은 가족 없음 ","")&amp;IF(B426="","보낸 분 없음 ","")&amp;IF(AND(B426&lt;&gt;"",COUNTIFS($B$2:$B$501,B426,$C$2:$C$501,C426)&gt;1),"중복 의심","")))</f>
        <v/>
      </c>
      <c r="G426">
        <f>IF(AND(A426&lt;&gt;"",A426=가족별!$B$1),COUNTIF($A$2:A426,가족별!$B$1),"")</f>
        <v/>
      </c>
      <c r="H426">
        <f>IF(COUNTA(B426:C426)&gt;0,1,0)</f>
        <v/>
      </c>
      <c r="I426">
        <f>IF(F426="",0,1)</f>
        <v/>
      </c>
    </row>
    <row r="427">
      <c r="A427" s="41" t="n"/>
      <c r="B427" s="41" t="n"/>
      <c r="C427" s="41" t="n"/>
      <c r="D427" s="41" t="n"/>
      <c r="E427" s="41" t="n"/>
      <c r="F427" s="19">
        <f>IF(COUNTA(A427:E427)=0,"",TRIM(IF(A427="","받은 가족 없음 ","")&amp;IF(B427="","보낸 분 없음 ","")&amp;IF(AND(B427&lt;&gt;"",COUNTIFS($B$2:$B$501,B427,$C$2:$C$501,C427)&gt;1),"중복 의심","")))</f>
        <v/>
      </c>
      <c r="G427">
        <f>IF(AND(A427&lt;&gt;"",A427=가족별!$B$1),COUNTIF($A$2:A427,가족별!$B$1),"")</f>
        <v/>
      </c>
      <c r="H427">
        <f>IF(COUNTA(B427:C427)&gt;0,1,0)</f>
        <v/>
      </c>
      <c r="I427">
        <f>IF(F427="",0,1)</f>
        <v/>
      </c>
    </row>
    <row r="428">
      <c r="A428" s="41" t="n"/>
      <c r="B428" s="41" t="n"/>
      <c r="C428" s="41" t="n"/>
      <c r="D428" s="41" t="n"/>
      <c r="E428" s="41" t="n"/>
      <c r="F428" s="19">
        <f>IF(COUNTA(A428:E428)=0,"",TRIM(IF(A428="","받은 가족 없음 ","")&amp;IF(B428="","보낸 분 없음 ","")&amp;IF(AND(B428&lt;&gt;"",COUNTIFS($B$2:$B$501,B428,$C$2:$C$501,C428)&gt;1),"중복 의심","")))</f>
        <v/>
      </c>
      <c r="G428">
        <f>IF(AND(A428&lt;&gt;"",A428=가족별!$B$1),COUNTIF($A$2:A428,가족별!$B$1),"")</f>
        <v/>
      </c>
      <c r="H428">
        <f>IF(COUNTA(B428:C428)&gt;0,1,0)</f>
        <v/>
      </c>
      <c r="I428">
        <f>IF(F428="",0,1)</f>
        <v/>
      </c>
    </row>
    <row r="429">
      <c r="A429" s="41" t="n"/>
      <c r="B429" s="41" t="n"/>
      <c r="C429" s="41" t="n"/>
      <c r="D429" s="41" t="n"/>
      <c r="E429" s="41" t="n"/>
      <c r="F429" s="19">
        <f>IF(COUNTA(A429:E429)=0,"",TRIM(IF(A429="","받은 가족 없음 ","")&amp;IF(B429="","보낸 분 없음 ","")&amp;IF(AND(B429&lt;&gt;"",COUNTIFS($B$2:$B$501,B429,$C$2:$C$501,C429)&gt;1),"중복 의심","")))</f>
        <v/>
      </c>
      <c r="G429">
        <f>IF(AND(A429&lt;&gt;"",A429=가족별!$B$1),COUNTIF($A$2:A429,가족별!$B$1),"")</f>
        <v/>
      </c>
      <c r="H429">
        <f>IF(COUNTA(B429:C429)&gt;0,1,0)</f>
        <v/>
      </c>
      <c r="I429">
        <f>IF(F429="",0,1)</f>
        <v/>
      </c>
    </row>
    <row r="430">
      <c r="A430" s="41" t="n"/>
      <c r="B430" s="41" t="n"/>
      <c r="C430" s="41" t="n"/>
      <c r="D430" s="41" t="n"/>
      <c r="E430" s="41" t="n"/>
      <c r="F430" s="19">
        <f>IF(COUNTA(A430:E430)=0,"",TRIM(IF(A430="","받은 가족 없음 ","")&amp;IF(B430="","보낸 분 없음 ","")&amp;IF(AND(B430&lt;&gt;"",COUNTIFS($B$2:$B$501,B430,$C$2:$C$501,C430)&gt;1),"중복 의심","")))</f>
        <v/>
      </c>
      <c r="G430">
        <f>IF(AND(A430&lt;&gt;"",A430=가족별!$B$1),COUNTIF($A$2:A430,가족별!$B$1),"")</f>
        <v/>
      </c>
      <c r="H430">
        <f>IF(COUNTA(B430:C430)&gt;0,1,0)</f>
        <v/>
      </c>
      <c r="I430">
        <f>IF(F430="",0,1)</f>
        <v/>
      </c>
    </row>
    <row r="431">
      <c r="A431" s="41" t="n"/>
      <c r="B431" s="41" t="n"/>
      <c r="C431" s="41" t="n"/>
      <c r="D431" s="41" t="n"/>
      <c r="E431" s="41" t="n"/>
      <c r="F431" s="19">
        <f>IF(COUNTA(A431:E431)=0,"",TRIM(IF(A431="","받은 가족 없음 ","")&amp;IF(B431="","보낸 분 없음 ","")&amp;IF(AND(B431&lt;&gt;"",COUNTIFS($B$2:$B$501,B431,$C$2:$C$501,C431)&gt;1),"중복 의심","")))</f>
        <v/>
      </c>
      <c r="G431">
        <f>IF(AND(A431&lt;&gt;"",A431=가족별!$B$1),COUNTIF($A$2:A431,가족별!$B$1),"")</f>
        <v/>
      </c>
      <c r="H431">
        <f>IF(COUNTA(B431:C431)&gt;0,1,0)</f>
        <v/>
      </c>
      <c r="I431">
        <f>IF(F431="",0,1)</f>
        <v/>
      </c>
    </row>
    <row r="432">
      <c r="A432" s="41" t="n"/>
      <c r="B432" s="41" t="n"/>
      <c r="C432" s="41" t="n"/>
      <c r="D432" s="41" t="n"/>
      <c r="E432" s="41" t="n"/>
      <c r="F432" s="19">
        <f>IF(COUNTA(A432:E432)=0,"",TRIM(IF(A432="","받은 가족 없음 ","")&amp;IF(B432="","보낸 분 없음 ","")&amp;IF(AND(B432&lt;&gt;"",COUNTIFS($B$2:$B$501,B432,$C$2:$C$501,C432)&gt;1),"중복 의심","")))</f>
        <v/>
      </c>
      <c r="G432">
        <f>IF(AND(A432&lt;&gt;"",A432=가족별!$B$1),COUNTIF($A$2:A432,가족별!$B$1),"")</f>
        <v/>
      </c>
      <c r="H432">
        <f>IF(COUNTA(B432:C432)&gt;0,1,0)</f>
        <v/>
      </c>
      <c r="I432">
        <f>IF(F432="",0,1)</f>
        <v/>
      </c>
    </row>
    <row r="433">
      <c r="A433" s="41" t="n"/>
      <c r="B433" s="41" t="n"/>
      <c r="C433" s="41" t="n"/>
      <c r="D433" s="41" t="n"/>
      <c r="E433" s="41" t="n"/>
      <c r="F433" s="19">
        <f>IF(COUNTA(A433:E433)=0,"",TRIM(IF(A433="","받은 가족 없음 ","")&amp;IF(B433="","보낸 분 없음 ","")&amp;IF(AND(B433&lt;&gt;"",COUNTIFS($B$2:$B$501,B433,$C$2:$C$501,C433)&gt;1),"중복 의심","")))</f>
        <v/>
      </c>
      <c r="G433">
        <f>IF(AND(A433&lt;&gt;"",A433=가족별!$B$1),COUNTIF($A$2:A433,가족별!$B$1),"")</f>
        <v/>
      </c>
      <c r="H433">
        <f>IF(COUNTA(B433:C433)&gt;0,1,0)</f>
        <v/>
      </c>
      <c r="I433">
        <f>IF(F433="",0,1)</f>
        <v/>
      </c>
    </row>
    <row r="434">
      <c r="A434" s="41" t="n"/>
      <c r="B434" s="41" t="n"/>
      <c r="C434" s="41" t="n"/>
      <c r="D434" s="41" t="n"/>
      <c r="E434" s="41" t="n"/>
      <c r="F434" s="19">
        <f>IF(COUNTA(A434:E434)=0,"",TRIM(IF(A434="","받은 가족 없음 ","")&amp;IF(B434="","보낸 분 없음 ","")&amp;IF(AND(B434&lt;&gt;"",COUNTIFS($B$2:$B$501,B434,$C$2:$C$501,C434)&gt;1),"중복 의심","")))</f>
        <v/>
      </c>
      <c r="G434">
        <f>IF(AND(A434&lt;&gt;"",A434=가족별!$B$1),COUNTIF($A$2:A434,가족별!$B$1),"")</f>
        <v/>
      </c>
      <c r="H434">
        <f>IF(COUNTA(B434:C434)&gt;0,1,0)</f>
        <v/>
      </c>
      <c r="I434">
        <f>IF(F434="",0,1)</f>
        <v/>
      </c>
    </row>
    <row r="435">
      <c r="A435" s="41" t="n"/>
      <c r="B435" s="41" t="n"/>
      <c r="C435" s="41" t="n"/>
      <c r="D435" s="41" t="n"/>
      <c r="E435" s="41" t="n"/>
      <c r="F435" s="19">
        <f>IF(COUNTA(A435:E435)=0,"",TRIM(IF(A435="","받은 가족 없음 ","")&amp;IF(B435="","보낸 분 없음 ","")&amp;IF(AND(B435&lt;&gt;"",COUNTIFS($B$2:$B$501,B435,$C$2:$C$501,C435)&gt;1),"중복 의심","")))</f>
        <v/>
      </c>
      <c r="G435">
        <f>IF(AND(A435&lt;&gt;"",A435=가족별!$B$1),COUNTIF($A$2:A435,가족별!$B$1),"")</f>
        <v/>
      </c>
      <c r="H435">
        <f>IF(COUNTA(B435:C435)&gt;0,1,0)</f>
        <v/>
      </c>
      <c r="I435">
        <f>IF(F435="",0,1)</f>
        <v/>
      </c>
    </row>
    <row r="436">
      <c r="A436" s="41" t="n"/>
      <c r="B436" s="41" t="n"/>
      <c r="C436" s="41" t="n"/>
      <c r="D436" s="41" t="n"/>
      <c r="E436" s="41" t="n"/>
      <c r="F436" s="19">
        <f>IF(COUNTA(A436:E436)=0,"",TRIM(IF(A436="","받은 가족 없음 ","")&amp;IF(B436="","보낸 분 없음 ","")&amp;IF(AND(B436&lt;&gt;"",COUNTIFS($B$2:$B$501,B436,$C$2:$C$501,C436)&gt;1),"중복 의심","")))</f>
        <v/>
      </c>
      <c r="G436">
        <f>IF(AND(A436&lt;&gt;"",A436=가족별!$B$1),COUNTIF($A$2:A436,가족별!$B$1),"")</f>
        <v/>
      </c>
      <c r="H436">
        <f>IF(COUNTA(B436:C436)&gt;0,1,0)</f>
        <v/>
      </c>
      <c r="I436">
        <f>IF(F436="",0,1)</f>
        <v/>
      </c>
    </row>
    <row r="437">
      <c r="A437" s="41" t="n"/>
      <c r="B437" s="41" t="n"/>
      <c r="C437" s="41" t="n"/>
      <c r="D437" s="41" t="n"/>
      <c r="E437" s="41" t="n"/>
      <c r="F437" s="19">
        <f>IF(COUNTA(A437:E437)=0,"",TRIM(IF(A437="","받은 가족 없음 ","")&amp;IF(B437="","보낸 분 없음 ","")&amp;IF(AND(B437&lt;&gt;"",COUNTIFS($B$2:$B$501,B437,$C$2:$C$501,C437)&gt;1),"중복 의심","")))</f>
        <v/>
      </c>
      <c r="G437">
        <f>IF(AND(A437&lt;&gt;"",A437=가족별!$B$1),COUNTIF($A$2:A437,가족별!$B$1),"")</f>
        <v/>
      </c>
      <c r="H437">
        <f>IF(COUNTA(B437:C437)&gt;0,1,0)</f>
        <v/>
      </c>
      <c r="I437">
        <f>IF(F437="",0,1)</f>
        <v/>
      </c>
    </row>
    <row r="438">
      <c r="A438" s="41" t="n"/>
      <c r="B438" s="41" t="n"/>
      <c r="C438" s="41" t="n"/>
      <c r="D438" s="41" t="n"/>
      <c r="E438" s="41" t="n"/>
      <c r="F438" s="19">
        <f>IF(COUNTA(A438:E438)=0,"",TRIM(IF(A438="","받은 가족 없음 ","")&amp;IF(B438="","보낸 분 없음 ","")&amp;IF(AND(B438&lt;&gt;"",COUNTIFS($B$2:$B$501,B438,$C$2:$C$501,C438)&gt;1),"중복 의심","")))</f>
        <v/>
      </c>
      <c r="G438">
        <f>IF(AND(A438&lt;&gt;"",A438=가족별!$B$1),COUNTIF($A$2:A438,가족별!$B$1),"")</f>
        <v/>
      </c>
      <c r="H438">
        <f>IF(COUNTA(B438:C438)&gt;0,1,0)</f>
        <v/>
      </c>
      <c r="I438">
        <f>IF(F438="",0,1)</f>
        <v/>
      </c>
    </row>
    <row r="439">
      <c r="A439" s="41" t="n"/>
      <c r="B439" s="41" t="n"/>
      <c r="C439" s="41" t="n"/>
      <c r="D439" s="41" t="n"/>
      <c r="E439" s="41" t="n"/>
      <c r="F439" s="19">
        <f>IF(COUNTA(A439:E439)=0,"",TRIM(IF(A439="","받은 가족 없음 ","")&amp;IF(B439="","보낸 분 없음 ","")&amp;IF(AND(B439&lt;&gt;"",COUNTIFS($B$2:$B$501,B439,$C$2:$C$501,C439)&gt;1),"중복 의심","")))</f>
        <v/>
      </c>
      <c r="G439">
        <f>IF(AND(A439&lt;&gt;"",A439=가족별!$B$1),COUNTIF($A$2:A439,가족별!$B$1),"")</f>
        <v/>
      </c>
      <c r="H439">
        <f>IF(COUNTA(B439:C439)&gt;0,1,0)</f>
        <v/>
      </c>
      <c r="I439">
        <f>IF(F439="",0,1)</f>
        <v/>
      </c>
    </row>
    <row r="440">
      <c r="A440" s="41" t="n"/>
      <c r="B440" s="41" t="n"/>
      <c r="C440" s="41" t="n"/>
      <c r="D440" s="41" t="n"/>
      <c r="E440" s="41" t="n"/>
      <c r="F440" s="19">
        <f>IF(COUNTA(A440:E440)=0,"",TRIM(IF(A440="","받은 가족 없음 ","")&amp;IF(B440="","보낸 분 없음 ","")&amp;IF(AND(B440&lt;&gt;"",COUNTIFS($B$2:$B$501,B440,$C$2:$C$501,C440)&gt;1),"중복 의심","")))</f>
        <v/>
      </c>
      <c r="G440">
        <f>IF(AND(A440&lt;&gt;"",A440=가족별!$B$1),COUNTIF($A$2:A440,가족별!$B$1),"")</f>
        <v/>
      </c>
      <c r="H440">
        <f>IF(COUNTA(B440:C440)&gt;0,1,0)</f>
        <v/>
      </c>
      <c r="I440">
        <f>IF(F440="",0,1)</f>
        <v/>
      </c>
    </row>
    <row r="441">
      <c r="A441" s="41" t="n"/>
      <c r="B441" s="41" t="n"/>
      <c r="C441" s="41" t="n"/>
      <c r="D441" s="41" t="n"/>
      <c r="E441" s="41" t="n"/>
      <c r="F441" s="19">
        <f>IF(COUNTA(A441:E441)=0,"",TRIM(IF(A441="","받은 가족 없음 ","")&amp;IF(B441="","보낸 분 없음 ","")&amp;IF(AND(B441&lt;&gt;"",COUNTIFS($B$2:$B$501,B441,$C$2:$C$501,C441)&gt;1),"중복 의심","")))</f>
        <v/>
      </c>
      <c r="G441">
        <f>IF(AND(A441&lt;&gt;"",A441=가족별!$B$1),COUNTIF($A$2:A441,가족별!$B$1),"")</f>
        <v/>
      </c>
      <c r="H441">
        <f>IF(COUNTA(B441:C441)&gt;0,1,0)</f>
        <v/>
      </c>
      <c r="I441">
        <f>IF(F441="",0,1)</f>
        <v/>
      </c>
    </row>
    <row r="442">
      <c r="A442" s="41" t="n"/>
      <c r="B442" s="41" t="n"/>
      <c r="C442" s="41" t="n"/>
      <c r="D442" s="41" t="n"/>
      <c r="E442" s="41" t="n"/>
      <c r="F442" s="19">
        <f>IF(COUNTA(A442:E442)=0,"",TRIM(IF(A442="","받은 가족 없음 ","")&amp;IF(B442="","보낸 분 없음 ","")&amp;IF(AND(B442&lt;&gt;"",COUNTIFS($B$2:$B$501,B442,$C$2:$C$501,C442)&gt;1),"중복 의심","")))</f>
        <v/>
      </c>
      <c r="G442">
        <f>IF(AND(A442&lt;&gt;"",A442=가족별!$B$1),COUNTIF($A$2:A442,가족별!$B$1),"")</f>
        <v/>
      </c>
      <c r="H442">
        <f>IF(COUNTA(B442:C442)&gt;0,1,0)</f>
        <v/>
      </c>
      <c r="I442">
        <f>IF(F442="",0,1)</f>
        <v/>
      </c>
    </row>
    <row r="443">
      <c r="A443" s="41" t="n"/>
      <c r="B443" s="41" t="n"/>
      <c r="C443" s="41" t="n"/>
      <c r="D443" s="41" t="n"/>
      <c r="E443" s="41" t="n"/>
      <c r="F443" s="19">
        <f>IF(COUNTA(A443:E443)=0,"",TRIM(IF(A443="","받은 가족 없음 ","")&amp;IF(B443="","보낸 분 없음 ","")&amp;IF(AND(B443&lt;&gt;"",COUNTIFS($B$2:$B$501,B443,$C$2:$C$501,C443)&gt;1),"중복 의심","")))</f>
        <v/>
      </c>
      <c r="G443">
        <f>IF(AND(A443&lt;&gt;"",A443=가족별!$B$1),COUNTIF($A$2:A443,가족별!$B$1),"")</f>
        <v/>
      </c>
      <c r="H443">
        <f>IF(COUNTA(B443:C443)&gt;0,1,0)</f>
        <v/>
      </c>
      <c r="I443">
        <f>IF(F443="",0,1)</f>
        <v/>
      </c>
    </row>
    <row r="444">
      <c r="A444" s="41" t="n"/>
      <c r="B444" s="41" t="n"/>
      <c r="C444" s="41" t="n"/>
      <c r="D444" s="41" t="n"/>
      <c r="E444" s="41" t="n"/>
      <c r="F444" s="19">
        <f>IF(COUNTA(A444:E444)=0,"",TRIM(IF(A444="","받은 가족 없음 ","")&amp;IF(B444="","보낸 분 없음 ","")&amp;IF(AND(B444&lt;&gt;"",COUNTIFS($B$2:$B$501,B444,$C$2:$C$501,C444)&gt;1),"중복 의심","")))</f>
        <v/>
      </c>
      <c r="G444">
        <f>IF(AND(A444&lt;&gt;"",A444=가족별!$B$1),COUNTIF($A$2:A444,가족별!$B$1),"")</f>
        <v/>
      </c>
      <c r="H444">
        <f>IF(COUNTA(B444:C444)&gt;0,1,0)</f>
        <v/>
      </c>
      <c r="I444">
        <f>IF(F444="",0,1)</f>
        <v/>
      </c>
    </row>
    <row r="445">
      <c r="A445" s="41" t="n"/>
      <c r="B445" s="41" t="n"/>
      <c r="C445" s="41" t="n"/>
      <c r="D445" s="41" t="n"/>
      <c r="E445" s="41" t="n"/>
      <c r="F445" s="19">
        <f>IF(COUNTA(A445:E445)=0,"",TRIM(IF(A445="","받은 가족 없음 ","")&amp;IF(B445="","보낸 분 없음 ","")&amp;IF(AND(B445&lt;&gt;"",COUNTIFS($B$2:$B$501,B445,$C$2:$C$501,C445)&gt;1),"중복 의심","")))</f>
        <v/>
      </c>
      <c r="G445">
        <f>IF(AND(A445&lt;&gt;"",A445=가족별!$B$1),COUNTIF($A$2:A445,가족별!$B$1),"")</f>
        <v/>
      </c>
      <c r="H445">
        <f>IF(COUNTA(B445:C445)&gt;0,1,0)</f>
        <v/>
      </c>
      <c r="I445">
        <f>IF(F445="",0,1)</f>
        <v/>
      </c>
    </row>
    <row r="446">
      <c r="A446" s="41" t="n"/>
      <c r="B446" s="41" t="n"/>
      <c r="C446" s="41" t="n"/>
      <c r="D446" s="41" t="n"/>
      <c r="E446" s="41" t="n"/>
      <c r="F446" s="19">
        <f>IF(COUNTA(A446:E446)=0,"",TRIM(IF(A446="","받은 가족 없음 ","")&amp;IF(B446="","보낸 분 없음 ","")&amp;IF(AND(B446&lt;&gt;"",COUNTIFS($B$2:$B$501,B446,$C$2:$C$501,C446)&gt;1),"중복 의심","")))</f>
        <v/>
      </c>
      <c r="G446">
        <f>IF(AND(A446&lt;&gt;"",A446=가족별!$B$1),COUNTIF($A$2:A446,가족별!$B$1),"")</f>
        <v/>
      </c>
      <c r="H446">
        <f>IF(COUNTA(B446:C446)&gt;0,1,0)</f>
        <v/>
      </c>
      <c r="I446">
        <f>IF(F446="",0,1)</f>
        <v/>
      </c>
    </row>
    <row r="447">
      <c r="A447" s="41" t="n"/>
      <c r="B447" s="41" t="n"/>
      <c r="C447" s="41" t="n"/>
      <c r="D447" s="41" t="n"/>
      <c r="E447" s="41" t="n"/>
      <c r="F447" s="19">
        <f>IF(COUNTA(A447:E447)=0,"",TRIM(IF(A447="","받은 가족 없음 ","")&amp;IF(B447="","보낸 분 없음 ","")&amp;IF(AND(B447&lt;&gt;"",COUNTIFS($B$2:$B$501,B447,$C$2:$C$501,C447)&gt;1),"중복 의심","")))</f>
        <v/>
      </c>
      <c r="G447">
        <f>IF(AND(A447&lt;&gt;"",A447=가족별!$B$1),COUNTIF($A$2:A447,가족별!$B$1),"")</f>
        <v/>
      </c>
      <c r="H447">
        <f>IF(COUNTA(B447:C447)&gt;0,1,0)</f>
        <v/>
      </c>
      <c r="I447">
        <f>IF(F447="",0,1)</f>
        <v/>
      </c>
    </row>
    <row r="448">
      <c r="A448" s="41" t="n"/>
      <c r="B448" s="41" t="n"/>
      <c r="C448" s="41" t="n"/>
      <c r="D448" s="41" t="n"/>
      <c r="E448" s="41" t="n"/>
      <c r="F448" s="19">
        <f>IF(COUNTA(A448:E448)=0,"",TRIM(IF(A448="","받은 가족 없음 ","")&amp;IF(B448="","보낸 분 없음 ","")&amp;IF(AND(B448&lt;&gt;"",COUNTIFS($B$2:$B$501,B448,$C$2:$C$501,C448)&gt;1),"중복 의심","")))</f>
        <v/>
      </c>
      <c r="G448">
        <f>IF(AND(A448&lt;&gt;"",A448=가족별!$B$1),COUNTIF($A$2:A448,가족별!$B$1),"")</f>
        <v/>
      </c>
      <c r="H448">
        <f>IF(COUNTA(B448:C448)&gt;0,1,0)</f>
        <v/>
      </c>
      <c r="I448">
        <f>IF(F448="",0,1)</f>
        <v/>
      </c>
    </row>
    <row r="449">
      <c r="A449" s="41" t="n"/>
      <c r="B449" s="41" t="n"/>
      <c r="C449" s="41" t="n"/>
      <c r="D449" s="41" t="n"/>
      <c r="E449" s="41" t="n"/>
      <c r="F449" s="19">
        <f>IF(COUNTA(A449:E449)=0,"",TRIM(IF(A449="","받은 가족 없음 ","")&amp;IF(B449="","보낸 분 없음 ","")&amp;IF(AND(B449&lt;&gt;"",COUNTIFS($B$2:$B$501,B449,$C$2:$C$501,C449)&gt;1),"중복 의심","")))</f>
        <v/>
      </c>
      <c r="G449">
        <f>IF(AND(A449&lt;&gt;"",A449=가족별!$B$1),COUNTIF($A$2:A449,가족별!$B$1),"")</f>
        <v/>
      </c>
      <c r="H449">
        <f>IF(COUNTA(B449:C449)&gt;0,1,0)</f>
        <v/>
      </c>
      <c r="I449">
        <f>IF(F449="",0,1)</f>
        <v/>
      </c>
    </row>
    <row r="450">
      <c r="A450" s="41" t="n"/>
      <c r="B450" s="41" t="n"/>
      <c r="C450" s="41" t="n"/>
      <c r="D450" s="41" t="n"/>
      <c r="E450" s="41" t="n"/>
      <c r="F450" s="19">
        <f>IF(COUNTA(A450:E450)=0,"",TRIM(IF(A450="","받은 가족 없음 ","")&amp;IF(B450="","보낸 분 없음 ","")&amp;IF(AND(B450&lt;&gt;"",COUNTIFS($B$2:$B$501,B450,$C$2:$C$501,C450)&gt;1),"중복 의심","")))</f>
        <v/>
      </c>
      <c r="G450">
        <f>IF(AND(A450&lt;&gt;"",A450=가족별!$B$1),COUNTIF($A$2:A450,가족별!$B$1),"")</f>
        <v/>
      </c>
      <c r="H450">
        <f>IF(COUNTA(B450:C450)&gt;0,1,0)</f>
        <v/>
      </c>
      <c r="I450">
        <f>IF(F450="",0,1)</f>
        <v/>
      </c>
    </row>
    <row r="451">
      <c r="A451" s="41" t="n"/>
      <c r="B451" s="41" t="n"/>
      <c r="C451" s="41" t="n"/>
      <c r="D451" s="41" t="n"/>
      <c r="E451" s="41" t="n"/>
      <c r="F451" s="19">
        <f>IF(COUNTA(A451:E451)=0,"",TRIM(IF(A451="","받은 가족 없음 ","")&amp;IF(B451="","보낸 분 없음 ","")&amp;IF(AND(B451&lt;&gt;"",COUNTIFS($B$2:$B$501,B451,$C$2:$C$501,C451)&gt;1),"중복 의심","")))</f>
        <v/>
      </c>
      <c r="G451">
        <f>IF(AND(A451&lt;&gt;"",A451=가족별!$B$1),COUNTIF($A$2:A451,가족별!$B$1),"")</f>
        <v/>
      </c>
      <c r="H451">
        <f>IF(COUNTA(B451:C451)&gt;0,1,0)</f>
        <v/>
      </c>
      <c r="I451">
        <f>IF(F451="",0,1)</f>
        <v/>
      </c>
    </row>
    <row r="452">
      <c r="A452" s="41" t="n"/>
      <c r="B452" s="41" t="n"/>
      <c r="C452" s="41" t="n"/>
      <c r="D452" s="41" t="n"/>
      <c r="E452" s="41" t="n"/>
      <c r="F452" s="19">
        <f>IF(COUNTA(A452:E452)=0,"",TRIM(IF(A452="","받은 가족 없음 ","")&amp;IF(B452="","보낸 분 없음 ","")&amp;IF(AND(B452&lt;&gt;"",COUNTIFS($B$2:$B$501,B452,$C$2:$C$501,C452)&gt;1),"중복 의심","")))</f>
        <v/>
      </c>
      <c r="G452">
        <f>IF(AND(A452&lt;&gt;"",A452=가족별!$B$1),COUNTIF($A$2:A452,가족별!$B$1),"")</f>
        <v/>
      </c>
      <c r="H452">
        <f>IF(COUNTA(B452:C452)&gt;0,1,0)</f>
        <v/>
      </c>
      <c r="I452">
        <f>IF(F452="",0,1)</f>
        <v/>
      </c>
    </row>
    <row r="453">
      <c r="A453" s="41" t="n"/>
      <c r="B453" s="41" t="n"/>
      <c r="C453" s="41" t="n"/>
      <c r="D453" s="41" t="n"/>
      <c r="E453" s="41" t="n"/>
      <c r="F453" s="19">
        <f>IF(COUNTA(A453:E453)=0,"",TRIM(IF(A453="","받은 가족 없음 ","")&amp;IF(B453="","보낸 분 없음 ","")&amp;IF(AND(B453&lt;&gt;"",COUNTIFS($B$2:$B$501,B453,$C$2:$C$501,C453)&gt;1),"중복 의심","")))</f>
        <v/>
      </c>
      <c r="G453">
        <f>IF(AND(A453&lt;&gt;"",A453=가족별!$B$1),COUNTIF($A$2:A453,가족별!$B$1),"")</f>
        <v/>
      </c>
      <c r="H453">
        <f>IF(COUNTA(B453:C453)&gt;0,1,0)</f>
        <v/>
      </c>
      <c r="I453">
        <f>IF(F453="",0,1)</f>
        <v/>
      </c>
    </row>
    <row r="454">
      <c r="A454" s="41" t="n"/>
      <c r="B454" s="41" t="n"/>
      <c r="C454" s="41" t="n"/>
      <c r="D454" s="41" t="n"/>
      <c r="E454" s="41" t="n"/>
      <c r="F454" s="19">
        <f>IF(COUNTA(A454:E454)=0,"",TRIM(IF(A454="","받은 가족 없음 ","")&amp;IF(B454="","보낸 분 없음 ","")&amp;IF(AND(B454&lt;&gt;"",COUNTIFS($B$2:$B$501,B454,$C$2:$C$501,C454)&gt;1),"중복 의심","")))</f>
        <v/>
      </c>
      <c r="G454">
        <f>IF(AND(A454&lt;&gt;"",A454=가족별!$B$1),COUNTIF($A$2:A454,가족별!$B$1),"")</f>
        <v/>
      </c>
      <c r="H454">
        <f>IF(COUNTA(B454:C454)&gt;0,1,0)</f>
        <v/>
      </c>
      <c r="I454">
        <f>IF(F454="",0,1)</f>
        <v/>
      </c>
    </row>
    <row r="455">
      <c r="A455" s="41" t="n"/>
      <c r="B455" s="41" t="n"/>
      <c r="C455" s="41" t="n"/>
      <c r="D455" s="41" t="n"/>
      <c r="E455" s="41" t="n"/>
      <c r="F455" s="19">
        <f>IF(COUNTA(A455:E455)=0,"",TRIM(IF(A455="","받은 가족 없음 ","")&amp;IF(B455="","보낸 분 없음 ","")&amp;IF(AND(B455&lt;&gt;"",COUNTIFS($B$2:$B$501,B455,$C$2:$C$501,C455)&gt;1),"중복 의심","")))</f>
        <v/>
      </c>
      <c r="G455">
        <f>IF(AND(A455&lt;&gt;"",A455=가족별!$B$1),COUNTIF($A$2:A455,가족별!$B$1),"")</f>
        <v/>
      </c>
      <c r="H455">
        <f>IF(COUNTA(B455:C455)&gt;0,1,0)</f>
        <v/>
      </c>
      <c r="I455">
        <f>IF(F455="",0,1)</f>
        <v/>
      </c>
    </row>
    <row r="456">
      <c r="A456" s="41" t="n"/>
      <c r="B456" s="41" t="n"/>
      <c r="C456" s="41" t="n"/>
      <c r="D456" s="41" t="n"/>
      <c r="E456" s="41" t="n"/>
      <c r="F456" s="19">
        <f>IF(COUNTA(A456:E456)=0,"",TRIM(IF(A456="","받은 가족 없음 ","")&amp;IF(B456="","보낸 분 없음 ","")&amp;IF(AND(B456&lt;&gt;"",COUNTIFS($B$2:$B$501,B456,$C$2:$C$501,C456)&gt;1),"중복 의심","")))</f>
        <v/>
      </c>
      <c r="G456">
        <f>IF(AND(A456&lt;&gt;"",A456=가족별!$B$1),COUNTIF($A$2:A456,가족별!$B$1),"")</f>
        <v/>
      </c>
      <c r="H456">
        <f>IF(COUNTA(B456:C456)&gt;0,1,0)</f>
        <v/>
      </c>
      <c r="I456">
        <f>IF(F456="",0,1)</f>
        <v/>
      </c>
    </row>
    <row r="457">
      <c r="A457" s="41" t="n"/>
      <c r="B457" s="41" t="n"/>
      <c r="C457" s="41" t="n"/>
      <c r="D457" s="41" t="n"/>
      <c r="E457" s="41" t="n"/>
      <c r="F457" s="19">
        <f>IF(COUNTA(A457:E457)=0,"",TRIM(IF(A457="","받은 가족 없음 ","")&amp;IF(B457="","보낸 분 없음 ","")&amp;IF(AND(B457&lt;&gt;"",COUNTIFS($B$2:$B$501,B457,$C$2:$C$501,C457)&gt;1),"중복 의심","")))</f>
        <v/>
      </c>
      <c r="G457">
        <f>IF(AND(A457&lt;&gt;"",A457=가족별!$B$1),COUNTIF($A$2:A457,가족별!$B$1),"")</f>
        <v/>
      </c>
      <c r="H457">
        <f>IF(COUNTA(B457:C457)&gt;0,1,0)</f>
        <v/>
      </c>
      <c r="I457">
        <f>IF(F457="",0,1)</f>
        <v/>
      </c>
    </row>
    <row r="458">
      <c r="A458" s="41" t="n"/>
      <c r="B458" s="41" t="n"/>
      <c r="C458" s="41" t="n"/>
      <c r="D458" s="41" t="n"/>
      <c r="E458" s="41" t="n"/>
      <c r="F458" s="19">
        <f>IF(COUNTA(A458:E458)=0,"",TRIM(IF(A458="","받은 가족 없음 ","")&amp;IF(B458="","보낸 분 없음 ","")&amp;IF(AND(B458&lt;&gt;"",COUNTIFS($B$2:$B$501,B458,$C$2:$C$501,C458)&gt;1),"중복 의심","")))</f>
        <v/>
      </c>
      <c r="G458">
        <f>IF(AND(A458&lt;&gt;"",A458=가족별!$B$1),COUNTIF($A$2:A458,가족별!$B$1),"")</f>
        <v/>
      </c>
      <c r="H458">
        <f>IF(COUNTA(B458:C458)&gt;0,1,0)</f>
        <v/>
      </c>
      <c r="I458">
        <f>IF(F458="",0,1)</f>
        <v/>
      </c>
    </row>
    <row r="459">
      <c r="A459" s="41" t="n"/>
      <c r="B459" s="41" t="n"/>
      <c r="C459" s="41" t="n"/>
      <c r="D459" s="41" t="n"/>
      <c r="E459" s="41" t="n"/>
      <c r="F459" s="19">
        <f>IF(COUNTA(A459:E459)=0,"",TRIM(IF(A459="","받은 가족 없음 ","")&amp;IF(B459="","보낸 분 없음 ","")&amp;IF(AND(B459&lt;&gt;"",COUNTIFS($B$2:$B$501,B459,$C$2:$C$501,C459)&gt;1),"중복 의심","")))</f>
        <v/>
      </c>
      <c r="G459">
        <f>IF(AND(A459&lt;&gt;"",A459=가족별!$B$1),COUNTIF($A$2:A459,가족별!$B$1),"")</f>
        <v/>
      </c>
      <c r="H459">
        <f>IF(COUNTA(B459:C459)&gt;0,1,0)</f>
        <v/>
      </c>
      <c r="I459">
        <f>IF(F459="",0,1)</f>
        <v/>
      </c>
    </row>
    <row r="460">
      <c r="A460" s="41" t="n"/>
      <c r="B460" s="41" t="n"/>
      <c r="C460" s="41" t="n"/>
      <c r="D460" s="41" t="n"/>
      <c r="E460" s="41" t="n"/>
      <c r="F460" s="19">
        <f>IF(COUNTA(A460:E460)=0,"",TRIM(IF(A460="","받은 가족 없음 ","")&amp;IF(B460="","보낸 분 없음 ","")&amp;IF(AND(B460&lt;&gt;"",COUNTIFS($B$2:$B$501,B460,$C$2:$C$501,C460)&gt;1),"중복 의심","")))</f>
        <v/>
      </c>
      <c r="G460">
        <f>IF(AND(A460&lt;&gt;"",A460=가족별!$B$1),COUNTIF($A$2:A460,가족별!$B$1),"")</f>
        <v/>
      </c>
      <c r="H460">
        <f>IF(COUNTA(B460:C460)&gt;0,1,0)</f>
        <v/>
      </c>
      <c r="I460">
        <f>IF(F460="",0,1)</f>
        <v/>
      </c>
    </row>
    <row r="461">
      <c r="A461" s="41" t="n"/>
      <c r="B461" s="41" t="n"/>
      <c r="C461" s="41" t="n"/>
      <c r="D461" s="41" t="n"/>
      <c r="E461" s="41" t="n"/>
      <c r="F461" s="19">
        <f>IF(COUNTA(A461:E461)=0,"",TRIM(IF(A461="","받은 가족 없음 ","")&amp;IF(B461="","보낸 분 없음 ","")&amp;IF(AND(B461&lt;&gt;"",COUNTIFS($B$2:$B$501,B461,$C$2:$C$501,C461)&gt;1),"중복 의심","")))</f>
        <v/>
      </c>
      <c r="G461">
        <f>IF(AND(A461&lt;&gt;"",A461=가족별!$B$1),COUNTIF($A$2:A461,가족별!$B$1),"")</f>
        <v/>
      </c>
      <c r="H461">
        <f>IF(COUNTA(B461:C461)&gt;0,1,0)</f>
        <v/>
      </c>
      <c r="I461">
        <f>IF(F461="",0,1)</f>
        <v/>
      </c>
    </row>
    <row r="462">
      <c r="A462" s="41" t="n"/>
      <c r="B462" s="41" t="n"/>
      <c r="C462" s="41" t="n"/>
      <c r="D462" s="41" t="n"/>
      <c r="E462" s="41" t="n"/>
      <c r="F462" s="19">
        <f>IF(COUNTA(A462:E462)=0,"",TRIM(IF(A462="","받은 가족 없음 ","")&amp;IF(B462="","보낸 분 없음 ","")&amp;IF(AND(B462&lt;&gt;"",COUNTIFS($B$2:$B$501,B462,$C$2:$C$501,C462)&gt;1),"중복 의심","")))</f>
        <v/>
      </c>
      <c r="G462">
        <f>IF(AND(A462&lt;&gt;"",A462=가족별!$B$1),COUNTIF($A$2:A462,가족별!$B$1),"")</f>
        <v/>
      </c>
      <c r="H462">
        <f>IF(COUNTA(B462:C462)&gt;0,1,0)</f>
        <v/>
      </c>
      <c r="I462">
        <f>IF(F462="",0,1)</f>
        <v/>
      </c>
    </row>
    <row r="463">
      <c r="A463" s="41" t="n"/>
      <c r="B463" s="41" t="n"/>
      <c r="C463" s="41" t="n"/>
      <c r="D463" s="41" t="n"/>
      <c r="E463" s="41" t="n"/>
      <c r="F463" s="19">
        <f>IF(COUNTA(A463:E463)=0,"",TRIM(IF(A463="","받은 가족 없음 ","")&amp;IF(B463="","보낸 분 없음 ","")&amp;IF(AND(B463&lt;&gt;"",COUNTIFS($B$2:$B$501,B463,$C$2:$C$501,C463)&gt;1),"중복 의심","")))</f>
        <v/>
      </c>
      <c r="G463">
        <f>IF(AND(A463&lt;&gt;"",A463=가족별!$B$1),COUNTIF($A$2:A463,가족별!$B$1),"")</f>
        <v/>
      </c>
      <c r="H463">
        <f>IF(COUNTA(B463:C463)&gt;0,1,0)</f>
        <v/>
      </c>
      <c r="I463">
        <f>IF(F463="",0,1)</f>
        <v/>
      </c>
    </row>
    <row r="464">
      <c r="A464" s="41" t="n"/>
      <c r="B464" s="41" t="n"/>
      <c r="C464" s="41" t="n"/>
      <c r="D464" s="41" t="n"/>
      <c r="E464" s="41" t="n"/>
      <c r="F464" s="19">
        <f>IF(COUNTA(A464:E464)=0,"",TRIM(IF(A464="","받은 가족 없음 ","")&amp;IF(B464="","보낸 분 없음 ","")&amp;IF(AND(B464&lt;&gt;"",COUNTIFS($B$2:$B$501,B464,$C$2:$C$501,C464)&gt;1),"중복 의심","")))</f>
        <v/>
      </c>
      <c r="G464">
        <f>IF(AND(A464&lt;&gt;"",A464=가족별!$B$1),COUNTIF($A$2:A464,가족별!$B$1),"")</f>
        <v/>
      </c>
      <c r="H464">
        <f>IF(COUNTA(B464:C464)&gt;0,1,0)</f>
        <v/>
      </c>
      <c r="I464">
        <f>IF(F464="",0,1)</f>
        <v/>
      </c>
    </row>
    <row r="465">
      <c r="A465" s="41" t="n"/>
      <c r="B465" s="41" t="n"/>
      <c r="C465" s="41" t="n"/>
      <c r="D465" s="41" t="n"/>
      <c r="E465" s="41" t="n"/>
      <c r="F465" s="19">
        <f>IF(COUNTA(A465:E465)=0,"",TRIM(IF(A465="","받은 가족 없음 ","")&amp;IF(B465="","보낸 분 없음 ","")&amp;IF(AND(B465&lt;&gt;"",COUNTIFS($B$2:$B$501,B465,$C$2:$C$501,C465)&gt;1),"중복 의심","")))</f>
        <v/>
      </c>
      <c r="G465">
        <f>IF(AND(A465&lt;&gt;"",A465=가족별!$B$1),COUNTIF($A$2:A465,가족별!$B$1),"")</f>
        <v/>
      </c>
      <c r="H465">
        <f>IF(COUNTA(B465:C465)&gt;0,1,0)</f>
        <v/>
      </c>
      <c r="I465">
        <f>IF(F465="",0,1)</f>
        <v/>
      </c>
    </row>
    <row r="466">
      <c r="A466" s="41" t="n"/>
      <c r="B466" s="41" t="n"/>
      <c r="C466" s="41" t="n"/>
      <c r="D466" s="41" t="n"/>
      <c r="E466" s="41" t="n"/>
      <c r="F466" s="19">
        <f>IF(COUNTA(A466:E466)=0,"",TRIM(IF(A466="","받은 가족 없음 ","")&amp;IF(B466="","보낸 분 없음 ","")&amp;IF(AND(B466&lt;&gt;"",COUNTIFS($B$2:$B$501,B466,$C$2:$C$501,C466)&gt;1),"중복 의심","")))</f>
        <v/>
      </c>
      <c r="G466">
        <f>IF(AND(A466&lt;&gt;"",A466=가족별!$B$1),COUNTIF($A$2:A466,가족별!$B$1),"")</f>
        <v/>
      </c>
      <c r="H466">
        <f>IF(COUNTA(B466:C466)&gt;0,1,0)</f>
        <v/>
      </c>
      <c r="I466">
        <f>IF(F466="",0,1)</f>
        <v/>
      </c>
    </row>
    <row r="467">
      <c r="A467" s="41" t="n"/>
      <c r="B467" s="41" t="n"/>
      <c r="C467" s="41" t="n"/>
      <c r="D467" s="41" t="n"/>
      <c r="E467" s="41" t="n"/>
      <c r="F467" s="19">
        <f>IF(COUNTA(A467:E467)=0,"",TRIM(IF(A467="","받은 가족 없음 ","")&amp;IF(B467="","보낸 분 없음 ","")&amp;IF(AND(B467&lt;&gt;"",COUNTIFS($B$2:$B$501,B467,$C$2:$C$501,C467)&gt;1),"중복 의심","")))</f>
        <v/>
      </c>
      <c r="G467">
        <f>IF(AND(A467&lt;&gt;"",A467=가족별!$B$1),COUNTIF($A$2:A467,가족별!$B$1),"")</f>
        <v/>
      </c>
      <c r="H467">
        <f>IF(COUNTA(B467:C467)&gt;0,1,0)</f>
        <v/>
      </c>
      <c r="I467">
        <f>IF(F467="",0,1)</f>
        <v/>
      </c>
    </row>
    <row r="468">
      <c r="A468" s="41" t="n"/>
      <c r="B468" s="41" t="n"/>
      <c r="C468" s="41" t="n"/>
      <c r="D468" s="41" t="n"/>
      <c r="E468" s="41" t="n"/>
      <c r="F468" s="19">
        <f>IF(COUNTA(A468:E468)=0,"",TRIM(IF(A468="","받은 가족 없음 ","")&amp;IF(B468="","보낸 분 없음 ","")&amp;IF(AND(B468&lt;&gt;"",COUNTIFS($B$2:$B$501,B468,$C$2:$C$501,C468)&gt;1),"중복 의심","")))</f>
        <v/>
      </c>
      <c r="G468">
        <f>IF(AND(A468&lt;&gt;"",A468=가족별!$B$1),COUNTIF($A$2:A468,가족별!$B$1),"")</f>
        <v/>
      </c>
      <c r="H468">
        <f>IF(COUNTA(B468:C468)&gt;0,1,0)</f>
        <v/>
      </c>
      <c r="I468">
        <f>IF(F468="",0,1)</f>
        <v/>
      </c>
    </row>
    <row r="469">
      <c r="A469" s="41" t="n"/>
      <c r="B469" s="41" t="n"/>
      <c r="C469" s="41" t="n"/>
      <c r="D469" s="41" t="n"/>
      <c r="E469" s="41" t="n"/>
      <c r="F469" s="19">
        <f>IF(COUNTA(A469:E469)=0,"",TRIM(IF(A469="","받은 가족 없음 ","")&amp;IF(B469="","보낸 분 없음 ","")&amp;IF(AND(B469&lt;&gt;"",COUNTIFS($B$2:$B$501,B469,$C$2:$C$501,C469)&gt;1),"중복 의심","")))</f>
        <v/>
      </c>
      <c r="G469">
        <f>IF(AND(A469&lt;&gt;"",A469=가족별!$B$1),COUNTIF($A$2:A469,가족별!$B$1),"")</f>
        <v/>
      </c>
      <c r="H469">
        <f>IF(COUNTA(B469:C469)&gt;0,1,0)</f>
        <v/>
      </c>
      <c r="I469">
        <f>IF(F469="",0,1)</f>
        <v/>
      </c>
    </row>
    <row r="470">
      <c r="A470" s="41" t="n"/>
      <c r="B470" s="41" t="n"/>
      <c r="C470" s="41" t="n"/>
      <c r="D470" s="41" t="n"/>
      <c r="E470" s="41" t="n"/>
      <c r="F470" s="19">
        <f>IF(COUNTA(A470:E470)=0,"",TRIM(IF(A470="","받은 가족 없음 ","")&amp;IF(B470="","보낸 분 없음 ","")&amp;IF(AND(B470&lt;&gt;"",COUNTIFS($B$2:$B$501,B470,$C$2:$C$501,C470)&gt;1),"중복 의심","")))</f>
        <v/>
      </c>
      <c r="G470">
        <f>IF(AND(A470&lt;&gt;"",A470=가족별!$B$1),COUNTIF($A$2:A470,가족별!$B$1),"")</f>
        <v/>
      </c>
      <c r="H470">
        <f>IF(COUNTA(B470:C470)&gt;0,1,0)</f>
        <v/>
      </c>
      <c r="I470">
        <f>IF(F470="",0,1)</f>
        <v/>
      </c>
    </row>
    <row r="471">
      <c r="A471" s="41" t="n"/>
      <c r="B471" s="41" t="n"/>
      <c r="C471" s="41" t="n"/>
      <c r="D471" s="41" t="n"/>
      <c r="E471" s="41" t="n"/>
      <c r="F471" s="19">
        <f>IF(COUNTA(A471:E471)=0,"",TRIM(IF(A471="","받은 가족 없음 ","")&amp;IF(B471="","보낸 분 없음 ","")&amp;IF(AND(B471&lt;&gt;"",COUNTIFS($B$2:$B$501,B471,$C$2:$C$501,C471)&gt;1),"중복 의심","")))</f>
        <v/>
      </c>
      <c r="G471">
        <f>IF(AND(A471&lt;&gt;"",A471=가족별!$B$1),COUNTIF($A$2:A471,가족별!$B$1),"")</f>
        <v/>
      </c>
      <c r="H471">
        <f>IF(COUNTA(B471:C471)&gt;0,1,0)</f>
        <v/>
      </c>
      <c r="I471">
        <f>IF(F471="",0,1)</f>
        <v/>
      </c>
    </row>
    <row r="472">
      <c r="A472" s="41" t="n"/>
      <c r="B472" s="41" t="n"/>
      <c r="C472" s="41" t="n"/>
      <c r="D472" s="41" t="n"/>
      <c r="E472" s="41" t="n"/>
      <c r="F472" s="19">
        <f>IF(COUNTA(A472:E472)=0,"",TRIM(IF(A472="","받은 가족 없음 ","")&amp;IF(B472="","보낸 분 없음 ","")&amp;IF(AND(B472&lt;&gt;"",COUNTIFS($B$2:$B$501,B472,$C$2:$C$501,C472)&gt;1),"중복 의심","")))</f>
        <v/>
      </c>
      <c r="G472">
        <f>IF(AND(A472&lt;&gt;"",A472=가족별!$B$1),COUNTIF($A$2:A472,가족별!$B$1),"")</f>
        <v/>
      </c>
      <c r="H472">
        <f>IF(COUNTA(B472:C472)&gt;0,1,0)</f>
        <v/>
      </c>
      <c r="I472">
        <f>IF(F472="",0,1)</f>
        <v/>
      </c>
    </row>
    <row r="473">
      <c r="A473" s="41" t="n"/>
      <c r="B473" s="41" t="n"/>
      <c r="C473" s="41" t="n"/>
      <c r="D473" s="41" t="n"/>
      <c r="E473" s="41" t="n"/>
      <c r="F473" s="19">
        <f>IF(COUNTA(A473:E473)=0,"",TRIM(IF(A473="","받은 가족 없음 ","")&amp;IF(B473="","보낸 분 없음 ","")&amp;IF(AND(B473&lt;&gt;"",COUNTIFS($B$2:$B$501,B473,$C$2:$C$501,C473)&gt;1),"중복 의심","")))</f>
        <v/>
      </c>
      <c r="G473">
        <f>IF(AND(A473&lt;&gt;"",A473=가족별!$B$1),COUNTIF($A$2:A473,가족별!$B$1),"")</f>
        <v/>
      </c>
      <c r="H473">
        <f>IF(COUNTA(B473:C473)&gt;0,1,0)</f>
        <v/>
      </c>
      <c r="I473">
        <f>IF(F473="",0,1)</f>
        <v/>
      </c>
    </row>
    <row r="474">
      <c r="A474" s="41" t="n"/>
      <c r="B474" s="41" t="n"/>
      <c r="C474" s="41" t="n"/>
      <c r="D474" s="41" t="n"/>
      <c r="E474" s="41" t="n"/>
      <c r="F474" s="19">
        <f>IF(COUNTA(A474:E474)=0,"",TRIM(IF(A474="","받은 가족 없음 ","")&amp;IF(B474="","보낸 분 없음 ","")&amp;IF(AND(B474&lt;&gt;"",COUNTIFS($B$2:$B$501,B474,$C$2:$C$501,C474)&gt;1),"중복 의심","")))</f>
        <v/>
      </c>
      <c r="G474">
        <f>IF(AND(A474&lt;&gt;"",A474=가족별!$B$1),COUNTIF($A$2:A474,가족별!$B$1),"")</f>
        <v/>
      </c>
      <c r="H474">
        <f>IF(COUNTA(B474:C474)&gt;0,1,0)</f>
        <v/>
      </c>
      <c r="I474">
        <f>IF(F474="",0,1)</f>
        <v/>
      </c>
    </row>
    <row r="475">
      <c r="A475" s="41" t="n"/>
      <c r="B475" s="41" t="n"/>
      <c r="C475" s="41" t="n"/>
      <c r="D475" s="41" t="n"/>
      <c r="E475" s="41" t="n"/>
      <c r="F475" s="19">
        <f>IF(COUNTA(A475:E475)=0,"",TRIM(IF(A475="","받은 가족 없음 ","")&amp;IF(B475="","보낸 분 없음 ","")&amp;IF(AND(B475&lt;&gt;"",COUNTIFS($B$2:$B$501,B475,$C$2:$C$501,C475)&gt;1),"중복 의심","")))</f>
        <v/>
      </c>
      <c r="G475">
        <f>IF(AND(A475&lt;&gt;"",A475=가족별!$B$1),COUNTIF($A$2:A475,가족별!$B$1),"")</f>
        <v/>
      </c>
      <c r="H475">
        <f>IF(COUNTA(B475:C475)&gt;0,1,0)</f>
        <v/>
      </c>
      <c r="I475">
        <f>IF(F475="",0,1)</f>
        <v/>
      </c>
    </row>
    <row r="476">
      <c r="A476" s="41" t="n"/>
      <c r="B476" s="41" t="n"/>
      <c r="C476" s="41" t="n"/>
      <c r="D476" s="41" t="n"/>
      <c r="E476" s="41" t="n"/>
      <c r="F476" s="19">
        <f>IF(COUNTA(A476:E476)=0,"",TRIM(IF(A476="","받은 가족 없음 ","")&amp;IF(B476="","보낸 분 없음 ","")&amp;IF(AND(B476&lt;&gt;"",COUNTIFS($B$2:$B$501,B476,$C$2:$C$501,C476)&gt;1),"중복 의심","")))</f>
        <v/>
      </c>
      <c r="G476">
        <f>IF(AND(A476&lt;&gt;"",A476=가족별!$B$1),COUNTIF($A$2:A476,가족별!$B$1),"")</f>
        <v/>
      </c>
      <c r="H476">
        <f>IF(COUNTA(B476:C476)&gt;0,1,0)</f>
        <v/>
      </c>
      <c r="I476">
        <f>IF(F476="",0,1)</f>
        <v/>
      </c>
    </row>
    <row r="477">
      <c r="A477" s="41" t="n"/>
      <c r="B477" s="41" t="n"/>
      <c r="C477" s="41" t="n"/>
      <c r="D477" s="41" t="n"/>
      <c r="E477" s="41" t="n"/>
      <c r="F477" s="19">
        <f>IF(COUNTA(A477:E477)=0,"",TRIM(IF(A477="","받은 가족 없음 ","")&amp;IF(B477="","보낸 분 없음 ","")&amp;IF(AND(B477&lt;&gt;"",COUNTIFS($B$2:$B$501,B477,$C$2:$C$501,C477)&gt;1),"중복 의심","")))</f>
        <v/>
      </c>
      <c r="G477">
        <f>IF(AND(A477&lt;&gt;"",A477=가족별!$B$1),COUNTIF($A$2:A477,가족별!$B$1),"")</f>
        <v/>
      </c>
      <c r="H477">
        <f>IF(COUNTA(B477:C477)&gt;0,1,0)</f>
        <v/>
      </c>
      <c r="I477">
        <f>IF(F477="",0,1)</f>
        <v/>
      </c>
    </row>
    <row r="478">
      <c r="A478" s="41" t="n"/>
      <c r="B478" s="41" t="n"/>
      <c r="C478" s="41" t="n"/>
      <c r="D478" s="41" t="n"/>
      <c r="E478" s="41" t="n"/>
      <c r="F478" s="19">
        <f>IF(COUNTA(A478:E478)=0,"",TRIM(IF(A478="","받은 가족 없음 ","")&amp;IF(B478="","보낸 분 없음 ","")&amp;IF(AND(B478&lt;&gt;"",COUNTIFS($B$2:$B$501,B478,$C$2:$C$501,C478)&gt;1),"중복 의심","")))</f>
        <v/>
      </c>
      <c r="G478">
        <f>IF(AND(A478&lt;&gt;"",A478=가족별!$B$1),COUNTIF($A$2:A478,가족별!$B$1),"")</f>
        <v/>
      </c>
      <c r="H478">
        <f>IF(COUNTA(B478:C478)&gt;0,1,0)</f>
        <v/>
      </c>
      <c r="I478">
        <f>IF(F478="",0,1)</f>
        <v/>
      </c>
    </row>
    <row r="479">
      <c r="A479" s="41" t="n"/>
      <c r="B479" s="41" t="n"/>
      <c r="C479" s="41" t="n"/>
      <c r="D479" s="41" t="n"/>
      <c r="E479" s="41" t="n"/>
      <c r="F479" s="19">
        <f>IF(COUNTA(A479:E479)=0,"",TRIM(IF(A479="","받은 가족 없음 ","")&amp;IF(B479="","보낸 분 없음 ","")&amp;IF(AND(B479&lt;&gt;"",COUNTIFS($B$2:$B$501,B479,$C$2:$C$501,C479)&gt;1),"중복 의심","")))</f>
        <v/>
      </c>
      <c r="G479">
        <f>IF(AND(A479&lt;&gt;"",A479=가족별!$B$1),COUNTIF($A$2:A479,가족별!$B$1),"")</f>
        <v/>
      </c>
      <c r="H479">
        <f>IF(COUNTA(B479:C479)&gt;0,1,0)</f>
        <v/>
      </c>
      <c r="I479">
        <f>IF(F479="",0,1)</f>
        <v/>
      </c>
    </row>
    <row r="480">
      <c r="A480" s="41" t="n"/>
      <c r="B480" s="41" t="n"/>
      <c r="C480" s="41" t="n"/>
      <c r="D480" s="41" t="n"/>
      <c r="E480" s="41" t="n"/>
      <c r="F480" s="19">
        <f>IF(COUNTA(A480:E480)=0,"",TRIM(IF(A480="","받은 가족 없음 ","")&amp;IF(B480="","보낸 분 없음 ","")&amp;IF(AND(B480&lt;&gt;"",COUNTIFS($B$2:$B$501,B480,$C$2:$C$501,C480)&gt;1),"중복 의심","")))</f>
        <v/>
      </c>
      <c r="G480">
        <f>IF(AND(A480&lt;&gt;"",A480=가족별!$B$1),COUNTIF($A$2:A480,가족별!$B$1),"")</f>
        <v/>
      </c>
      <c r="H480">
        <f>IF(COUNTA(B480:C480)&gt;0,1,0)</f>
        <v/>
      </c>
      <c r="I480">
        <f>IF(F480="",0,1)</f>
        <v/>
      </c>
    </row>
    <row r="481">
      <c r="A481" s="41" t="n"/>
      <c r="B481" s="41" t="n"/>
      <c r="C481" s="41" t="n"/>
      <c r="D481" s="41" t="n"/>
      <c r="E481" s="41" t="n"/>
      <c r="F481" s="19">
        <f>IF(COUNTA(A481:E481)=0,"",TRIM(IF(A481="","받은 가족 없음 ","")&amp;IF(B481="","보낸 분 없음 ","")&amp;IF(AND(B481&lt;&gt;"",COUNTIFS($B$2:$B$501,B481,$C$2:$C$501,C481)&gt;1),"중복 의심","")))</f>
        <v/>
      </c>
      <c r="G481">
        <f>IF(AND(A481&lt;&gt;"",A481=가족별!$B$1),COUNTIF($A$2:A481,가족별!$B$1),"")</f>
        <v/>
      </c>
      <c r="H481">
        <f>IF(COUNTA(B481:C481)&gt;0,1,0)</f>
        <v/>
      </c>
      <c r="I481">
        <f>IF(F481="",0,1)</f>
        <v/>
      </c>
    </row>
    <row r="482">
      <c r="A482" s="41" t="n"/>
      <c r="B482" s="41" t="n"/>
      <c r="C482" s="41" t="n"/>
      <c r="D482" s="41" t="n"/>
      <c r="E482" s="41" t="n"/>
      <c r="F482" s="19">
        <f>IF(COUNTA(A482:E482)=0,"",TRIM(IF(A482="","받은 가족 없음 ","")&amp;IF(B482="","보낸 분 없음 ","")&amp;IF(AND(B482&lt;&gt;"",COUNTIFS($B$2:$B$501,B482,$C$2:$C$501,C482)&gt;1),"중복 의심","")))</f>
        <v/>
      </c>
      <c r="G482">
        <f>IF(AND(A482&lt;&gt;"",A482=가족별!$B$1),COUNTIF($A$2:A482,가족별!$B$1),"")</f>
        <v/>
      </c>
      <c r="H482">
        <f>IF(COUNTA(B482:C482)&gt;0,1,0)</f>
        <v/>
      </c>
      <c r="I482">
        <f>IF(F482="",0,1)</f>
        <v/>
      </c>
    </row>
    <row r="483">
      <c r="A483" s="41" t="n"/>
      <c r="B483" s="41" t="n"/>
      <c r="C483" s="41" t="n"/>
      <c r="D483" s="41" t="n"/>
      <c r="E483" s="41" t="n"/>
      <c r="F483" s="19">
        <f>IF(COUNTA(A483:E483)=0,"",TRIM(IF(A483="","받은 가족 없음 ","")&amp;IF(B483="","보낸 분 없음 ","")&amp;IF(AND(B483&lt;&gt;"",COUNTIFS($B$2:$B$501,B483,$C$2:$C$501,C483)&gt;1),"중복 의심","")))</f>
        <v/>
      </c>
      <c r="G483">
        <f>IF(AND(A483&lt;&gt;"",A483=가족별!$B$1),COUNTIF($A$2:A483,가족별!$B$1),"")</f>
        <v/>
      </c>
      <c r="H483">
        <f>IF(COUNTA(B483:C483)&gt;0,1,0)</f>
        <v/>
      </c>
      <c r="I483">
        <f>IF(F483="",0,1)</f>
        <v/>
      </c>
    </row>
    <row r="484">
      <c r="A484" s="41" t="n"/>
      <c r="B484" s="41" t="n"/>
      <c r="C484" s="41" t="n"/>
      <c r="D484" s="41" t="n"/>
      <c r="E484" s="41" t="n"/>
      <c r="F484" s="19">
        <f>IF(COUNTA(A484:E484)=0,"",TRIM(IF(A484="","받은 가족 없음 ","")&amp;IF(B484="","보낸 분 없음 ","")&amp;IF(AND(B484&lt;&gt;"",COUNTIFS($B$2:$B$501,B484,$C$2:$C$501,C484)&gt;1),"중복 의심","")))</f>
        <v/>
      </c>
      <c r="G484">
        <f>IF(AND(A484&lt;&gt;"",A484=가족별!$B$1),COUNTIF($A$2:A484,가족별!$B$1),"")</f>
        <v/>
      </c>
      <c r="H484">
        <f>IF(COUNTA(B484:C484)&gt;0,1,0)</f>
        <v/>
      </c>
      <c r="I484">
        <f>IF(F484="",0,1)</f>
        <v/>
      </c>
    </row>
    <row r="485">
      <c r="A485" s="41" t="n"/>
      <c r="B485" s="41" t="n"/>
      <c r="C485" s="41" t="n"/>
      <c r="D485" s="41" t="n"/>
      <c r="E485" s="41" t="n"/>
      <c r="F485" s="19">
        <f>IF(COUNTA(A485:E485)=0,"",TRIM(IF(A485="","받은 가족 없음 ","")&amp;IF(B485="","보낸 분 없음 ","")&amp;IF(AND(B485&lt;&gt;"",COUNTIFS($B$2:$B$501,B485,$C$2:$C$501,C485)&gt;1),"중복 의심","")))</f>
        <v/>
      </c>
      <c r="G485">
        <f>IF(AND(A485&lt;&gt;"",A485=가족별!$B$1),COUNTIF($A$2:A485,가족별!$B$1),"")</f>
        <v/>
      </c>
      <c r="H485">
        <f>IF(COUNTA(B485:C485)&gt;0,1,0)</f>
        <v/>
      </c>
      <c r="I485">
        <f>IF(F485="",0,1)</f>
        <v/>
      </c>
    </row>
    <row r="486">
      <c r="A486" s="41" t="n"/>
      <c r="B486" s="41" t="n"/>
      <c r="C486" s="41" t="n"/>
      <c r="D486" s="41" t="n"/>
      <c r="E486" s="41" t="n"/>
      <c r="F486" s="19">
        <f>IF(COUNTA(A486:E486)=0,"",TRIM(IF(A486="","받은 가족 없음 ","")&amp;IF(B486="","보낸 분 없음 ","")&amp;IF(AND(B486&lt;&gt;"",COUNTIFS($B$2:$B$501,B486,$C$2:$C$501,C486)&gt;1),"중복 의심","")))</f>
        <v/>
      </c>
      <c r="G486">
        <f>IF(AND(A486&lt;&gt;"",A486=가족별!$B$1),COUNTIF($A$2:A486,가족별!$B$1),"")</f>
        <v/>
      </c>
      <c r="H486">
        <f>IF(COUNTA(B486:C486)&gt;0,1,0)</f>
        <v/>
      </c>
      <c r="I486">
        <f>IF(F486="",0,1)</f>
        <v/>
      </c>
    </row>
    <row r="487">
      <c r="A487" s="41" t="n"/>
      <c r="B487" s="41" t="n"/>
      <c r="C487" s="41" t="n"/>
      <c r="D487" s="41" t="n"/>
      <c r="E487" s="41" t="n"/>
      <c r="F487" s="19">
        <f>IF(COUNTA(A487:E487)=0,"",TRIM(IF(A487="","받은 가족 없음 ","")&amp;IF(B487="","보낸 분 없음 ","")&amp;IF(AND(B487&lt;&gt;"",COUNTIFS($B$2:$B$501,B487,$C$2:$C$501,C487)&gt;1),"중복 의심","")))</f>
        <v/>
      </c>
      <c r="G487">
        <f>IF(AND(A487&lt;&gt;"",A487=가족별!$B$1),COUNTIF($A$2:A487,가족별!$B$1),"")</f>
        <v/>
      </c>
      <c r="H487">
        <f>IF(COUNTA(B487:C487)&gt;0,1,0)</f>
        <v/>
      </c>
      <c r="I487">
        <f>IF(F487="",0,1)</f>
        <v/>
      </c>
    </row>
    <row r="488">
      <c r="A488" s="41" t="n"/>
      <c r="B488" s="41" t="n"/>
      <c r="C488" s="41" t="n"/>
      <c r="D488" s="41" t="n"/>
      <c r="E488" s="41" t="n"/>
      <c r="F488" s="19">
        <f>IF(COUNTA(A488:E488)=0,"",TRIM(IF(A488="","받은 가족 없음 ","")&amp;IF(B488="","보낸 분 없음 ","")&amp;IF(AND(B488&lt;&gt;"",COUNTIFS($B$2:$B$501,B488,$C$2:$C$501,C488)&gt;1),"중복 의심","")))</f>
        <v/>
      </c>
      <c r="G488">
        <f>IF(AND(A488&lt;&gt;"",A488=가족별!$B$1),COUNTIF($A$2:A488,가족별!$B$1),"")</f>
        <v/>
      </c>
      <c r="H488">
        <f>IF(COUNTA(B488:C488)&gt;0,1,0)</f>
        <v/>
      </c>
      <c r="I488">
        <f>IF(F488="",0,1)</f>
        <v/>
      </c>
    </row>
    <row r="489">
      <c r="A489" s="41" t="n"/>
      <c r="B489" s="41" t="n"/>
      <c r="C489" s="41" t="n"/>
      <c r="D489" s="41" t="n"/>
      <c r="E489" s="41" t="n"/>
      <c r="F489" s="19">
        <f>IF(COUNTA(A489:E489)=0,"",TRIM(IF(A489="","받은 가족 없음 ","")&amp;IF(B489="","보낸 분 없음 ","")&amp;IF(AND(B489&lt;&gt;"",COUNTIFS($B$2:$B$501,B489,$C$2:$C$501,C489)&gt;1),"중복 의심","")))</f>
        <v/>
      </c>
      <c r="G489">
        <f>IF(AND(A489&lt;&gt;"",A489=가족별!$B$1),COUNTIF($A$2:A489,가족별!$B$1),"")</f>
        <v/>
      </c>
      <c r="H489">
        <f>IF(COUNTA(B489:C489)&gt;0,1,0)</f>
        <v/>
      </c>
      <c r="I489">
        <f>IF(F489="",0,1)</f>
        <v/>
      </c>
    </row>
    <row r="490">
      <c r="A490" s="41" t="n"/>
      <c r="B490" s="41" t="n"/>
      <c r="C490" s="41" t="n"/>
      <c r="D490" s="41" t="n"/>
      <c r="E490" s="41" t="n"/>
      <c r="F490" s="19">
        <f>IF(COUNTA(A490:E490)=0,"",TRIM(IF(A490="","받은 가족 없음 ","")&amp;IF(B490="","보낸 분 없음 ","")&amp;IF(AND(B490&lt;&gt;"",COUNTIFS($B$2:$B$501,B490,$C$2:$C$501,C490)&gt;1),"중복 의심","")))</f>
        <v/>
      </c>
      <c r="G490">
        <f>IF(AND(A490&lt;&gt;"",A490=가족별!$B$1),COUNTIF($A$2:A490,가족별!$B$1),"")</f>
        <v/>
      </c>
      <c r="H490">
        <f>IF(COUNTA(B490:C490)&gt;0,1,0)</f>
        <v/>
      </c>
      <c r="I490">
        <f>IF(F490="",0,1)</f>
        <v/>
      </c>
    </row>
    <row r="491">
      <c r="A491" s="41" t="n"/>
      <c r="B491" s="41" t="n"/>
      <c r="C491" s="41" t="n"/>
      <c r="D491" s="41" t="n"/>
      <c r="E491" s="41" t="n"/>
      <c r="F491" s="19">
        <f>IF(COUNTA(A491:E491)=0,"",TRIM(IF(A491="","받은 가족 없음 ","")&amp;IF(B491="","보낸 분 없음 ","")&amp;IF(AND(B491&lt;&gt;"",COUNTIFS($B$2:$B$501,B491,$C$2:$C$501,C491)&gt;1),"중복 의심","")))</f>
        <v/>
      </c>
      <c r="G491">
        <f>IF(AND(A491&lt;&gt;"",A491=가족별!$B$1),COUNTIF($A$2:A491,가족별!$B$1),"")</f>
        <v/>
      </c>
      <c r="H491">
        <f>IF(COUNTA(B491:C491)&gt;0,1,0)</f>
        <v/>
      </c>
      <c r="I491">
        <f>IF(F491="",0,1)</f>
        <v/>
      </c>
    </row>
    <row r="492">
      <c r="A492" s="41" t="n"/>
      <c r="B492" s="41" t="n"/>
      <c r="C492" s="41" t="n"/>
      <c r="D492" s="41" t="n"/>
      <c r="E492" s="41" t="n"/>
      <c r="F492" s="19">
        <f>IF(COUNTA(A492:E492)=0,"",TRIM(IF(A492="","받은 가족 없음 ","")&amp;IF(B492="","보낸 분 없음 ","")&amp;IF(AND(B492&lt;&gt;"",COUNTIFS($B$2:$B$501,B492,$C$2:$C$501,C492)&gt;1),"중복 의심","")))</f>
        <v/>
      </c>
      <c r="G492">
        <f>IF(AND(A492&lt;&gt;"",A492=가족별!$B$1),COUNTIF($A$2:A492,가족별!$B$1),"")</f>
        <v/>
      </c>
      <c r="H492">
        <f>IF(COUNTA(B492:C492)&gt;0,1,0)</f>
        <v/>
      </c>
      <c r="I492">
        <f>IF(F492="",0,1)</f>
        <v/>
      </c>
    </row>
    <row r="493">
      <c r="A493" s="41" t="n"/>
      <c r="B493" s="41" t="n"/>
      <c r="C493" s="41" t="n"/>
      <c r="D493" s="41" t="n"/>
      <c r="E493" s="41" t="n"/>
      <c r="F493" s="19">
        <f>IF(COUNTA(A493:E493)=0,"",TRIM(IF(A493="","받은 가족 없음 ","")&amp;IF(B493="","보낸 분 없음 ","")&amp;IF(AND(B493&lt;&gt;"",COUNTIFS($B$2:$B$501,B493,$C$2:$C$501,C493)&gt;1),"중복 의심","")))</f>
        <v/>
      </c>
      <c r="G493">
        <f>IF(AND(A493&lt;&gt;"",A493=가족별!$B$1),COUNTIF($A$2:A493,가족별!$B$1),"")</f>
        <v/>
      </c>
      <c r="H493">
        <f>IF(COUNTA(B493:C493)&gt;0,1,0)</f>
        <v/>
      </c>
      <c r="I493">
        <f>IF(F493="",0,1)</f>
        <v/>
      </c>
    </row>
    <row r="494">
      <c r="A494" s="41" t="n"/>
      <c r="B494" s="41" t="n"/>
      <c r="C494" s="41" t="n"/>
      <c r="D494" s="41" t="n"/>
      <c r="E494" s="41" t="n"/>
      <c r="F494" s="19">
        <f>IF(COUNTA(A494:E494)=0,"",TRIM(IF(A494="","받은 가족 없음 ","")&amp;IF(B494="","보낸 분 없음 ","")&amp;IF(AND(B494&lt;&gt;"",COUNTIFS($B$2:$B$501,B494,$C$2:$C$501,C494)&gt;1),"중복 의심","")))</f>
        <v/>
      </c>
      <c r="G494">
        <f>IF(AND(A494&lt;&gt;"",A494=가족별!$B$1),COUNTIF($A$2:A494,가족별!$B$1),"")</f>
        <v/>
      </c>
      <c r="H494">
        <f>IF(COUNTA(B494:C494)&gt;0,1,0)</f>
        <v/>
      </c>
      <c r="I494">
        <f>IF(F494="",0,1)</f>
        <v/>
      </c>
    </row>
    <row r="495">
      <c r="A495" s="41" t="n"/>
      <c r="B495" s="41" t="n"/>
      <c r="C495" s="41" t="n"/>
      <c r="D495" s="41" t="n"/>
      <c r="E495" s="41" t="n"/>
      <c r="F495" s="19">
        <f>IF(COUNTA(A495:E495)=0,"",TRIM(IF(A495="","받은 가족 없음 ","")&amp;IF(B495="","보낸 분 없음 ","")&amp;IF(AND(B495&lt;&gt;"",COUNTIFS($B$2:$B$501,B495,$C$2:$C$501,C495)&gt;1),"중복 의심","")))</f>
        <v/>
      </c>
      <c r="G495">
        <f>IF(AND(A495&lt;&gt;"",A495=가족별!$B$1),COUNTIF($A$2:A495,가족별!$B$1),"")</f>
        <v/>
      </c>
      <c r="H495">
        <f>IF(COUNTA(B495:C495)&gt;0,1,0)</f>
        <v/>
      </c>
      <c r="I495">
        <f>IF(F495="",0,1)</f>
        <v/>
      </c>
    </row>
    <row r="496">
      <c r="A496" s="41" t="n"/>
      <c r="B496" s="41" t="n"/>
      <c r="C496" s="41" t="n"/>
      <c r="D496" s="41" t="n"/>
      <c r="E496" s="41" t="n"/>
      <c r="F496" s="19">
        <f>IF(COUNTA(A496:E496)=0,"",TRIM(IF(A496="","받은 가족 없음 ","")&amp;IF(B496="","보낸 분 없음 ","")&amp;IF(AND(B496&lt;&gt;"",COUNTIFS($B$2:$B$501,B496,$C$2:$C$501,C496)&gt;1),"중복 의심","")))</f>
        <v/>
      </c>
      <c r="G496">
        <f>IF(AND(A496&lt;&gt;"",A496=가족별!$B$1),COUNTIF($A$2:A496,가족별!$B$1),"")</f>
        <v/>
      </c>
      <c r="H496">
        <f>IF(COUNTA(B496:C496)&gt;0,1,0)</f>
        <v/>
      </c>
      <c r="I496">
        <f>IF(F496="",0,1)</f>
        <v/>
      </c>
    </row>
    <row r="497">
      <c r="A497" s="41" t="n"/>
      <c r="B497" s="41" t="n"/>
      <c r="C497" s="41" t="n"/>
      <c r="D497" s="41" t="n"/>
      <c r="E497" s="41" t="n"/>
      <c r="F497" s="19">
        <f>IF(COUNTA(A497:E497)=0,"",TRIM(IF(A497="","받은 가족 없음 ","")&amp;IF(B497="","보낸 분 없음 ","")&amp;IF(AND(B497&lt;&gt;"",COUNTIFS($B$2:$B$501,B497,$C$2:$C$501,C497)&gt;1),"중복 의심","")))</f>
        <v/>
      </c>
      <c r="G497">
        <f>IF(AND(A497&lt;&gt;"",A497=가족별!$B$1),COUNTIF($A$2:A497,가족별!$B$1),"")</f>
        <v/>
      </c>
      <c r="H497">
        <f>IF(COUNTA(B497:C497)&gt;0,1,0)</f>
        <v/>
      </c>
      <c r="I497">
        <f>IF(F497="",0,1)</f>
        <v/>
      </c>
    </row>
    <row r="498">
      <c r="A498" s="41" t="n"/>
      <c r="B498" s="41" t="n"/>
      <c r="C498" s="41" t="n"/>
      <c r="D498" s="41" t="n"/>
      <c r="E498" s="41" t="n"/>
      <c r="F498" s="19">
        <f>IF(COUNTA(A498:E498)=0,"",TRIM(IF(A498="","받은 가족 없음 ","")&amp;IF(B498="","보낸 분 없음 ","")&amp;IF(AND(B498&lt;&gt;"",COUNTIFS($B$2:$B$501,B498,$C$2:$C$501,C498)&gt;1),"중복 의심","")))</f>
        <v/>
      </c>
      <c r="G498">
        <f>IF(AND(A498&lt;&gt;"",A498=가족별!$B$1),COUNTIF($A$2:A498,가족별!$B$1),"")</f>
        <v/>
      </c>
      <c r="H498">
        <f>IF(COUNTA(B498:C498)&gt;0,1,0)</f>
        <v/>
      </c>
      <c r="I498">
        <f>IF(F498="",0,1)</f>
        <v/>
      </c>
    </row>
    <row r="499">
      <c r="A499" s="41" t="n"/>
      <c r="B499" s="41" t="n"/>
      <c r="C499" s="41" t="n"/>
      <c r="D499" s="41" t="n"/>
      <c r="E499" s="41" t="n"/>
      <c r="F499" s="19">
        <f>IF(COUNTA(A499:E499)=0,"",TRIM(IF(A499="","받은 가족 없음 ","")&amp;IF(B499="","보낸 분 없음 ","")&amp;IF(AND(B499&lt;&gt;"",COUNTIFS($B$2:$B$501,B499,$C$2:$C$501,C499)&gt;1),"중복 의심","")))</f>
        <v/>
      </c>
      <c r="G499">
        <f>IF(AND(A499&lt;&gt;"",A499=가족별!$B$1),COUNTIF($A$2:A499,가족별!$B$1),"")</f>
        <v/>
      </c>
      <c r="H499">
        <f>IF(COUNTA(B499:C499)&gt;0,1,0)</f>
        <v/>
      </c>
      <c r="I499">
        <f>IF(F499="",0,1)</f>
        <v/>
      </c>
    </row>
    <row r="500">
      <c r="A500" s="41" t="n"/>
      <c r="B500" s="41" t="n"/>
      <c r="C500" s="41" t="n"/>
      <c r="D500" s="41" t="n"/>
      <c r="E500" s="41" t="n"/>
      <c r="F500" s="19">
        <f>IF(COUNTA(A500:E500)=0,"",TRIM(IF(A500="","받은 가족 없음 ","")&amp;IF(B500="","보낸 분 없음 ","")&amp;IF(AND(B500&lt;&gt;"",COUNTIFS($B$2:$B$501,B500,$C$2:$C$501,C500)&gt;1),"중복 의심","")))</f>
        <v/>
      </c>
      <c r="G500">
        <f>IF(AND(A500&lt;&gt;"",A500=가족별!$B$1),COUNTIF($A$2:A500,가족별!$B$1),"")</f>
        <v/>
      </c>
      <c r="H500">
        <f>IF(COUNTA(B500:C500)&gt;0,1,0)</f>
        <v/>
      </c>
      <c r="I500">
        <f>IF(F500="",0,1)</f>
        <v/>
      </c>
    </row>
    <row r="501">
      <c r="A501" s="41" t="n"/>
      <c r="B501" s="41" t="n"/>
      <c r="C501" s="41" t="n"/>
      <c r="D501" s="41" t="n"/>
      <c r="E501" s="41" t="n"/>
      <c r="F501" s="19">
        <f>IF(COUNTA(A501:E501)=0,"",TRIM(IF(A501="","받은 가족 없음 ","")&amp;IF(B501="","보낸 분 없음 ","")&amp;IF(AND(B501&lt;&gt;"",COUNTIFS($B$2:$B$501,B501,$C$2:$C$501,C501)&gt;1),"중복 의심","")))</f>
        <v/>
      </c>
      <c r="G501">
        <f>IF(AND(A501&lt;&gt;"",A501=가족별!$B$1),COUNTIF($A$2:A501,가족별!$B$1),"")</f>
        <v/>
      </c>
      <c r="H501">
        <f>IF(COUNTA(B501:C501)&gt;0,1,0)</f>
        <v/>
      </c>
      <c r="I501">
        <f>IF(F501="",0,1)</f>
        <v/>
      </c>
    </row>
  </sheetData>
  <conditionalFormatting sqref="A2:F501">
    <cfRule type="expression" priority="1" dxfId="1">
      <formula>$F2&lt;&gt;""</formula>
    </cfRule>
  </conditionalFormatting>
  <dataValidations count="2">
    <dataValidation sqref="A2:A501" showDropDown="0" showInputMessage="0" showErrorMessage="0" allowBlank="1" type="list">
      <formula1>='가족 목록'!$A$2:$A$21</formula1>
    </dataValidation>
    <dataValidation sqref="C2:C501" showDropDown="0" showInputMessage="0" showErrorMessage="0" allowBlank="1" type="list">
      <formula1>"근조화환,근조 바구니,근조기,쌀화환,기타"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4B342"/>
    <outlinePr summaryBelow="1" summaryRight="1"/>
    <pageSetUpPr/>
  </sheetPr>
  <dimension ref="A1: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8" customWidth="1" min="3" max="3"/>
    <col width="12" customWidth="1" min="4" max="4"/>
    <col width="18" customWidth="1" min="5" max="5"/>
    <col width="3" customWidth="1" min="6" max="6"/>
    <col width="19" customWidth="1" min="7" max="7"/>
    <col width="15" customWidth="1" min="8" max="8"/>
    <col width="7" customWidth="1" min="9" max="9"/>
    <col hidden="1" width="13" customWidth="1" min="25" max="25"/>
  </cols>
  <sheetData>
    <row r="1">
      <c r="A1" s="18" t="inlineStr">
        <is>
          <t>항목</t>
        </is>
      </c>
      <c r="B1" s="18" t="inlineStr">
        <is>
          <t>금액</t>
        </is>
      </c>
      <c r="C1" s="18" t="inlineStr">
        <is>
          <t>특이사항</t>
        </is>
      </c>
      <c r="D1" s="18" t="inlineStr">
        <is>
          <t>낸 사람</t>
        </is>
      </c>
      <c r="E1" s="43" t="inlineStr">
        <is>
          <t>확인 필요</t>
        </is>
      </c>
      <c r="G1" s="39" t="inlineStr">
        <is>
          <t>지출 정산</t>
        </is>
      </c>
    </row>
    <row r="2">
      <c r="A2" s="41" t="n"/>
      <c r="B2" s="24" t="n"/>
      <c r="C2" s="41" t="n"/>
      <c r="D2" s="41" t="n"/>
      <c r="E2" s="19">
        <f>IF(COUNTA(A2:D2)=0,"",IF(OR(ISNUMBER(SEARCH("소계",A2)),ISNUMBER(SEARCH("합계",A2))),"",TRIM(IF(A2="","항목 없음 ","")&amp;IF(B2="","금액 없음 ",IF(ISNUMBER(B2),"","금액 확인 "))&amp;IF(D2="","낸 사람 없음",""))))</f>
        <v/>
      </c>
      <c r="Y2">
        <f>IF(E2="",0,1)</f>
        <v/>
      </c>
    </row>
    <row r="3">
      <c r="A3" s="41" t="n"/>
      <c r="B3" s="24" t="n"/>
      <c r="C3" s="41" t="n"/>
      <c r="D3" s="41" t="n"/>
      <c r="E3" s="19">
        <f>IF(COUNTA(A3:D3)=0,"",IF(OR(ISNUMBER(SEARCH("소계",A3)),ISNUMBER(SEARCH("합계",A3))),"",TRIM(IF(A3="","항목 없음 ","")&amp;IF(B3="","금액 없음 ",IF(ISNUMBER(B3),"","금액 확인 "))&amp;IF(D3="","낸 사람 없음",""))))</f>
        <v/>
      </c>
      <c r="G3" s="9" t="inlineStr">
        <is>
          <t>부의금 총액</t>
        </is>
      </c>
      <c r="H3" s="12">
        <f>요약!B1</f>
        <v/>
      </c>
      <c r="Y3">
        <f>IF(E3="",0,1)</f>
        <v/>
      </c>
    </row>
    <row r="4">
      <c r="A4" s="41" t="n"/>
      <c r="B4" s="24" t="n"/>
      <c r="C4" s="41" t="n"/>
      <c r="D4" s="41" t="n"/>
      <c r="E4" s="19">
        <f>IF(COUNTA(A4:D4)=0,"",IF(OR(ISNUMBER(SEARCH("소계",A4)),ISNUMBER(SEARCH("합계",A4))),"",TRIM(IF(A4="","항목 없음 ","")&amp;IF(B4="","금액 없음 ",IF(ISNUMBER(B4),"","금액 확인 "))&amp;IF(D4="","낸 사람 없음",""))))</f>
        <v/>
      </c>
      <c r="G4" s="9" t="inlineStr">
        <is>
          <t>지출 총액</t>
        </is>
      </c>
      <c r="H4" s="12">
        <f>SUM(B2:B301)-SUMIF(A2:A301,"*합계*",B2:B301)-SUMIF(A2:A301,"*소계*",B2:B301)</f>
        <v/>
      </c>
      <c r="Y4">
        <f>IF(E4="",0,1)</f>
        <v/>
      </c>
    </row>
    <row r="5">
      <c r="A5" s="41" t="n"/>
      <c r="B5" s="24" t="n"/>
      <c r="C5" s="41" t="n"/>
      <c r="D5" s="41" t="n"/>
      <c r="E5" s="19">
        <f>IF(COUNTA(A5:D5)=0,"",IF(OR(ISNUMBER(SEARCH("소계",A5)),ISNUMBER(SEARCH("합계",A5))),"",TRIM(IF(A5="","항목 없음 ","")&amp;IF(B5="","금액 없음 ",IF(ISNUMBER(B5),"","금액 확인 "))&amp;IF(D5="","낸 사람 없음",""))))</f>
        <v/>
      </c>
      <c r="G5" s="44" t="inlineStr">
        <is>
          <t>남는 돈</t>
        </is>
      </c>
      <c r="H5" s="45">
        <f>H3-H4</f>
        <v/>
      </c>
      <c r="Y5">
        <f>IF(E5="",0,1)</f>
        <v/>
      </c>
    </row>
    <row r="6">
      <c r="A6" s="41" t="n"/>
      <c r="B6" s="24" t="n"/>
      <c r="C6" s="41" t="n"/>
      <c r="D6" s="41" t="n"/>
      <c r="E6" s="19">
        <f>IF(COUNTA(A6:D6)=0,"",IF(OR(ISNUMBER(SEARCH("소계",A6)),ISNUMBER(SEARCH("합계",A6))),"",TRIM(IF(A6="","항목 없음 ","")&amp;IF(B6="","금액 없음 ",IF(ISNUMBER(B6),"","금액 확인 "))&amp;IF(D6="","낸 사람 없음",""))))</f>
        <v/>
      </c>
      <c r="Y6">
        <f>IF(E6="",0,1)</f>
        <v/>
      </c>
    </row>
    <row r="7">
      <c r="A7" s="41" t="n"/>
      <c r="B7" s="24" t="n"/>
      <c r="C7" s="41" t="n"/>
      <c r="D7" s="41" t="n"/>
      <c r="E7" s="19">
        <f>IF(COUNTA(A7:D7)=0,"",IF(OR(ISNUMBER(SEARCH("소계",A7)),ISNUMBER(SEARCH("합계",A7))),"",TRIM(IF(A7="","항목 없음 ","")&amp;IF(B7="","금액 없음 ",IF(ISNUMBER(B7),"","금액 확인 "))&amp;IF(D7="","낸 사람 없음",""))))</f>
        <v/>
      </c>
      <c r="G7" s="9" t="inlineStr">
        <is>
          <t>공금 시작</t>
        </is>
      </c>
      <c r="H7" s="24" t="n"/>
      <c r="I7" s="38" t="inlineStr">
        <is>
          <t>← 부의금과 따로 모은 돈이 있으면 적으세요</t>
        </is>
      </c>
      <c r="Y7">
        <f>IF(E7="",0,1)</f>
        <v/>
      </c>
    </row>
    <row r="8">
      <c r="A8" s="41" t="n"/>
      <c r="B8" s="24" t="n"/>
      <c r="C8" s="41" t="n"/>
      <c r="D8" s="41" t="n"/>
      <c r="E8" s="19">
        <f>IF(COUNTA(A8:D8)=0,"",IF(OR(ISNUMBER(SEARCH("소계",A8)),ISNUMBER(SEARCH("합계",A8))),"",TRIM(IF(A8="","항목 없음 ","")&amp;IF(B8="","금액 없음 ",IF(ISNUMBER(B8),"","금액 확인 "))&amp;IF(D8="","낸 사람 없음",""))))</f>
        <v/>
      </c>
      <c r="G8" s="9" t="inlineStr">
        <is>
          <t>공금에서 나간 돈</t>
        </is>
      </c>
      <c r="H8" s="12">
        <f>SUMIF(D2:D301,"공금",B2:B301)</f>
        <v/>
      </c>
      <c r="Y8">
        <f>IF(E8="",0,1)</f>
        <v/>
      </c>
    </row>
    <row r="9">
      <c r="A9" s="41" t="n"/>
      <c r="B9" s="24" t="n"/>
      <c r="C9" s="41" t="n"/>
      <c r="D9" s="41" t="n"/>
      <c r="E9" s="19">
        <f>IF(COUNTA(A9:D9)=0,"",IF(OR(ISNUMBER(SEARCH("소계",A9)),ISNUMBER(SEARCH("합계",A9))),"",TRIM(IF(A9="","항목 없음 ","")&amp;IF(B9="","금액 없음 ",IF(ISNUMBER(B9),"","금액 확인 "))&amp;IF(D9="","낸 사람 없음",""))))</f>
        <v/>
      </c>
      <c r="G9" s="9" t="inlineStr">
        <is>
          <t>공금 잔액</t>
        </is>
      </c>
      <c r="H9" s="12">
        <f>IF(H7="","",H7-H8)</f>
        <v/>
      </c>
      <c r="Y9">
        <f>IF(E9="",0,1)</f>
        <v/>
      </c>
    </row>
    <row r="10">
      <c r="A10" s="41" t="n"/>
      <c r="B10" s="24" t="n"/>
      <c r="C10" s="41" t="n"/>
      <c r="D10" s="41" t="n"/>
      <c r="E10" s="19">
        <f>IF(COUNTA(A10:D10)=0,"",IF(OR(ISNUMBER(SEARCH("소계",A10)),ISNUMBER(SEARCH("합계",A10))),"",TRIM(IF(A10="","항목 없음 ","")&amp;IF(B10="","금액 없음 ",IF(ISNUMBER(B10),"","금액 확인 "))&amp;IF(D10="","낸 사람 없음",""))))</f>
        <v/>
      </c>
      <c r="Y10">
        <f>IF(E10="",0,1)</f>
        <v/>
      </c>
    </row>
    <row r="11">
      <c r="A11" s="41" t="n"/>
      <c r="B11" s="24" t="n"/>
      <c r="C11" s="41" t="n"/>
      <c r="D11" s="41" t="n"/>
      <c r="E11" s="19">
        <f>IF(COUNTA(A11:D11)=0,"",IF(OR(ISNUMBER(SEARCH("소계",A11)),ISNUMBER(SEARCH("합계",A11))),"",TRIM(IF(A11="","항목 없음 ","")&amp;IF(B11="","금액 없음 ",IF(ISNUMBER(B11),"","금액 확인 "))&amp;IF(D11="","낸 사람 없음",""))))</f>
        <v/>
      </c>
      <c r="G11" s="18" t="inlineStr">
        <is>
          <t>낸 사람</t>
        </is>
      </c>
      <c r="H11" s="18" t="inlineStr">
        <is>
          <t>낸 금액</t>
        </is>
      </c>
      <c r="I11" s="18" t="inlineStr">
        <is>
          <t>건수</t>
        </is>
      </c>
      <c r="Y11">
        <f>IF(E11="",0,1)</f>
        <v/>
      </c>
    </row>
    <row r="12">
      <c r="A12" s="41" t="n"/>
      <c r="B12" s="24" t="n"/>
      <c r="C12" s="41" t="n"/>
      <c r="D12" s="41" t="n"/>
      <c r="E12" s="19">
        <f>IF(COUNTA(A12:D12)=0,"",IF(OR(ISNUMBER(SEARCH("소계",A12)),ISNUMBER(SEARCH("합계",A12))),"",TRIM(IF(A12="","항목 없음 ","")&amp;IF(B12="","금액 없음 ",IF(ISNUMBER(B12),"","금액 확인 "))&amp;IF(D12="","낸 사람 없음",""))))</f>
        <v/>
      </c>
      <c r="G12" s="19" t="inlineStr">
        <is>
          <t>공금</t>
        </is>
      </c>
      <c r="H12" s="21">
        <f>IF(G12="","",SUMIF($D$2:$D$301,G12,$B$2:$B$301))</f>
        <v/>
      </c>
      <c r="I12" s="19">
        <f>IF(G12="","",COUNTIF($D$2:$D$301,G12))</f>
        <v/>
      </c>
      <c r="Y12">
        <f>IF(E12="",0,1)</f>
        <v/>
      </c>
    </row>
    <row r="13">
      <c r="A13" s="41" t="n"/>
      <c r="B13" s="24" t="n"/>
      <c r="C13" s="41" t="n"/>
      <c r="D13" s="41" t="n"/>
      <c r="E13" s="19">
        <f>IF(COUNTA(A13:D13)=0,"",IF(OR(ISNUMBER(SEARCH("소계",A13)),ISNUMBER(SEARCH("합계",A13))),"",TRIM(IF(A13="","항목 없음 ","")&amp;IF(B13="","금액 없음 ",IF(ISNUMBER(B13),"","금액 확인 "))&amp;IF(D13="","낸 사람 없음",""))))</f>
        <v/>
      </c>
      <c r="G13" s="19">
        <f>IF('가족 목록'!A2="","",'가족 목록'!A2)</f>
        <v/>
      </c>
      <c r="H13" s="21">
        <f>IF(G13="","",SUMIF($D$2:$D$301,G13,$B$2:$B$301))</f>
        <v/>
      </c>
      <c r="I13" s="19">
        <f>IF(G13="","",COUNTIF($D$2:$D$301,G13))</f>
        <v/>
      </c>
      <c r="Y13">
        <f>IF(E13="",0,1)</f>
        <v/>
      </c>
    </row>
    <row r="14">
      <c r="A14" s="41" t="n"/>
      <c r="B14" s="24" t="n"/>
      <c r="C14" s="41" t="n"/>
      <c r="D14" s="41" t="n"/>
      <c r="E14" s="19">
        <f>IF(COUNTA(A14:D14)=0,"",IF(OR(ISNUMBER(SEARCH("소계",A14)),ISNUMBER(SEARCH("합계",A14))),"",TRIM(IF(A14="","항목 없음 ","")&amp;IF(B14="","금액 없음 ",IF(ISNUMBER(B14),"","금액 확인 "))&amp;IF(D14="","낸 사람 없음",""))))</f>
        <v/>
      </c>
      <c r="G14" s="19">
        <f>IF('가족 목록'!A3="","",'가족 목록'!A3)</f>
        <v/>
      </c>
      <c r="H14" s="21">
        <f>IF(G14="","",SUMIF($D$2:$D$301,G14,$B$2:$B$301))</f>
        <v/>
      </c>
      <c r="I14" s="19">
        <f>IF(G14="","",COUNTIF($D$2:$D$301,G14))</f>
        <v/>
      </c>
      <c r="Y14">
        <f>IF(E14="",0,1)</f>
        <v/>
      </c>
    </row>
    <row r="15">
      <c r="A15" s="41" t="n"/>
      <c r="B15" s="24" t="n"/>
      <c r="C15" s="41" t="n"/>
      <c r="D15" s="41" t="n"/>
      <c r="E15" s="19">
        <f>IF(COUNTA(A15:D15)=0,"",IF(OR(ISNUMBER(SEARCH("소계",A15)),ISNUMBER(SEARCH("합계",A15))),"",TRIM(IF(A15="","항목 없음 ","")&amp;IF(B15="","금액 없음 ",IF(ISNUMBER(B15),"","금액 확인 "))&amp;IF(D15="","낸 사람 없음",""))))</f>
        <v/>
      </c>
      <c r="G15" s="19">
        <f>IF('가족 목록'!A4="","",'가족 목록'!A4)</f>
        <v/>
      </c>
      <c r="H15" s="21">
        <f>IF(G15="","",SUMIF($D$2:$D$301,G15,$B$2:$B$301))</f>
        <v/>
      </c>
      <c r="I15" s="19">
        <f>IF(G15="","",COUNTIF($D$2:$D$301,G15))</f>
        <v/>
      </c>
      <c r="Y15">
        <f>IF(E15="",0,1)</f>
        <v/>
      </c>
    </row>
    <row r="16">
      <c r="A16" s="41" t="n"/>
      <c r="B16" s="24" t="n"/>
      <c r="C16" s="41" t="n"/>
      <c r="D16" s="41" t="n"/>
      <c r="E16" s="19">
        <f>IF(COUNTA(A16:D16)=0,"",IF(OR(ISNUMBER(SEARCH("소계",A16)),ISNUMBER(SEARCH("합계",A16))),"",TRIM(IF(A16="","항목 없음 ","")&amp;IF(B16="","금액 없음 ",IF(ISNUMBER(B16),"","금액 확인 "))&amp;IF(D16="","낸 사람 없음",""))))</f>
        <v/>
      </c>
      <c r="G16" s="19">
        <f>IF('가족 목록'!A5="","",'가족 목록'!A5)</f>
        <v/>
      </c>
      <c r="H16" s="21">
        <f>IF(G16="","",SUMIF($D$2:$D$301,G16,$B$2:$B$301))</f>
        <v/>
      </c>
      <c r="I16" s="19">
        <f>IF(G16="","",COUNTIF($D$2:$D$301,G16))</f>
        <v/>
      </c>
      <c r="Y16">
        <f>IF(E16="",0,1)</f>
        <v/>
      </c>
    </row>
    <row r="17">
      <c r="A17" s="41" t="n"/>
      <c r="B17" s="24" t="n"/>
      <c r="C17" s="41" t="n"/>
      <c r="D17" s="41" t="n"/>
      <c r="E17" s="19">
        <f>IF(COUNTA(A17:D17)=0,"",IF(OR(ISNUMBER(SEARCH("소계",A17)),ISNUMBER(SEARCH("합계",A17))),"",TRIM(IF(A17="","항목 없음 ","")&amp;IF(B17="","금액 없음 ",IF(ISNUMBER(B17),"","금액 확인 "))&amp;IF(D17="","낸 사람 없음",""))))</f>
        <v/>
      </c>
      <c r="G17" s="19">
        <f>IF('가족 목록'!A6="","",'가족 목록'!A6)</f>
        <v/>
      </c>
      <c r="H17" s="21">
        <f>IF(G17="","",SUMIF($D$2:$D$301,G17,$B$2:$B$301))</f>
        <v/>
      </c>
      <c r="I17" s="19">
        <f>IF(G17="","",COUNTIF($D$2:$D$301,G17))</f>
        <v/>
      </c>
      <c r="Y17">
        <f>IF(E17="",0,1)</f>
        <v/>
      </c>
    </row>
    <row r="18">
      <c r="A18" s="41" t="n"/>
      <c r="B18" s="24" t="n"/>
      <c r="C18" s="41" t="n"/>
      <c r="D18" s="41" t="n"/>
      <c r="E18" s="19">
        <f>IF(COUNTA(A18:D18)=0,"",IF(OR(ISNUMBER(SEARCH("소계",A18)),ISNUMBER(SEARCH("합계",A18))),"",TRIM(IF(A18="","항목 없음 ","")&amp;IF(B18="","금액 없음 ",IF(ISNUMBER(B18),"","금액 확인 "))&amp;IF(D18="","낸 사람 없음",""))))</f>
        <v/>
      </c>
      <c r="G18" s="19">
        <f>IF('가족 목록'!A7="","",'가족 목록'!A7)</f>
        <v/>
      </c>
      <c r="H18" s="21">
        <f>IF(G18="","",SUMIF($D$2:$D$301,G18,$B$2:$B$301))</f>
        <v/>
      </c>
      <c r="I18" s="19">
        <f>IF(G18="","",COUNTIF($D$2:$D$301,G18))</f>
        <v/>
      </c>
      <c r="Y18">
        <f>IF(E18="",0,1)</f>
        <v/>
      </c>
    </row>
    <row r="19">
      <c r="A19" s="41" t="n"/>
      <c r="B19" s="24" t="n"/>
      <c r="C19" s="41" t="n"/>
      <c r="D19" s="41" t="n"/>
      <c r="E19" s="19">
        <f>IF(COUNTA(A19:D19)=0,"",IF(OR(ISNUMBER(SEARCH("소계",A19)),ISNUMBER(SEARCH("합계",A19))),"",TRIM(IF(A19="","항목 없음 ","")&amp;IF(B19="","금액 없음 ",IF(ISNUMBER(B19),"","금액 확인 "))&amp;IF(D19="","낸 사람 없음",""))))</f>
        <v/>
      </c>
      <c r="G19" s="19">
        <f>IF('가족 목록'!A8="","",'가족 목록'!A8)</f>
        <v/>
      </c>
      <c r="H19" s="21">
        <f>IF(G19="","",SUMIF($D$2:$D$301,G19,$B$2:$B$301))</f>
        <v/>
      </c>
      <c r="I19" s="19">
        <f>IF(G19="","",COUNTIF($D$2:$D$301,G19))</f>
        <v/>
      </c>
      <c r="Y19">
        <f>IF(E19="",0,1)</f>
        <v/>
      </c>
    </row>
    <row r="20">
      <c r="A20" s="41" t="n"/>
      <c r="B20" s="24" t="n"/>
      <c r="C20" s="41" t="n"/>
      <c r="D20" s="41" t="n"/>
      <c r="E20" s="19">
        <f>IF(COUNTA(A20:D20)=0,"",IF(OR(ISNUMBER(SEARCH("소계",A20)),ISNUMBER(SEARCH("합계",A20))),"",TRIM(IF(A20="","항목 없음 ","")&amp;IF(B20="","금액 없음 ",IF(ISNUMBER(B20),"","금액 확인 "))&amp;IF(D20="","낸 사람 없음",""))))</f>
        <v/>
      </c>
      <c r="G20" s="19">
        <f>IF('가족 목록'!A9="","",'가족 목록'!A9)</f>
        <v/>
      </c>
      <c r="H20" s="21">
        <f>IF(G20="","",SUMIF($D$2:$D$301,G20,$B$2:$B$301))</f>
        <v/>
      </c>
      <c r="I20" s="19">
        <f>IF(G20="","",COUNTIF($D$2:$D$301,G20))</f>
        <v/>
      </c>
      <c r="Y20">
        <f>IF(E20="",0,1)</f>
        <v/>
      </c>
    </row>
    <row r="21">
      <c r="A21" s="41" t="n"/>
      <c r="B21" s="24" t="n"/>
      <c r="C21" s="41" t="n"/>
      <c r="D21" s="41" t="n"/>
      <c r="E21" s="19">
        <f>IF(COUNTA(A21:D21)=0,"",IF(OR(ISNUMBER(SEARCH("소계",A21)),ISNUMBER(SEARCH("합계",A21))),"",TRIM(IF(A21="","항목 없음 ","")&amp;IF(B21="","금액 없음 ",IF(ISNUMBER(B21),"","금액 확인 "))&amp;IF(D21="","낸 사람 없음",""))))</f>
        <v/>
      </c>
      <c r="G21" s="19">
        <f>IF('가족 목록'!A10="","",'가족 목록'!A10)</f>
        <v/>
      </c>
      <c r="H21" s="21">
        <f>IF(G21="","",SUMIF($D$2:$D$301,G21,$B$2:$B$301))</f>
        <v/>
      </c>
      <c r="I21" s="19">
        <f>IF(G21="","",COUNTIF($D$2:$D$301,G21))</f>
        <v/>
      </c>
      <c r="Y21">
        <f>IF(E21="",0,1)</f>
        <v/>
      </c>
    </row>
    <row r="22">
      <c r="A22" s="41" t="n"/>
      <c r="B22" s="24" t="n"/>
      <c r="C22" s="41" t="n"/>
      <c r="D22" s="41" t="n"/>
      <c r="E22" s="19">
        <f>IF(COUNTA(A22:D22)=0,"",IF(OR(ISNUMBER(SEARCH("소계",A22)),ISNUMBER(SEARCH("합계",A22))),"",TRIM(IF(A22="","항목 없음 ","")&amp;IF(B22="","금액 없음 ",IF(ISNUMBER(B22),"","금액 확인 "))&amp;IF(D22="","낸 사람 없음",""))))</f>
        <v/>
      </c>
      <c r="G22" s="19">
        <f>IF('가족 목록'!A11="","",'가족 목록'!A11)</f>
        <v/>
      </c>
      <c r="H22" s="21">
        <f>IF(G22="","",SUMIF($D$2:$D$301,G22,$B$2:$B$301))</f>
        <v/>
      </c>
      <c r="I22" s="19">
        <f>IF(G22="","",COUNTIF($D$2:$D$301,G22))</f>
        <v/>
      </c>
      <c r="Y22">
        <f>IF(E22="",0,1)</f>
        <v/>
      </c>
    </row>
    <row r="23">
      <c r="A23" s="41" t="n"/>
      <c r="B23" s="24" t="n"/>
      <c r="C23" s="41" t="n"/>
      <c r="D23" s="41" t="n"/>
      <c r="E23" s="19">
        <f>IF(COUNTA(A23:D23)=0,"",IF(OR(ISNUMBER(SEARCH("소계",A23)),ISNUMBER(SEARCH("합계",A23))),"",TRIM(IF(A23="","항목 없음 ","")&amp;IF(B23="","금액 없음 ",IF(ISNUMBER(B23),"","금액 확인 "))&amp;IF(D23="","낸 사람 없음",""))))</f>
        <v/>
      </c>
      <c r="G23" s="19">
        <f>IF('가족 목록'!A12="","",'가족 목록'!A12)</f>
        <v/>
      </c>
      <c r="H23" s="21">
        <f>IF(G23="","",SUMIF($D$2:$D$301,G23,$B$2:$B$301))</f>
        <v/>
      </c>
      <c r="I23" s="19">
        <f>IF(G23="","",COUNTIF($D$2:$D$301,G23))</f>
        <v/>
      </c>
      <c r="Y23">
        <f>IF(E23="",0,1)</f>
        <v/>
      </c>
    </row>
    <row r="24">
      <c r="A24" s="41" t="n"/>
      <c r="B24" s="24" t="n"/>
      <c r="C24" s="41" t="n"/>
      <c r="D24" s="41" t="n"/>
      <c r="E24" s="19">
        <f>IF(COUNTA(A24:D24)=0,"",IF(OR(ISNUMBER(SEARCH("소계",A24)),ISNUMBER(SEARCH("합계",A24))),"",TRIM(IF(A24="","항목 없음 ","")&amp;IF(B24="","금액 없음 ",IF(ISNUMBER(B24),"","금액 확인 "))&amp;IF(D24="","낸 사람 없음",""))))</f>
        <v/>
      </c>
      <c r="G24" s="19">
        <f>IF('가족 목록'!A13="","",'가족 목록'!A13)</f>
        <v/>
      </c>
      <c r="H24" s="21">
        <f>IF(G24="","",SUMIF($D$2:$D$301,G24,$B$2:$B$301))</f>
        <v/>
      </c>
      <c r="I24" s="19">
        <f>IF(G24="","",COUNTIF($D$2:$D$301,G24))</f>
        <v/>
      </c>
      <c r="Y24">
        <f>IF(E24="",0,1)</f>
        <v/>
      </c>
    </row>
    <row r="25">
      <c r="A25" s="41" t="n"/>
      <c r="B25" s="24" t="n"/>
      <c r="C25" s="41" t="n"/>
      <c r="D25" s="41" t="n"/>
      <c r="E25" s="19">
        <f>IF(COUNTA(A25:D25)=0,"",IF(OR(ISNUMBER(SEARCH("소계",A25)),ISNUMBER(SEARCH("합계",A25))),"",TRIM(IF(A25="","항목 없음 ","")&amp;IF(B25="","금액 없음 ",IF(ISNUMBER(B25),"","금액 확인 "))&amp;IF(D25="","낸 사람 없음",""))))</f>
        <v/>
      </c>
      <c r="G25" s="19">
        <f>IF('가족 목록'!A14="","",'가족 목록'!A14)</f>
        <v/>
      </c>
      <c r="H25" s="21">
        <f>IF(G25="","",SUMIF($D$2:$D$301,G25,$B$2:$B$301))</f>
        <v/>
      </c>
      <c r="I25" s="19">
        <f>IF(G25="","",COUNTIF($D$2:$D$301,G25))</f>
        <v/>
      </c>
      <c r="Y25">
        <f>IF(E25="",0,1)</f>
        <v/>
      </c>
    </row>
    <row r="26">
      <c r="A26" s="41" t="n"/>
      <c r="B26" s="24" t="n"/>
      <c r="C26" s="41" t="n"/>
      <c r="D26" s="41" t="n"/>
      <c r="E26" s="19">
        <f>IF(COUNTA(A26:D26)=0,"",IF(OR(ISNUMBER(SEARCH("소계",A26)),ISNUMBER(SEARCH("합계",A26))),"",TRIM(IF(A26="","항목 없음 ","")&amp;IF(B26="","금액 없음 ",IF(ISNUMBER(B26),"","금액 확인 "))&amp;IF(D26="","낸 사람 없음",""))))</f>
        <v/>
      </c>
      <c r="G26" s="19">
        <f>IF('가족 목록'!A15="","",'가족 목록'!A15)</f>
        <v/>
      </c>
      <c r="H26" s="21">
        <f>IF(G26="","",SUMIF($D$2:$D$301,G26,$B$2:$B$301))</f>
        <v/>
      </c>
      <c r="I26" s="19">
        <f>IF(G26="","",COUNTIF($D$2:$D$301,G26))</f>
        <v/>
      </c>
      <c r="Y26">
        <f>IF(E26="",0,1)</f>
        <v/>
      </c>
    </row>
    <row r="27">
      <c r="A27" s="41" t="n"/>
      <c r="B27" s="24" t="n"/>
      <c r="C27" s="41" t="n"/>
      <c r="D27" s="41" t="n"/>
      <c r="E27" s="19">
        <f>IF(COUNTA(A27:D27)=0,"",IF(OR(ISNUMBER(SEARCH("소계",A27)),ISNUMBER(SEARCH("합계",A27))),"",TRIM(IF(A27="","항목 없음 ","")&amp;IF(B27="","금액 없음 ",IF(ISNUMBER(B27),"","금액 확인 "))&amp;IF(D27="","낸 사람 없음",""))))</f>
        <v/>
      </c>
      <c r="G27" s="19">
        <f>IF('가족 목록'!A16="","",'가족 목록'!A16)</f>
        <v/>
      </c>
      <c r="H27" s="21">
        <f>IF(G27="","",SUMIF($D$2:$D$301,G27,$B$2:$B$301))</f>
        <v/>
      </c>
      <c r="I27" s="19">
        <f>IF(G27="","",COUNTIF($D$2:$D$301,G27))</f>
        <v/>
      </c>
      <c r="Y27">
        <f>IF(E27="",0,1)</f>
        <v/>
      </c>
    </row>
    <row r="28">
      <c r="A28" s="41" t="n"/>
      <c r="B28" s="24" t="n"/>
      <c r="C28" s="41" t="n"/>
      <c r="D28" s="41" t="n"/>
      <c r="E28" s="19">
        <f>IF(COUNTA(A28:D28)=0,"",IF(OR(ISNUMBER(SEARCH("소계",A28)),ISNUMBER(SEARCH("합계",A28))),"",TRIM(IF(A28="","항목 없음 ","")&amp;IF(B28="","금액 없음 ",IF(ISNUMBER(B28),"","금액 확인 "))&amp;IF(D28="","낸 사람 없음",""))))</f>
        <v/>
      </c>
      <c r="G28" s="19">
        <f>IF('가족 목록'!A17="","",'가족 목록'!A17)</f>
        <v/>
      </c>
      <c r="H28" s="21">
        <f>IF(G28="","",SUMIF($D$2:$D$301,G28,$B$2:$B$301))</f>
        <v/>
      </c>
      <c r="I28" s="19">
        <f>IF(G28="","",COUNTIF($D$2:$D$301,G28))</f>
        <v/>
      </c>
      <c r="Y28">
        <f>IF(E28="",0,1)</f>
        <v/>
      </c>
    </row>
    <row r="29">
      <c r="A29" s="41" t="n"/>
      <c r="B29" s="24" t="n"/>
      <c r="C29" s="41" t="n"/>
      <c r="D29" s="41" t="n"/>
      <c r="E29" s="19">
        <f>IF(COUNTA(A29:D29)=0,"",IF(OR(ISNUMBER(SEARCH("소계",A29)),ISNUMBER(SEARCH("합계",A29))),"",TRIM(IF(A29="","항목 없음 ","")&amp;IF(B29="","금액 없음 ",IF(ISNUMBER(B29),"","금액 확인 "))&amp;IF(D29="","낸 사람 없음",""))))</f>
        <v/>
      </c>
      <c r="G29" s="19">
        <f>IF('가족 목록'!A18="","",'가족 목록'!A18)</f>
        <v/>
      </c>
      <c r="H29" s="21">
        <f>IF(G29="","",SUMIF($D$2:$D$301,G29,$B$2:$B$301))</f>
        <v/>
      </c>
      <c r="I29" s="19">
        <f>IF(G29="","",COUNTIF($D$2:$D$301,G29))</f>
        <v/>
      </c>
      <c r="Y29">
        <f>IF(E29="",0,1)</f>
        <v/>
      </c>
    </row>
    <row r="30">
      <c r="A30" s="41" t="n"/>
      <c r="B30" s="24" t="n"/>
      <c r="C30" s="41" t="n"/>
      <c r="D30" s="41" t="n"/>
      <c r="E30" s="19">
        <f>IF(COUNTA(A30:D30)=0,"",IF(OR(ISNUMBER(SEARCH("소계",A30)),ISNUMBER(SEARCH("합계",A30))),"",TRIM(IF(A30="","항목 없음 ","")&amp;IF(B30="","금액 없음 ",IF(ISNUMBER(B30),"","금액 확인 "))&amp;IF(D30="","낸 사람 없음",""))))</f>
        <v/>
      </c>
      <c r="G30" s="19">
        <f>IF('가족 목록'!A19="","",'가족 목록'!A19)</f>
        <v/>
      </c>
      <c r="H30" s="21">
        <f>IF(G30="","",SUMIF($D$2:$D$301,G30,$B$2:$B$301))</f>
        <v/>
      </c>
      <c r="I30" s="19">
        <f>IF(G30="","",COUNTIF($D$2:$D$301,G30))</f>
        <v/>
      </c>
      <c r="Y30">
        <f>IF(E30="",0,1)</f>
        <v/>
      </c>
    </row>
    <row r="31">
      <c r="A31" s="41" t="n"/>
      <c r="B31" s="24" t="n"/>
      <c r="C31" s="41" t="n"/>
      <c r="D31" s="41" t="n"/>
      <c r="E31" s="19">
        <f>IF(COUNTA(A31:D31)=0,"",IF(OR(ISNUMBER(SEARCH("소계",A31)),ISNUMBER(SEARCH("합계",A31))),"",TRIM(IF(A31="","항목 없음 ","")&amp;IF(B31="","금액 없음 ",IF(ISNUMBER(B31),"","금액 확인 "))&amp;IF(D31="","낸 사람 없음",""))))</f>
        <v/>
      </c>
      <c r="G31" s="19">
        <f>IF('가족 목록'!A20="","",'가족 목록'!A20)</f>
        <v/>
      </c>
      <c r="H31" s="21">
        <f>IF(G31="","",SUMIF($D$2:$D$301,G31,$B$2:$B$301))</f>
        <v/>
      </c>
      <c r="I31" s="19">
        <f>IF(G31="","",COUNTIF($D$2:$D$301,G31))</f>
        <v/>
      </c>
      <c r="Y31">
        <f>IF(E31="",0,1)</f>
        <v/>
      </c>
    </row>
    <row r="32">
      <c r="A32" s="41" t="n"/>
      <c r="B32" s="24" t="n"/>
      <c r="C32" s="41" t="n"/>
      <c r="D32" s="41" t="n"/>
      <c r="E32" s="19">
        <f>IF(COUNTA(A32:D32)=0,"",IF(OR(ISNUMBER(SEARCH("소계",A32)),ISNUMBER(SEARCH("합계",A32))),"",TRIM(IF(A32="","항목 없음 ","")&amp;IF(B32="","금액 없음 ",IF(ISNUMBER(B32),"","금액 확인 "))&amp;IF(D32="","낸 사람 없음",""))))</f>
        <v/>
      </c>
      <c r="G32" s="19">
        <f>IF('가족 목록'!A21="","",'가족 목록'!A21)</f>
        <v/>
      </c>
      <c r="H32" s="21">
        <f>IF(G32="","",SUMIF($D$2:$D$301,G32,$B$2:$B$301))</f>
        <v/>
      </c>
      <c r="I32" s="19">
        <f>IF(G32="","",COUNTIF($D$2:$D$301,G32))</f>
        <v/>
      </c>
      <c r="Y32">
        <f>IF(E32="",0,1)</f>
        <v/>
      </c>
    </row>
    <row r="33">
      <c r="A33" s="41" t="n"/>
      <c r="B33" s="24" t="n"/>
      <c r="C33" s="41" t="n"/>
      <c r="D33" s="41" t="n"/>
      <c r="E33" s="19">
        <f>IF(COUNTA(A33:D33)=0,"",IF(OR(ISNUMBER(SEARCH("소계",A33)),ISNUMBER(SEARCH("합계",A33))),"",TRIM(IF(A33="","항목 없음 ","")&amp;IF(B33="","금액 없음 ",IF(ISNUMBER(B33),"","금액 확인 "))&amp;IF(D33="","낸 사람 없음",""))))</f>
        <v/>
      </c>
      <c r="G33" s="19" t="inlineStr">
        <is>
          <t>(낸 사람 없음)</t>
        </is>
      </c>
      <c r="H33" s="21">
        <f>SUMPRODUCT(($D$2:$D$301="")*($A$2:$A$301&lt;&gt;""),$B$2:$B$301)</f>
        <v/>
      </c>
      <c r="I33" s="19">
        <f>SUMPRODUCT(($D$2:$D$301="")*($A$2:$A$301&lt;&gt;""))</f>
        <v/>
      </c>
      <c r="Y33">
        <f>IF(E33="",0,1)</f>
        <v/>
      </c>
    </row>
    <row r="34">
      <c r="A34" s="41" t="n"/>
      <c r="B34" s="24" t="n"/>
      <c r="C34" s="41" t="n"/>
      <c r="D34" s="41" t="n"/>
      <c r="E34" s="19">
        <f>IF(COUNTA(A34:D34)=0,"",IF(OR(ISNUMBER(SEARCH("소계",A34)),ISNUMBER(SEARCH("합계",A34))),"",TRIM(IF(A34="","항목 없음 ","")&amp;IF(B34="","금액 없음 ",IF(ISNUMBER(B34),"","금액 확인 "))&amp;IF(D34="","낸 사람 없음",""))))</f>
        <v/>
      </c>
      <c r="Y34">
        <f>IF(E34="",0,1)</f>
        <v/>
      </c>
    </row>
    <row r="35">
      <c r="A35" s="41" t="n"/>
      <c r="B35" s="24" t="n"/>
      <c r="C35" s="41" t="n"/>
      <c r="D35" s="41" t="n"/>
      <c r="E35" s="19">
        <f>IF(COUNTA(A35:D35)=0,"",IF(OR(ISNUMBER(SEARCH("소계",A35)),ISNUMBER(SEARCH("합계",A35))),"",TRIM(IF(A35="","항목 없음 ","")&amp;IF(B35="","금액 없음 ",IF(ISNUMBER(B35),"","금액 확인 "))&amp;IF(D35="","낸 사람 없음",""))))</f>
        <v/>
      </c>
      <c r="Y35">
        <f>IF(E35="",0,1)</f>
        <v/>
      </c>
    </row>
    <row r="36">
      <c r="A36" s="41" t="n"/>
      <c r="B36" s="24" t="n"/>
      <c r="C36" s="41" t="n"/>
      <c r="D36" s="41" t="n"/>
      <c r="E36" s="19">
        <f>IF(COUNTA(A36:D36)=0,"",IF(OR(ISNUMBER(SEARCH("소계",A36)),ISNUMBER(SEARCH("합계",A36))),"",TRIM(IF(A36="","항목 없음 ","")&amp;IF(B36="","금액 없음 ",IF(ISNUMBER(B36),"","금액 확인 "))&amp;IF(D36="","낸 사람 없음",""))))</f>
        <v/>
      </c>
      <c r="Y36">
        <f>IF(E36="",0,1)</f>
        <v/>
      </c>
    </row>
    <row r="37">
      <c r="A37" s="41" t="n"/>
      <c r="B37" s="24" t="n"/>
      <c r="C37" s="41" t="n"/>
      <c r="D37" s="41" t="n"/>
      <c r="E37" s="19">
        <f>IF(COUNTA(A37:D37)=0,"",IF(OR(ISNUMBER(SEARCH("소계",A37)),ISNUMBER(SEARCH("합계",A37))),"",TRIM(IF(A37="","항목 없음 ","")&amp;IF(B37="","금액 없음 ",IF(ISNUMBER(B37),"","금액 확인 "))&amp;IF(D37="","낸 사람 없음",""))))</f>
        <v/>
      </c>
      <c r="Y37">
        <f>IF(E37="",0,1)</f>
        <v/>
      </c>
    </row>
    <row r="38">
      <c r="A38" s="41" t="n"/>
      <c r="B38" s="24" t="n"/>
      <c r="C38" s="41" t="n"/>
      <c r="D38" s="41" t="n"/>
      <c r="E38" s="19">
        <f>IF(COUNTA(A38:D38)=0,"",IF(OR(ISNUMBER(SEARCH("소계",A38)),ISNUMBER(SEARCH("합계",A38))),"",TRIM(IF(A38="","항목 없음 ","")&amp;IF(B38="","금액 없음 ",IF(ISNUMBER(B38),"","금액 확인 "))&amp;IF(D38="","낸 사람 없음",""))))</f>
        <v/>
      </c>
      <c r="Y38">
        <f>IF(E38="",0,1)</f>
        <v/>
      </c>
    </row>
    <row r="39">
      <c r="A39" s="41" t="n"/>
      <c r="B39" s="24" t="n"/>
      <c r="C39" s="41" t="n"/>
      <c r="D39" s="41" t="n"/>
      <c r="E39" s="19">
        <f>IF(COUNTA(A39:D39)=0,"",IF(OR(ISNUMBER(SEARCH("소계",A39)),ISNUMBER(SEARCH("합계",A39))),"",TRIM(IF(A39="","항목 없음 ","")&amp;IF(B39="","금액 없음 ",IF(ISNUMBER(B39),"","금액 확인 "))&amp;IF(D39="","낸 사람 없음",""))))</f>
        <v/>
      </c>
      <c r="Y39">
        <f>IF(E39="",0,1)</f>
        <v/>
      </c>
    </row>
    <row r="40">
      <c r="A40" s="41" t="n"/>
      <c r="B40" s="24" t="n"/>
      <c r="C40" s="41" t="n"/>
      <c r="D40" s="41" t="n"/>
      <c r="E40" s="19">
        <f>IF(COUNTA(A40:D40)=0,"",IF(OR(ISNUMBER(SEARCH("소계",A40)),ISNUMBER(SEARCH("합계",A40))),"",TRIM(IF(A40="","항목 없음 ","")&amp;IF(B40="","금액 없음 ",IF(ISNUMBER(B40),"","금액 확인 "))&amp;IF(D40="","낸 사람 없음",""))))</f>
        <v/>
      </c>
      <c r="Y40">
        <f>IF(E40="",0,1)</f>
        <v/>
      </c>
    </row>
    <row r="41">
      <c r="A41" s="41" t="n"/>
      <c r="B41" s="24" t="n"/>
      <c r="C41" s="41" t="n"/>
      <c r="D41" s="41" t="n"/>
      <c r="E41" s="19">
        <f>IF(COUNTA(A41:D41)=0,"",IF(OR(ISNUMBER(SEARCH("소계",A41)),ISNUMBER(SEARCH("합계",A41))),"",TRIM(IF(A41="","항목 없음 ","")&amp;IF(B41="","금액 없음 ",IF(ISNUMBER(B41),"","금액 확인 "))&amp;IF(D41="","낸 사람 없음",""))))</f>
        <v/>
      </c>
      <c r="Y41">
        <f>IF(E41="",0,1)</f>
        <v/>
      </c>
    </row>
    <row r="42">
      <c r="A42" s="41" t="n"/>
      <c r="B42" s="24" t="n"/>
      <c r="C42" s="41" t="n"/>
      <c r="D42" s="41" t="n"/>
      <c r="E42" s="19">
        <f>IF(COUNTA(A42:D42)=0,"",IF(OR(ISNUMBER(SEARCH("소계",A42)),ISNUMBER(SEARCH("합계",A42))),"",TRIM(IF(A42="","항목 없음 ","")&amp;IF(B42="","금액 없음 ",IF(ISNUMBER(B42),"","금액 확인 "))&amp;IF(D42="","낸 사람 없음",""))))</f>
        <v/>
      </c>
      <c r="Y42">
        <f>IF(E42="",0,1)</f>
        <v/>
      </c>
    </row>
    <row r="43">
      <c r="A43" s="41" t="n"/>
      <c r="B43" s="24" t="n"/>
      <c r="C43" s="41" t="n"/>
      <c r="D43" s="41" t="n"/>
      <c r="E43" s="19">
        <f>IF(COUNTA(A43:D43)=0,"",IF(OR(ISNUMBER(SEARCH("소계",A43)),ISNUMBER(SEARCH("합계",A43))),"",TRIM(IF(A43="","항목 없음 ","")&amp;IF(B43="","금액 없음 ",IF(ISNUMBER(B43),"","금액 확인 "))&amp;IF(D43="","낸 사람 없음",""))))</f>
        <v/>
      </c>
      <c r="Y43">
        <f>IF(E43="",0,1)</f>
        <v/>
      </c>
    </row>
    <row r="44">
      <c r="A44" s="41" t="n"/>
      <c r="B44" s="24" t="n"/>
      <c r="C44" s="41" t="n"/>
      <c r="D44" s="41" t="n"/>
      <c r="E44" s="19">
        <f>IF(COUNTA(A44:D44)=0,"",IF(OR(ISNUMBER(SEARCH("소계",A44)),ISNUMBER(SEARCH("합계",A44))),"",TRIM(IF(A44="","항목 없음 ","")&amp;IF(B44="","금액 없음 ",IF(ISNUMBER(B44),"","금액 확인 "))&amp;IF(D44="","낸 사람 없음",""))))</f>
        <v/>
      </c>
      <c r="Y44">
        <f>IF(E44="",0,1)</f>
        <v/>
      </c>
    </row>
    <row r="45">
      <c r="A45" s="41" t="n"/>
      <c r="B45" s="24" t="n"/>
      <c r="C45" s="41" t="n"/>
      <c r="D45" s="41" t="n"/>
      <c r="E45" s="19">
        <f>IF(COUNTA(A45:D45)=0,"",IF(OR(ISNUMBER(SEARCH("소계",A45)),ISNUMBER(SEARCH("합계",A45))),"",TRIM(IF(A45="","항목 없음 ","")&amp;IF(B45="","금액 없음 ",IF(ISNUMBER(B45),"","금액 확인 "))&amp;IF(D45="","낸 사람 없음",""))))</f>
        <v/>
      </c>
      <c r="Y45">
        <f>IF(E45="",0,1)</f>
        <v/>
      </c>
    </row>
    <row r="46">
      <c r="A46" s="41" t="n"/>
      <c r="B46" s="24" t="n"/>
      <c r="C46" s="41" t="n"/>
      <c r="D46" s="41" t="n"/>
      <c r="E46" s="19">
        <f>IF(COUNTA(A46:D46)=0,"",IF(OR(ISNUMBER(SEARCH("소계",A46)),ISNUMBER(SEARCH("합계",A46))),"",TRIM(IF(A46="","항목 없음 ","")&amp;IF(B46="","금액 없음 ",IF(ISNUMBER(B46),"","금액 확인 "))&amp;IF(D46="","낸 사람 없음",""))))</f>
        <v/>
      </c>
      <c r="Y46">
        <f>IF(E46="",0,1)</f>
        <v/>
      </c>
    </row>
    <row r="47">
      <c r="A47" s="41" t="n"/>
      <c r="B47" s="24" t="n"/>
      <c r="C47" s="41" t="n"/>
      <c r="D47" s="41" t="n"/>
      <c r="E47" s="19">
        <f>IF(COUNTA(A47:D47)=0,"",IF(OR(ISNUMBER(SEARCH("소계",A47)),ISNUMBER(SEARCH("합계",A47))),"",TRIM(IF(A47="","항목 없음 ","")&amp;IF(B47="","금액 없음 ",IF(ISNUMBER(B47),"","금액 확인 "))&amp;IF(D47="","낸 사람 없음",""))))</f>
        <v/>
      </c>
      <c r="Y47">
        <f>IF(E47="",0,1)</f>
        <v/>
      </c>
    </row>
    <row r="48">
      <c r="A48" s="41" t="n"/>
      <c r="B48" s="24" t="n"/>
      <c r="C48" s="41" t="n"/>
      <c r="D48" s="41" t="n"/>
      <c r="E48" s="19">
        <f>IF(COUNTA(A48:D48)=0,"",IF(OR(ISNUMBER(SEARCH("소계",A48)),ISNUMBER(SEARCH("합계",A48))),"",TRIM(IF(A48="","항목 없음 ","")&amp;IF(B48="","금액 없음 ",IF(ISNUMBER(B48),"","금액 확인 "))&amp;IF(D48="","낸 사람 없음",""))))</f>
        <v/>
      </c>
      <c r="Y48">
        <f>IF(E48="",0,1)</f>
        <v/>
      </c>
    </row>
    <row r="49">
      <c r="A49" s="41" t="n"/>
      <c r="B49" s="24" t="n"/>
      <c r="C49" s="41" t="n"/>
      <c r="D49" s="41" t="n"/>
      <c r="E49" s="19">
        <f>IF(COUNTA(A49:D49)=0,"",IF(OR(ISNUMBER(SEARCH("소계",A49)),ISNUMBER(SEARCH("합계",A49))),"",TRIM(IF(A49="","항목 없음 ","")&amp;IF(B49="","금액 없음 ",IF(ISNUMBER(B49),"","금액 확인 "))&amp;IF(D49="","낸 사람 없음",""))))</f>
        <v/>
      </c>
      <c r="Y49">
        <f>IF(E49="",0,1)</f>
        <v/>
      </c>
    </row>
    <row r="50">
      <c r="A50" s="41" t="n"/>
      <c r="B50" s="24" t="n"/>
      <c r="C50" s="41" t="n"/>
      <c r="D50" s="41" t="n"/>
      <c r="E50" s="19">
        <f>IF(COUNTA(A50:D50)=0,"",IF(OR(ISNUMBER(SEARCH("소계",A50)),ISNUMBER(SEARCH("합계",A50))),"",TRIM(IF(A50="","항목 없음 ","")&amp;IF(B50="","금액 없음 ",IF(ISNUMBER(B50),"","금액 확인 "))&amp;IF(D50="","낸 사람 없음",""))))</f>
        <v/>
      </c>
      <c r="Y50">
        <f>IF(E50="",0,1)</f>
        <v/>
      </c>
    </row>
    <row r="51">
      <c r="A51" s="41" t="n"/>
      <c r="B51" s="24" t="n"/>
      <c r="C51" s="41" t="n"/>
      <c r="D51" s="41" t="n"/>
      <c r="E51" s="19">
        <f>IF(COUNTA(A51:D51)=0,"",IF(OR(ISNUMBER(SEARCH("소계",A51)),ISNUMBER(SEARCH("합계",A51))),"",TRIM(IF(A51="","항목 없음 ","")&amp;IF(B51="","금액 없음 ",IF(ISNUMBER(B51),"","금액 확인 "))&amp;IF(D51="","낸 사람 없음",""))))</f>
        <v/>
      </c>
      <c r="Y51">
        <f>IF(E51="",0,1)</f>
        <v/>
      </c>
    </row>
    <row r="52">
      <c r="A52" s="41" t="n"/>
      <c r="B52" s="24" t="n"/>
      <c r="C52" s="41" t="n"/>
      <c r="D52" s="41" t="n"/>
      <c r="E52" s="19">
        <f>IF(COUNTA(A52:D52)=0,"",IF(OR(ISNUMBER(SEARCH("소계",A52)),ISNUMBER(SEARCH("합계",A52))),"",TRIM(IF(A52="","항목 없음 ","")&amp;IF(B52="","금액 없음 ",IF(ISNUMBER(B52),"","금액 확인 "))&amp;IF(D52="","낸 사람 없음",""))))</f>
        <v/>
      </c>
      <c r="Y52">
        <f>IF(E52="",0,1)</f>
        <v/>
      </c>
    </row>
    <row r="53">
      <c r="A53" s="41" t="n"/>
      <c r="B53" s="24" t="n"/>
      <c r="C53" s="41" t="n"/>
      <c r="D53" s="41" t="n"/>
      <c r="E53" s="19">
        <f>IF(COUNTA(A53:D53)=0,"",IF(OR(ISNUMBER(SEARCH("소계",A53)),ISNUMBER(SEARCH("합계",A53))),"",TRIM(IF(A53="","항목 없음 ","")&amp;IF(B53="","금액 없음 ",IF(ISNUMBER(B53),"","금액 확인 "))&amp;IF(D53="","낸 사람 없음",""))))</f>
        <v/>
      </c>
      <c r="Y53">
        <f>IF(E53="",0,1)</f>
        <v/>
      </c>
    </row>
    <row r="54">
      <c r="A54" s="41" t="n"/>
      <c r="B54" s="24" t="n"/>
      <c r="C54" s="41" t="n"/>
      <c r="D54" s="41" t="n"/>
      <c r="E54" s="19">
        <f>IF(COUNTA(A54:D54)=0,"",IF(OR(ISNUMBER(SEARCH("소계",A54)),ISNUMBER(SEARCH("합계",A54))),"",TRIM(IF(A54="","항목 없음 ","")&amp;IF(B54="","금액 없음 ",IF(ISNUMBER(B54),"","금액 확인 "))&amp;IF(D54="","낸 사람 없음",""))))</f>
        <v/>
      </c>
      <c r="Y54">
        <f>IF(E54="",0,1)</f>
        <v/>
      </c>
    </row>
    <row r="55">
      <c r="A55" s="41" t="n"/>
      <c r="B55" s="24" t="n"/>
      <c r="C55" s="41" t="n"/>
      <c r="D55" s="41" t="n"/>
      <c r="E55" s="19">
        <f>IF(COUNTA(A55:D55)=0,"",IF(OR(ISNUMBER(SEARCH("소계",A55)),ISNUMBER(SEARCH("합계",A55))),"",TRIM(IF(A55="","항목 없음 ","")&amp;IF(B55="","금액 없음 ",IF(ISNUMBER(B55),"","금액 확인 "))&amp;IF(D55="","낸 사람 없음",""))))</f>
        <v/>
      </c>
      <c r="Y55">
        <f>IF(E55="",0,1)</f>
        <v/>
      </c>
    </row>
    <row r="56">
      <c r="A56" s="41" t="n"/>
      <c r="B56" s="24" t="n"/>
      <c r="C56" s="41" t="n"/>
      <c r="D56" s="41" t="n"/>
      <c r="E56" s="19">
        <f>IF(COUNTA(A56:D56)=0,"",IF(OR(ISNUMBER(SEARCH("소계",A56)),ISNUMBER(SEARCH("합계",A56))),"",TRIM(IF(A56="","항목 없음 ","")&amp;IF(B56="","금액 없음 ",IF(ISNUMBER(B56),"","금액 확인 "))&amp;IF(D56="","낸 사람 없음",""))))</f>
        <v/>
      </c>
      <c r="Y56">
        <f>IF(E56="",0,1)</f>
        <v/>
      </c>
    </row>
    <row r="57">
      <c r="A57" s="41" t="n"/>
      <c r="B57" s="24" t="n"/>
      <c r="C57" s="41" t="n"/>
      <c r="D57" s="41" t="n"/>
      <c r="E57" s="19">
        <f>IF(COUNTA(A57:D57)=0,"",IF(OR(ISNUMBER(SEARCH("소계",A57)),ISNUMBER(SEARCH("합계",A57))),"",TRIM(IF(A57="","항목 없음 ","")&amp;IF(B57="","금액 없음 ",IF(ISNUMBER(B57),"","금액 확인 "))&amp;IF(D57="","낸 사람 없음",""))))</f>
        <v/>
      </c>
      <c r="Y57">
        <f>IF(E57="",0,1)</f>
        <v/>
      </c>
    </row>
    <row r="58">
      <c r="A58" s="41" t="n"/>
      <c r="B58" s="24" t="n"/>
      <c r="C58" s="41" t="n"/>
      <c r="D58" s="41" t="n"/>
      <c r="E58" s="19">
        <f>IF(COUNTA(A58:D58)=0,"",IF(OR(ISNUMBER(SEARCH("소계",A58)),ISNUMBER(SEARCH("합계",A58))),"",TRIM(IF(A58="","항목 없음 ","")&amp;IF(B58="","금액 없음 ",IF(ISNUMBER(B58),"","금액 확인 "))&amp;IF(D58="","낸 사람 없음",""))))</f>
        <v/>
      </c>
      <c r="Y58">
        <f>IF(E58="",0,1)</f>
        <v/>
      </c>
    </row>
    <row r="59">
      <c r="A59" s="41" t="n"/>
      <c r="B59" s="24" t="n"/>
      <c r="C59" s="41" t="n"/>
      <c r="D59" s="41" t="n"/>
      <c r="E59" s="19">
        <f>IF(COUNTA(A59:D59)=0,"",IF(OR(ISNUMBER(SEARCH("소계",A59)),ISNUMBER(SEARCH("합계",A59))),"",TRIM(IF(A59="","항목 없음 ","")&amp;IF(B59="","금액 없음 ",IF(ISNUMBER(B59),"","금액 확인 "))&amp;IF(D59="","낸 사람 없음",""))))</f>
        <v/>
      </c>
      <c r="Y59">
        <f>IF(E59="",0,1)</f>
        <v/>
      </c>
    </row>
    <row r="60">
      <c r="A60" s="41" t="n"/>
      <c r="B60" s="24" t="n"/>
      <c r="C60" s="41" t="n"/>
      <c r="D60" s="41" t="n"/>
      <c r="E60" s="19">
        <f>IF(COUNTA(A60:D60)=0,"",IF(OR(ISNUMBER(SEARCH("소계",A60)),ISNUMBER(SEARCH("합계",A60))),"",TRIM(IF(A60="","항목 없음 ","")&amp;IF(B60="","금액 없음 ",IF(ISNUMBER(B60),"","금액 확인 "))&amp;IF(D60="","낸 사람 없음",""))))</f>
        <v/>
      </c>
      <c r="Y60">
        <f>IF(E60="",0,1)</f>
        <v/>
      </c>
    </row>
    <row r="61">
      <c r="A61" s="41" t="n"/>
      <c r="B61" s="24" t="n"/>
      <c r="C61" s="41" t="n"/>
      <c r="D61" s="41" t="n"/>
      <c r="E61" s="19">
        <f>IF(COUNTA(A61:D61)=0,"",IF(OR(ISNUMBER(SEARCH("소계",A61)),ISNUMBER(SEARCH("합계",A61))),"",TRIM(IF(A61="","항목 없음 ","")&amp;IF(B61="","금액 없음 ",IF(ISNUMBER(B61),"","금액 확인 "))&amp;IF(D61="","낸 사람 없음",""))))</f>
        <v/>
      </c>
      <c r="Y61">
        <f>IF(E61="",0,1)</f>
        <v/>
      </c>
    </row>
    <row r="62">
      <c r="A62" s="41" t="n"/>
      <c r="B62" s="24" t="n"/>
      <c r="C62" s="41" t="n"/>
      <c r="D62" s="41" t="n"/>
      <c r="E62" s="19">
        <f>IF(COUNTA(A62:D62)=0,"",IF(OR(ISNUMBER(SEARCH("소계",A62)),ISNUMBER(SEARCH("합계",A62))),"",TRIM(IF(A62="","항목 없음 ","")&amp;IF(B62="","금액 없음 ",IF(ISNUMBER(B62),"","금액 확인 "))&amp;IF(D62="","낸 사람 없음",""))))</f>
        <v/>
      </c>
      <c r="Y62">
        <f>IF(E62="",0,1)</f>
        <v/>
      </c>
    </row>
    <row r="63">
      <c r="A63" s="41" t="n"/>
      <c r="B63" s="24" t="n"/>
      <c r="C63" s="41" t="n"/>
      <c r="D63" s="41" t="n"/>
      <c r="E63" s="19">
        <f>IF(COUNTA(A63:D63)=0,"",IF(OR(ISNUMBER(SEARCH("소계",A63)),ISNUMBER(SEARCH("합계",A63))),"",TRIM(IF(A63="","항목 없음 ","")&amp;IF(B63="","금액 없음 ",IF(ISNUMBER(B63),"","금액 확인 "))&amp;IF(D63="","낸 사람 없음",""))))</f>
        <v/>
      </c>
      <c r="Y63">
        <f>IF(E63="",0,1)</f>
        <v/>
      </c>
    </row>
    <row r="64">
      <c r="A64" s="41" t="n"/>
      <c r="B64" s="24" t="n"/>
      <c r="C64" s="41" t="n"/>
      <c r="D64" s="41" t="n"/>
      <c r="E64" s="19">
        <f>IF(COUNTA(A64:D64)=0,"",IF(OR(ISNUMBER(SEARCH("소계",A64)),ISNUMBER(SEARCH("합계",A64))),"",TRIM(IF(A64="","항목 없음 ","")&amp;IF(B64="","금액 없음 ",IF(ISNUMBER(B64),"","금액 확인 "))&amp;IF(D64="","낸 사람 없음",""))))</f>
        <v/>
      </c>
      <c r="Y64">
        <f>IF(E64="",0,1)</f>
        <v/>
      </c>
    </row>
    <row r="65">
      <c r="A65" s="41" t="n"/>
      <c r="B65" s="24" t="n"/>
      <c r="C65" s="41" t="n"/>
      <c r="D65" s="41" t="n"/>
      <c r="E65" s="19">
        <f>IF(COUNTA(A65:D65)=0,"",IF(OR(ISNUMBER(SEARCH("소계",A65)),ISNUMBER(SEARCH("합계",A65))),"",TRIM(IF(A65="","항목 없음 ","")&amp;IF(B65="","금액 없음 ",IF(ISNUMBER(B65),"","금액 확인 "))&amp;IF(D65="","낸 사람 없음",""))))</f>
        <v/>
      </c>
      <c r="Y65">
        <f>IF(E65="",0,1)</f>
        <v/>
      </c>
    </row>
    <row r="66">
      <c r="A66" s="41" t="n"/>
      <c r="B66" s="24" t="n"/>
      <c r="C66" s="41" t="n"/>
      <c r="D66" s="41" t="n"/>
      <c r="E66" s="19">
        <f>IF(COUNTA(A66:D66)=0,"",IF(OR(ISNUMBER(SEARCH("소계",A66)),ISNUMBER(SEARCH("합계",A66))),"",TRIM(IF(A66="","항목 없음 ","")&amp;IF(B66="","금액 없음 ",IF(ISNUMBER(B66),"","금액 확인 "))&amp;IF(D66="","낸 사람 없음",""))))</f>
        <v/>
      </c>
      <c r="Y66">
        <f>IF(E66="",0,1)</f>
        <v/>
      </c>
    </row>
    <row r="67">
      <c r="A67" s="41" t="n"/>
      <c r="B67" s="24" t="n"/>
      <c r="C67" s="41" t="n"/>
      <c r="D67" s="41" t="n"/>
      <c r="E67" s="19">
        <f>IF(COUNTA(A67:D67)=0,"",IF(OR(ISNUMBER(SEARCH("소계",A67)),ISNUMBER(SEARCH("합계",A67))),"",TRIM(IF(A67="","항목 없음 ","")&amp;IF(B67="","금액 없음 ",IF(ISNUMBER(B67),"","금액 확인 "))&amp;IF(D67="","낸 사람 없음",""))))</f>
        <v/>
      </c>
      <c r="Y67">
        <f>IF(E67="",0,1)</f>
        <v/>
      </c>
    </row>
    <row r="68">
      <c r="A68" s="41" t="n"/>
      <c r="B68" s="24" t="n"/>
      <c r="C68" s="41" t="n"/>
      <c r="D68" s="41" t="n"/>
      <c r="E68" s="19">
        <f>IF(COUNTA(A68:D68)=0,"",IF(OR(ISNUMBER(SEARCH("소계",A68)),ISNUMBER(SEARCH("합계",A68))),"",TRIM(IF(A68="","항목 없음 ","")&amp;IF(B68="","금액 없음 ",IF(ISNUMBER(B68),"","금액 확인 "))&amp;IF(D68="","낸 사람 없음",""))))</f>
        <v/>
      </c>
      <c r="Y68">
        <f>IF(E68="",0,1)</f>
        <v/>
      </c>
    </row>
    <row r="69">
      <c r="A69" s="41" t="n"/>
      <c r="B69" s="24" t="n"/>
      <c r="C69" s="41" t="n"/>
      <c r="D69" s="41" t="n"/>
      <c r="E69" s="19">
        <f>IF(COUNTA(A69:D69)=0,"",IF(OR(ISNUMBER(SEARCH("소계",A69)),ISNUMBER(SEARCH("합계",A69))),"",TRIM(IF(A69="","항목 없음 ","")&amp;IF(B69="","금액 없음 ",IF(ISNUMBER(B69),"","금액 확인 "))&amp;IF(D69="","낸 사람 없음",""))))</f>
        <v/>
      </c>
      <c r="Y69">
        <f>IF(E69="",0,1)</f>
        <v/>
      </c>
    </row>
    <row r="70">
      <c r="A70" s="41" t="n"/>
      <c r="B70" s="24" t="n"/>
      <c r="C70" s="41" t="n"/>
      <c r="D70" s="41" t="n"/>
      <c r="E70" s="19">
        <f>IF(COUNTA(A70:D70)=0,"",IF(OR(ISNUMBER(SEARCH("소계",A70)),ISNUMBER(SEARCH("합계",A70))),"",TRIM(IF(A70="","항목 없음 ","")&amp;IF(B70="","금액 없음 ",IF(ISNUMBER(B70),"","금액 확인 "))&amp;IF(D70="","낸 사람 없음",""))))</f>
        <v/>
      </c>
      <c r="Y70">
        <f>IF(E70="",0,1)</f>
        <v/>
      </c>
    </row>
    <row r="71">
      <c r="A71" s="41" t="n"/>
      <c r="B71" s="24" t="n"/>
      <c r="C71" s="41" t="n"/>
      <c r="D71" s="41" t="n"/>
      <c r="E71" s="19">
        <f>IF(COUNTA(A71:D71)=0,"",IF(OR(ISNUMBER(SEARCH("소계",A71)),ISNUMBER(SEARCH("합계",A71))),"",TRIM(IF(A71="","항목 없음 ","")&amp;IF(B71="","금액 없음 ",IF(ISNUMBER(B71),"","금액 확인 "))&amp;IF(D71="","낸 사람 없음",""))))</f>
        <v/>
      </c>
      <c r="Y71">
        <f>IF(E71="",0,1)</f>
        <v/>
      </c>
    </row>
    <row r="72">
      <c r="A72" s="41" t="n"/>
      <c r="B72" s="24" t="n"/>
      <c r="C72" s="41" t="n"/>
      <c r="D72" s="41" t="n"/>
      <c r="E72" s="19">
        <f>IF(COUNTA(A72:D72)=0,"",IF(OR(ISNUMBER(SEARCH("소계",A72)),ISNUMBER(SEARCH("합계",A72))),"",TRIM(IF(A72="","항목 없음 ","")&amp;IF(B72="","금액 없음 ",IF(ISNUMBER(B72),"","금액 확인 "))&amp;IF(D72="","낸 사람 없음",""))))</f>
        <v/>
      </c>
      <c r="Y72">
        <f>IF(E72="",0,1)</f>
        <v/>
      </c>
    </row>
    <row r="73">
      <c r="A73" s="41" t="n"/>
      <c r="B73" s="24" t="n"/>
      <c r="C73" s="41" t="n"/>
      <c r="D73" s="41" t="n"/>
      <c r="E73" s="19">
        <f>IF(COUNTA(A73:D73)=0,"",IF(OR(ISNUMBER(SEARCH("소계",A73)),ISNUMBER(SEARCH("합계",A73))),"",TRIM(IF(A73="","항목 없음 ","")&amp;IF(B73="","금액 없음 ",IF(ISNUMBER(B73),"","금액 확인 "))&amp;IF(D73="","낸 사람 없음",""))))</f>
        <v/>
      </c>
      <c r="Y73">
        <f>IF(E73="",0,1)</f>
        <v/>
      </c>
    </row>
    <row r="74">
      <c r="A74" s="41" t="n"/>
      <c r="B74" s="24" t="n"/>
      <c r="C74" s="41" t="n"/>
      <c r="D74" s="41" t="n"/>
      <c r="E74" s="19">
        <f>IF(COUNTA(A74:D74)=0,"",IF(OR(ISNUMBER(SEARCH("소계",A74)),ISNUMBER(SEARCH("합계",A74))),"",TRIM(IF(A74="","항목 없음 ","")&amp;IF(B74="","금액 없음 ",IF(ISNUMBER(B74),"","금액 확인 "))&amp;IF(D74="","낸 사람 없음",""))))</f>
        <v/>
      </c>
      <c r="Y74">
        <f>IF(E74="",0,1)</f>
        <v/>
      </c>
    </row>
    <row r="75">
      <c r="A75" s="41" t="n"/>
      <c r="B75" s="24" t="n"/>
      <c r="C75" s="41" t="n"/>
      <c r="D75" s="41" t="n"/>
      <c r="E75" s="19">
        <f>IF(COUNTA(A75:D75)=0,"",IF(OR(ISNUMBER(SEARCH("소계",A75)),ISNUMBER(SEARCH("합계",A75))),"",TRIM(IF(A75="","항목 없음 ","")&amp;IF(B75="","금액 없음 ",IF(ISNUMBER(B75),"","금액 확인 "))&amp;IF(D75="","낸 사람 없음",""))))</f>
        <v/>
      </c>
      <c r="Y75">
        <f>IF(E75="",0,1)</f>
        <v/>
      </c>
    </row>
    <row r="76">
      <c r="A76" s="41" t="n"/>
      <c r="B76" s="24" t="n"/>
      <c r="C76" s="41" t="n"/>
      <c r="D76" s="41" t="n"/>
      <c r="E76" s="19">
        <f>IF(COUNTA(A76:D76)=0,"",IF(OR(ISNUMBER(SEARCH("소계",A76)),ISNUMBER(SEARCH("합계",A76))),"",TRIM(IF(A76="","항목 없음 ","")&amp;IF(B76="","금액 없음 ",IF(ISNUMBER(B76),"","금액 확인 "))&amp;IF(D76="","낸 사람 없음",""))))</f>
        <v/>
      </c>
      <c r="Y76">
        <f>IF(E76="",0,1)</f>
        <v/>
      </c>
    </row>
    <row r="77">
      <c r="A77" s="41" t="n"/>
      <c r="B77" s="24" t="n"/>
      <c r="C77" s="41" t="n"/>
      <c r="D77" s="41" t="n"/>
      <c r="E77" s="19">
        <f>IF(COUNTA(A77:D77)=0,"",IF(OR(ISNUMBER(SEARCH("소계",A77)),ISNUMBER(SEARCH("합계",A77))),"",TRIM(IF(A77="","항목 없음 ","")&amp;IF(B77="","금액 없음 ",IF(ISNUMBER(B77),"","금액 확인 "))&amp;IF(D77="","낸 사람 없음",""))))</f>
        <v/>
      </c>
      <c r="Y77">
        <f>IF(E77="",0,1)</f>
        <v/>
      </c>
    </row>
    <row r="78">
      <c r="A78" s="41" t="n"/>
      <c r="B78" s="24" t="n"/>
      <c r="C78" s="41" t="n"/>
      <c r="D78" s="41" t="n"/>
      <c r="E78" s="19">
        <f>IF(COUNTA(A78:D78)=0,"",IF(OR(ISNUMBER(SEARCH("소계",A78)),ISNUMBER(SEARCH("합계",A78))),"",TRIM(IF(A78="","항목 없음 ","")&amp;IF(B78="","금액 없음 ",IF(ISNUMBER(B78),"","금액 확인 "))&amp;IF(D78="","낸 사람 없음",""))))</f>
        <v/>
      </c>
      <c r="Y78">
        <f>IF(E78="",0,1)</f>
        <v/>
      </c>
    </row>
    <row r="79">
      <c r="A79" s="41" t="n"/>
      <c r="B79" s="24" t="n"/>
      <c r="C79" s="41" t="n"/>
      <c r="D79" s="41" t="n"/>
      <c r="E79" s="19">
        <f>IF(COUNTA(A79:D79)=0,"",IF(OR(ISNUMBER(SEARCH("소계",A79)),ISNUMBER(SEARCH("합계",A79))),"",TRIM(IF(A79="","항목 없음 ","")&amp;IF(B79="","금액 없음 ",IF(ISNUMBER(B79),"","금액 확인 "))&amp;IF(D79="","낸 사람 없음",""))))</f>
        <v/>
      </c>
      <c r="Y79">
        <f>IF(E79="",0,1)</f>
        <v/>
      </c>
    </row>
    <row r="80">
      <c r="A80" s="41" t="n"/>
      <c r="B80" s="24" t="n"/>
      <c r="C80" s="41" t="n"/>
      <c r="D80" s="41" t="n"/>
      <c r="E80" s="19">
        <f>IF(COUNTA(A80:D80)=0,"",IF(OR(ISNUMBER(SEARCH("소계",A80)),ISNUMBER(SEARCH("합계",A80))),"",TRIM(IF(A80="","항목 없음 ","")&amp;IF(B80="","금액 없음 ",IF(ISNUMBER(B80),"","금액 확인 "))&amp;IF(D80="","낸 사람 없음",""))))</f>
        <v/>
      </c>
      <c r="Y80">
        <f>IF(E80="",0,1)</f>
        <v/>
      </c>
    </row>
    <row r="81">
      <c r="A81" s="41" t="n"/>
      <c r="B81" s="24" t="n"/>
      <c r="C81" s="41" t="n"/>
      <c r="D81" s="41" t="n"/>
      <c r="E81" s="19">
        <f>IF(COUNTA(A81:D81)=0,"",IF(OR(ISNUMBER(SEARCH("소계",A81)),ISNUMBER(SEARCH("합계",A81))),"",TRIM(IF(A81="","항목 없음 ","")&amp;IF(B81="","금액 없음 ",IF(ISNUMBER(B81),"","금액 확인 "))&amp;IF(D81="","낸 사람 없음",""))))</f>
        <v/>
      </c>
      <c r="Y81">
        <f>IF(E81="",0,1)</f>
        <v/>
      </c>
    </row>
    <row r="82">
      <c r="A82" s="41" t="n"/>
      <c r="B82" s="24" t="n"/>
      <c r="C82" s="41" t="n"/>
      <c r="D82" s="41" t="n"/>
      <c r="E82" s="19">
        <f>IF(COUNTA(A82:D82)=0,"",IF(OR(ISNUMBER(SEARCH("소계",A82)),ISNUMBER(SEARCH("합계",A82))),"",TRIM(IF(A82="","항목 없음 ","")&amp;IF(B82="","금액 없음 ",IF(ISNUMBER(B82),"","금액 확인 "))&amp;IF(D82="","낸 사람 없음",""))))</f>
        <v/>
      </c>
      <c r="Y82">
        <f>IF(E82="",0,1)</f>
        <v/>
      </c>
    </row>
    <row r="83">
      <c r="A83" s="41" t="n"/>
      <c r="B83" s="24" t="n"/>
      <c r="C83" s="41" t="n"/>
      <c r="D83" s="41" t="n"/>
      <c r="E83" s="19">
        <f>IF(COUNTA(A83:D83)=0,"",IF(OR(ISNUMBER(SEARCH("소계",A83)),ISNUMBER(SEARCH("합계",A83))),"",TRIM(IF(A83="","항목 없음 ","")&amp;IF(B83="","금액 없음 ",IF(ISNUMBER(B83),"","금액 확인 "))&amp;IF(D83="","낸 사람 없음",""))))</f>
        <v/>
      </c>
      <c r="Y83">
        <f>IF(E83="",0,1)</f>
        <v/>
      </c>
    </row>
    <row r="84">
      <c r="A84" s="41" t="n"/>
      <c r="B84" s="24" t="n"/>
      <c r="C84" s="41" t="n"/>
      <c r="D84" s="41" t="n"/>
      <c r="E84" s="19">
        <f>IF(COUNTA(A84:D84)=0,"",IF(OR(ISNUMBER(SEARCH("소계",A84)),ISNUMBER(SEARCH("합계",A84))),"",TRIM(IF(A84="","항목 없음 ","")&amp;IF(B84="","금액 없음 ",IF(ISNUMBER(B84),"","금액 확인 "))&amp;IF(D84="","낸 사람 없음",""))))</f>
        <v/>
      </c>
      <c r="Y84">
        <f>IF(E84="",0,1)</f>
        <v/>
      </c>
    </row>
    <row r="85">
      <c r="A85" s="41" t="n"/>
      <c r="B85" s="24" t="n"/>
      <c r="C85" s="41" t="n"/>
      <c r="D85" s="41" t="n"/>
      <c r="E85" s="19">
        <f>IF(COUNTA(A85:D85)=0,"",IF(OR(ISNUMBER(SEARCH("소계",A85)),ISNUMBER(SEARCH("합계",A85))),"",TRIM(IF(A85="","항목 없음 ","")&amp;IF(B85="","금액 없음 ",IF(ISNUMBER(B85),"","금액 확인 "))&amp;IF(D85="","낸 사람 없음",""))))</f>
        <v/>
      </c>
      <c r="Y85">
        <f>IF(E85="",0,1)</f>
        <v/>
      </c>
    </row>
    <row r="86">
      <c r="A86" s="41" t="n"/>
      <c r="B86" s="24" t="n"/>
      <c r="C86" s="41" t="n"/>
      <c r="D86" s="41" t="n"/>
      <c r="E86" s="19">
        <f>IF(COUNTA(A86:D86)=0,"",IF(OR(ISNUMBER(SEARCH("소계",A86)),ISNUMBER(SEARCH("합계",A86))),"",TRIM(IF(A86="","항목 없음 ","")&amp;IF(B86="","금액 없음 ",IF(ISNUMBER(B86),"","금액 확인 "))&amp;IF(D86="","낸 사람 없음",""))))</f>
        <v/>
      </c>
      <c r="Y86">
        <f>IF(E86="",0,1)</f>
        <v/>
      </c>
    </row>
    <row r="87">
      <c r="A87" s="41" t="n"/>
      <c r="B87" s="24" t="n"/>
      <c r="C87" s="41" t="n"/>
      <c r="D87" s="41" t="n"/>
      <c r="E87" s="19">
        <f>IF(COUNTA(A87:D87)=0,"",IF(OR(ISNUMBER(SEARCH("소계",A87)),ISNUMBER(SEARCH("합계",A87))),"",TRIM(IF(A87="","항목 없음 ","")&amp;IF(B87="","금액 없음 ",IF(ISNUMBER(B87),"","금액 확인 "))&amp;IF(D87="","낸 사람 없음",""))))</f>
        <v/>
      </c>
      <c r="Y87">
        <f>IF(E87="",0,1)</f>
        <v/>
      </c>
    </row>
    <row r="88">
      <c r="A88" s="41" t="n"/>
      <c r="B88" s="24" t="n"/>
      <c r="C88" s="41" t="n"/>
      <c r="D88" s="41" t="n"/>
      <c r="E88" s="19">
        <f>IF(COUNTA(A88:D88)=0,"",IF(OR(ISNUMBER(SEARCH("소계",A88)),ISNUMBER(SEARCH("합계",A88))),"",TRIM(IF(A88="","항목 없음 ","")&amp;IF(B88="","금액 없음 ",IF(ISNUMBER(B88),"","금액 확인 "))&amp;IF(D88="","낸 사람 없음",""))))</f>
        <v/>
      </c>
      <c r="Y88">
        <f>IF(E88="",0,1)</f>
        <v/>
      </c>
    </row>
    <row r="89">
      <c r="A89" s="41" t="n"/>
      <c r="B89" s="24" t="n"/>
      <c r="C89" s="41" t="n"/>
      <c r="D89" s="41" t="n"/>
      <c r="E89" s="19">
        <f>IF(COUNTA(A89:D89)=0,"",IF(OR(ISNUMBER(SEARCH("소계",A89)),ISNUMBER(SEARCH("합계",A89))),"",TRIM(IF(A89="","항목 없음 ","")&amp;IF(B89="","금액 없음 ",IF(ISNUMBER(B89),"","금액 확인 "))&amp;IF(D89="","낸 사람 없음",""))))</f>
        <v/>
      </c>
      <c r="Y89">
        <f>IF(E89="",0,1)</f>
        <v/>
      </c>
    </row>
    <row r="90">
      <c r="A90" s="41" t="n"/>
      <c r="B90" s="24" t="n"/>
      <c r="C90" s="41" t="n"/>
      <c r="D90" s="41" t="n"/>
      <c r="E90" s="19">
        <f>IF(COUNTA(A90:D90)=0,"",IF(OR(ISNUMBER(SEARCH("소계",A90)),ISNUMBER(SEARCH("합계",A90))),"",TRIM(IF(A90="","항목 없음 ","")&amp;IF(B90="","금액 없음 ",IF(ISNUMBER(B90),"","금액 확인 "))&amp;IF(D90="","낸 사람 없음",""))))</f>
        <v/>
      </c>
      <c r="Y90">
        <f>IF(E90="",0,1)</f>
        <v/>
      </c>
    </row>
    <row r="91">
      <c r="A91" s="41" t="n"/>
      <c r="B91" s="24" t="n"/>
      <c r="C91" s="41" t="n"/>
      <c r="D91" s="41" t="n"/>
      <c r="E91" s="19">
        <f>IF(COUNTA(A91:D91)=0,"",IF(OR(ISNUMBER(SEARCH("소계",A91)),ISNUMBER(SEARCH("합계",A91))),"",TRIM(IF(A91="","항목 없음 ","")&amp;IF(B91="","금액 없음 ",IF(ISNUMBER(B91),"","금액 확인 "))&amp;IF(D91="","낸 사람 없음",""))))</f>
        <v/>
      </c>
      <c r="Y91">
        <f>IF(E91="",0,1)</f>
        <v/>
      </c>
    </row>
    <row r="92">
      <c r="A92" s="41" t="n"/>
      <c r="B92" s="24" t="n"/>
      <c r="C92" s="41" t="n"/>
      <c r="D92" s="41" t="n"/>
      <c r="E92" s="19">
        <f>IF(COUNTA(A92:D92)=0,"",IF(OR(ISNUMBER(SEARCH("소계",A92)),ISNUMBER(SEARCH("합계",A92))),"",TRIM(IF(A92="","항목 없음 ","")&amp;IF(B92="","금액 없음 ",IF(ISNUMBER(B92),"","금액 확인 "))&amp;IF(D92="","낸 사람 없음",""))))</f>
        <v/>
      </c>
      <c r="Y92">
        <f>IF(E92="",0,1)</f>
        <v/>
      </c>
    </row>
    <row r="93">
      <c r="A93" s="41" t="n"/>
      <c r="B93" s="24" t="n"/>
      <c r="C93" s="41" t="n"/>
      <c r="D93" s="41" t="n"/>
      <c r="E93" s="19">
        <f>IF(COUNTA(A93:D93)=0,"",IF(OR(ISNUMBER(SEARCH("소계",A93)),ISNUMBER(SEARCH("합계",A93))),"",TRIM(IF(A93="","항목 없음 ","")&amp;IF(B93="","금액 없음 ",IF(ISNUMBER(B93),"","금액 확인 "))&amp;IF(D93="","낸 사람 없음",""))))</f>
        <v/>
      </c>
      <c r="Y93">
        <f>IF(E93="",0,1)</f>
        <v/>
      </c>
    </row>
    <row r="94">
      <c r="A94" s="41" t="n"/>
      <c r="B94" s="24" t="n"/>
      <c r="C94" s="41" t="n"/>
      <c r="D94" s="41" t="n"/>
      <c r="E94" s="19">
        <f>IF(COUNTA(A94:D94)=0,"",IF(OR(ISNUMBER(SEARCH("소계",A94)),ISNUMBER(SEARCH("합계",A94))),"",TRIM(IF(A94="","항목 없음 ","")&amp;IF(B94="","금액 없음 ",IF(ISNUMBER(B94),"","금액 확인 "))&amp;IF(D94="","낸 사람 없음",""))))</f>
        <v/>
      </c>
      <c r="Y94">
        <f>IF(E94="",0,1)</f>
        <v/>
      </c>
    </row>
    <row r="95">
      <c r="A95" s="41" t="n"/>
      <c r="B95" s="24" t="n"/>
      <c r="C95" s="41" t="n"/>
      <c r="D95" s="41" t="n"/>
      <c r="E95" s="19">
        <f>IF(COUNTA(A95:D95)=0,"",IF(OR(ISNUMBER(SEARCH("소계",A95)),ISNUMBER(SEARCH("합계",A95))),"",TRIM(IF(A95="","항목 없음 ","")&amp;IF(B95="","금액 없음 ",IF(ISNUMBER(B95),"","금액 확인 "))&amp;IF(D95="","낸 사람 없음",""))))</f>
        <v/>
      </c>
      <c r="Y95">
        <f>IF(E95="",0,1)</f>
        <v/>
      </c>
    </row>
    <row r="96">
      <c r="A96" s="41" t="n"/>
      <c r="B96" s="24" t="n"/>
      <c r="C96" s="41" t="n"/>
      <c r="D96" s="41" t="n"/>
      <c r="E96" s="19">
        <f>IF(COUNTA(A96:D96)=0,"",IF(OR(ISNUMBER(SEARCH("소계",A96)),ISNUMBER(SEARCH("합계",A96))),"",TRIM(IF(A96="","항목 없음 ","")&amp;IF(B96="","금액 없음 ",IF(ISNUMBER(B96),"","금액 확인 "))&amp;IF(D96="","낸 사람 없음",""))))</f>
        <v/>
      </c>
      <c r="Y96">
        <f>IF(E96="",0,1)</f>
        <v/>
      </c>
    </row>
    <row r="97">
      <c r="A97" s="41" t="n"/>
      <c r="B97" s="24" t="n"/>
      <c r="C97" s="41" t="n"/>
      <c r="D97" s="41" t="n"/>
      <c r="E97" s="19">
        <f>IF(COUNTA(A97:D97)=0,"",IF(OR(ISNUMBER(SEARCH("소계",A97)),ISNUMBER(SEARCH("합계",A97))),"",TRIM(IF(A97="","항목 없음 ","")&amp;IF(B97="","금액 없음 ",IF(ISNUMBER(B97),"","금액 확인 "))&amp;IF(D97="","낸 사람 없음",""))))</f>
        <v/>
      </c>
      <c r="Y97">
        <f>IF(E97="",0,1)</f>
        <v/>
      </c>
    </row>
    <row r="98">
      <c r="A98" s="41" t="n"/>
      <c r="B98" s="24" t="n"/>
      <c r="C98" s="41" t="n"/>
      <c r="D98" s="41" t="n"/>
      <c r="E98" s="19">
        <f>IF(COUNTA(A98:D98)=0,"",IF(OR(ISNUMBER(SEARCH("소계",A98)),ISNUMBER(SEARCH("합계",A98))),"",TRIM(IF(A98="","항목 없음 ","")&amp;IF(B98="","금액 없음 ",IF(ISNUMBER(B98),"","금액 확인 "))&amp;IF(D98="","낸 사람 없음",""))))</f>
        <v/>
      </c>
      <c r="Y98">
        <f>IF(E98="",0,1)</f>
        <v/>
      </c>
    </row>
    <row r="99">
      <c r="A99" s="41" t="n"/>
      <c r="B99" s="24" t="n"/>
      <c r="C99" s="41" t="n"/>
      <c r="D99" s="41" t="n"/>
      <c r="E99" s="19">
        <f>IF(COUNTA(A99:D99)=0,"",IF(OR(ISNUMBER(SEARCH("소계",A99)),ISNUMBER(SEARCH("합계",A99))),"",TRIM(IF(A99="","항목 없음 ","")&amp;IF(B99="","금액 없음 ",IF(ISNUMBER(B99),"","금액 확인 "))&amp;IF(D99="","낸 사람 없음",""))))</f>
        <v/>
      </c>
      <c r="Y99">
        <f>IF(E99="",0,1)</f>
        <v/>
      </c>
    </row>
    <row r="100">
      <c r="A100" s="41" t="n"/>
      <c r="B100" s="24" t="n"/>
      <c r="C100" s="41" t="n"/>
      <c r="D100" s="41" t="n"/>
      <c r="E100" s="19">
        <f>IF(COUNTA(A100:D100)=0,"",IF(OR(ISNUMBER(SEARCH("소계",A100)),ISNUMBER(SEARCH("합계",A100))),"",TRIM(IF(A100="","항목 없음 ","")&amp;IF(B100="","금액 없음 ",IF(ISNUMBER(B100),"","금액 확인 "))&amp;IF(D100="","낸 사람 없음",""))))</f>
        <v/>
      </c>
      <c r="Y100">
        <f>IF(E100="",0,1)</f>
        <v/>
      </c>
    </row>
    <row r="101">
      <c r="A101" s="41" t="n"/>
      <c r="B101" s="24" t="n"/>
      <c r="C101" s="41" t="n"/>
      <c r="D101" s="41" t="n"/>
      <c r="E101" s="19">
        <f>IF(COUNTA(A101:D101)=0,"",IF(OR(ISNUMBER(SEARCH("소계",A101)),ISNUMBER(SEARCH("합계",A101))),"",TRIM(IF(A101="","항목 없음 ","")&amp;IF(B101="","금액 없음 ",IF(ISNUMBER(B101),"","금액 확인 "))&amp;IF(D101="","낸 사람 없음",""))))</f>
        <v/>
      </c>
      <c r="Y101">
        <f>IF(E101="",0,1)</f>
        <v/>
      </c>
    </row>
    <row r="102">
      <c r="A102" s="41" t="n"/>
      <c r="B102" s="24" t="n"/>
      <c r="C102" s="41" t="n"/>
      <c r="D102" s="41" t="n"/>
      <c r="E102" s="19">
        <f>IF(COUNTA(A102:D102)=0,"",IF(OR(ISNUMBER(SEARCH("소계",A102)),ISNUMBER(SEARCH("합계",A102))),"",TRIM(IF(A102="","항목 없음 ","")&amp;IF(B102="","금액 없음 ",IF(ISNUMBER(B102),"","금액 확인 "))&amp;IF(D102="","낸 사람 없음",""))))</f>
        <v/>
      </c>
      <c r="Y102">
        <f>IF(E102="",0,1)</f>
        <v/>
      </c>
    </row>
    <row r="103">
      <c r="A103" s="41" t="n"/>
      <c r="B103" s="24" t="n"/>
      <c r="C103" s="41" t="n"/>
      <c r="D103" s="41" t="n"/>
      <c r="E103" s="19">
        <f>IF(COUNTA(A103:D103)=0,"",IF(OR(ISNUMBER(SEARCH("소계",A103)),ISNUMBER(SEARCH("합계",A103))),"",TRIM(IF(A103="","항목 없음 ","")&amp;IF(B103="","금액 없음 ",IF(ISNUMBER(B103),"","금액 확인 "))&amp;IF(D103="","낸 사람 없음",""))))</f>
        <v/>
      </c>
      <c r="Y103">
        <f>IF(E103="",0,1)</f>
        <v/>
      </c>
    </row>
    <row r="104">
      <c r="A104" s="41" t="n"/>
      <c r="B104" s="24" t="n"/>
      <c r="C104" s="41" t="n"/>
      <c r="D104" s="41" t="n"/>
      <c r="E104" s="19">
        <f>IF(COUNTA(A104:D104)=0,"",IF(OR(ISNUMBER(SEARCH("소계",A104)),ISNUMBER(SEARCH("합계",A104))),"",TRIM(IF(A104="","항목 없음 ","")&amp;IF(B104="","금액 없음 ",IF(ISNUMBER(B104),"","금액 확인 "))&amp;IF(D104="","낸 사람 없음",""))))</f>
        <v/>
      </c>
      <c r="Y104">
        <f>IF(E104="",0,1)</f>
        <v/>
      </c>
    </row>
    <row r="105">
      <c r="A105" s="41" t="n"/>
      <c r="B105" s="24" t="n"/>
      <c r="C105" s="41" t="n"/>
      <c r="D105" s="41" t="n"/>
      <c r="E105" s="19">
        <f>IF(COUNTA(A105:D105)=0,"",IF(OR(ISNUMBER(SEARCH("소계",A105)),ISNUMBER(SEARCH("합계",A105))),"",TRIM(IF(A105="","항목 없음 ","")&amp;IF(B105="","금액 없음 ",IF(ISNUMBER(B105),"","금액 확인 "))&amp;IF(D105="","낸 사람 없음",""))))</f>
        <v/>
      </c>
      <c r="Y105">
        <f>IF(E105="",0,1)</f>
        <v/>
      </c>
    </row>
    <row r="106">
      <c r="A106" s="41" t="n"/>
      <c r="B106" s="24" t="n"/>
      <c r="C106" s="41" t="n"/>
      <c r="D106" s="41" t="n"/>
      <c r="E106" s="19">
        <f>IF(COUNTA(A106:D106)=0,"",IF(OR(ISNUMBER(SEARCH("소계",A106)),ISNUMBER(SEARCH("합계",A106))),"",TRIM(IF(A106="","항목 없음 ","")&amp;IF(B106="","금액 없음 ",IF(ISNUMBER(B106),"","금액 확인 "))&amp;IF(D106="","낸 사람 없음",""))))</f>
        <v/>
      </c>
      <c r="Y106">
        <f>IF(E106="",0,1)</f>
        <v/>
      </c>
    </row>
    <row r="107">
      <c r="A107" s="41" t="n"/>
      <c r="B107" s="24" t="n"/>
      <c r="C107" s="41" t="n"/>
      <c r="D107" s="41" t="n"/>
      <c r="E107" s="19">
        <f>IF(COUNTA(A107:D107)=0,"",IF(OR(ISNUMBER(SEARCH("소계",A107)),ISNUMBER(SEARCH("합계",A107))),"",TRIM(IF(A107="","항목 없음 ","")&amp;IF(B107="","금액 없음 ",IF(ISNUMBER(B107),"","금액 확인 "))&amp;IF(D107="","낸 사람 없음",""))))</f>
        <v/>
      </c>
      <c r="Y107">
        <f>IF(E107="",0,1)</f>
        <v/>
      </c>
    </row>
    <row r="108">
      <c r="A108" s="41" t="n"/>
      <c r="B108" s="24" t="n"/>
      <c r="C108" s="41" t="n"/>
      <c r="D108" s="41" t="n"/>
      <c r="E108" s="19">
        <f>IF(COUNTA(A108:D108)=0,"",IF(OR(ISNUMBER(SEARCH("소계",A108)),ISNUMBER(SEARCH("합계",A108))),"",TRIM(IF(A108="","항목 없음 ","")&amp;IF(B108="","금액 없음 ",IF(ISNUMBER(B108),"","금액 확인 "))&amp;IF(D108="","낸 사람 없음",""))))</f>
        <v/>
      </c>
      <c r="Y108">
        <f>IF(E108="",0,1)</f>
        <v/>
      </c>
    </row>
    <row r="109">
      <c r="A109" s="41" t="n"/>
      <c r="B109" s="24" t="n"/>
      <c r="C109" s="41" t="n"/>
      <c r="D109" s="41" t="n"/>
      <c r="E109" s="19">
        <f>IF(COUNTA(A109:D109)=0,"",IF(OR(ISNUMBER(SEARCH("소계",A109)),ISNUMBER(SEARCH("합계",A109))),"",TRIM(IF(A109="","항목 없음 ","")&amp;IF(B109="","금액 없음 ",IF(ISNUMBER(B109),"","금액 확인 "))&amp;IF(D109="","낸 사람 없음",""))))</f>
        <v/>
      </c>
      <c r="Y109">
        <f>IF(E109="",0,1)</f>
        <v/>
      </c>
    </row>
    <row r="110">
      <c r="A110" s="41" t="n"/>
      <c r="B110" s="24" t="n"/>
      <c r="C110" s="41" t="n"/>
      <c r="D110" s="41" t="n"/>
      <c r="E110" s="19">
        <f>IF(COUNTA(A110:D110)=0,"",IF(OR(ISNUMBER(SEARCH("소계",A110)),ISNUMBER(SEARCH("합계",A110))),"",TRIM(IF(A110="","항목 없음 ","")&amp;IF(B110="","금액 없음 ",IF(ISNUMBER(B110),"","금액 확인 "))&amp;IF(D110="","낸 사람 없음",""))))</f>
        <v/>
      </c>
      <c r="Y110">
        <f>IF(E110="",0,1)</f>
        <v/>
      </c>
    </row>
    <row r="111">
      <c r="A111" s="41" t="n"/>
      <c r="B111" s="24" t="n"/>
      <c r="C111" s="41" t="n"/>
      <c r="D111" s="41" t="n"/>
      <c r="E111" s="19">
        <f>IF(COUNTA(A111:D111)=0,"",IF(OR(ISNUMBER(SEARCH("소계",A111)),ISNUMBER(SEARCH("합계",A111))),"",TRIM(IF(A111="","항목 없음 ","")&amp;IF(B111="","금액 없음 ",IF(ISNUMBER(B111),"","금액 확인 "))&amp;IF(D111="","낸 사람 없음",""))))</f>
        <v/>
      </c>
      <c r="Y111">
        <f>IF(E111="",0,1)</f>
        <v/>
      </c>
    </row>
    <row r="112">
      <c r="A112" s="41" t="n"/>
      <c r="B112" s="24" t="n"/>
      <c r="C112" s="41" t="n"/>
      <c r="D112" s="41" t="n"/>
      <c r="E112" s="19">
        <f>IF(COUNTA(A112:D112)=0,"",IF(OR(ISNUMBER(SEARCH("소계",A112)),ISNUMBER(SEARCH("합계",A112))),"",TRIM(IF(A112="","항목 없음 ","")&amp;IF(B112="","금액 없음 ",IF(ISNUMBER(B112),"","금액 확인 "))&amp;IF(D112="","낸 사람 없음",""))))</f>
        <v/>
      </c>
      <c r="Y112">
        <f>IF(E112="",0,1)</f>
        <v/>
      </c>
    </row>
    <row r="113">
      <c r="A113" s="41" t="n"/>
      <c r="B113" s="24" t="n"/>
      <c r="C113" s="41" t="n"/>
      <c r="D113" s="41" t="n"/>
      <c r="E113" s="19">
        <f>IF(COUNTA(A113:D113)=0,"",IF(OR(ISNUMBER(SEARCH("소계",A113)),ISNUMBER(SEARCH("합계",A113))),"",TRIM(IF(A113="","항목 없음 ","")&amp;IF(B113="","금액 없음 ",IF(ISNUMBER(B113),"","금액 확인 "))&amp;IF(D113="","낸 사람 없음",""))))</f>
        <v/>
      </c>
      <c r="Y113">
        <f>IF(E113="",0,1)</f>
        <v/>
      </c>
    </row>
    <row r="114">
      <c r="A114" s="41" t="n"/>
      <c r="B114" s="24" t="n"/>
      <c r="C114" s="41" t="n"/>
      <c r="D114" s="41" t="n"/>
      <c r="E114" s="19">
        <f>IF(COUNTA(A114:D114)=0,"",IF(OR(ISNUMBER(SEARCH("소계",A114)),ISNUMBER(SEARCH("합계",A114))),"",TRIM(IF(A114="","항목 없음 ","")&amp;IF(B114="","금액 없음 ",IF(ISNUMBER(B114),"","금액 확인 "))&amp;IF(D114="","낸 사람 없음",""))))</f>
        <v/>
      </c>
      <c r="Y114">
        <f>IF(E114="",0,1)</f>
        <v/>
      </c>
    </row>
    <row r="115">
      <c r="A115" s="41" t="n"/>
      <c r="B115" s="24" t="n"/>
      <c r="C115" s="41" t="n"/>
      <c r="D115" s="41" t="n"/>
      <c r="E115" s="19">
        <f>IF(COUNTA(A115:D115)=0,"",IF(OR(ISNUMBER(SEARCH("소계",A115)),ISNUMBER(SEARCH("합계",A115))),"",TRIM(IF(A115="","항목 없음 ","")&amp;IF(B115="","금액 없음 ",IF(ISNUMBER(B115),"","금액 확인 "))&amp;IF(D115="","낸 사람 없음",""))))</f>
        <v/>
      </c>
      <c r="Y115">
        <f>IF(E115="",0,1)</f>
        <v/>
      </c>
    </row>
    <row r="116">
      <c r="A116" s="41" t="n"/>
      <c r="B116" s="24" t="n"/>
      <c r="C116" s="41" t="n"/>
      <c r="D116" s="41" t="n"/>
      <c r="E116" s="19">
        <f>IF(COUNTA(A116:D116)=0,"",IF(OR(ISNUMBER(SEARCH("소계",A116)),ISNUMBER(SEARCH("합계",A116))),"",TRIM(IF(A116="","항목 없음 ","")&amp;IF(B116="","금액 없음 ",IF(ISNUMBER(B116),"","금액 확인 "))&amp;IF(D116="","낸 사람 없음",""))))</f>
        <v/>
      </c>
      <c r="Y116">
        <f>IF(E116="",0,1)</f>
        <v/>
      </c>
    </row>
    <row r="117">
      <c r="A117" s="41" t="n"/>
      <c r="B117" s="24" t="n"/>
      <c r="C117" s="41" t="n"/>
      <c r="D117" s="41" t="n"/>
      <c r="E117" s="19">
        <f>IF(COUNTA(A117:D117)=0,"",IF(OR(ISNUMBER(SEARCH("소계",A117)),ISNUMBER(SEARCH("합계",A117))),"",TRIM(IF(A117="","항목 없음 ","")&amp;IF(B117="","금액 없음 ",IF(ISNUMBER(B117),"","금액 확인 "))&amp;IF(D117="","낸 사람 없음",""))))</f>
        <v/>
      </c>
      <c r="Y117">
        <f>IF(E117="",0,1)</f>
        <v/>
      </c>
    </row>
    <row r="118">
      <c r="A118" s="41" t="n"/>
      <c r="B118" s="24" t="n"/>
      <c r="C118" s="41" t="n"/>
      <c r="D118" s="41" t="n"/>
      <c r="E118" s="19">
        <f>IF(COUNTA(A118:D118)=0,"",IF(OR(ISNUMBER(SEARCH("소계",A118)),ISNUMBER(SEARCH("합계",A118))),"",TRIM(IF(A118="","항목 없음 ","")&amp;IF(B118="","금액 없음 ",IF(ISNUMBER(B118),"","금액 확인 "))&amp;IF(D118="","낸 사람 없음",""))))</f>
        <v/>
      </c>
      <c r="Y118">
        <f>IF(E118="",0,1)</f>
        <v/>
      </c>
    </row>
    <row r="119">
      <c r="A119" s="41" t="n"/>
      <c r="B119" s="24" t="n"/>
      <c r="C119" s="41" t="n"/>
      <c r="D119" s="41" t="n"/>
      <c r="E119" s="19">
        <f>IF(COUNTA(A119:D119)=0,"",IF(OR(ISNUMBER(SEARCH("소계",A119)),ISNUMBER(SEARCH("합계",A119))),"",TRIM(IF(A119="","항목 없음 ","")&amp;IF(B119="","금액 없음 ",IF(ISNUMBER(B119),"","금액 확인 "))&amp;IF(D119="","낸 사람 없음",""))))</f>
        <v/>
      </c>
      <c r="Y119">
        <f>IF(E119="",0,1)</f>
        <v/>
      </c>
    </row>
    <row r="120">
      <c r="A120" s="41" t="n"/>
      <c r="B120" s="24" t="n"/>
      <c r="C120" s="41" t="n"/>
      <c r="D120" s="41" t="n"/>
      <c r="E120" s="19">
        <f>IF(COUNTA(A120:D120)=0,"",IF(OR(ISNUMBER(SEARCH("소계",A120)),ISNUMBER(SEARCH("합계",A120))),"",TRIM(IF(A120="","항목 없음 ","")&amp;IF(B120="","금액 없음 ",IF(ISNUMBER(B120),"","금액 확인 "))&amp;IF(D120="","낸 사람 없음",""))))</f>
        <v/>
      </c>
      <c r="Y120">
        <f>IF(E120="",0,1)</f>
        <v/>
      </c>
    </row>
    <row r="121">
      <c r="A121" s="41" t="n"/>
      <c r="B121" s="24" t="n"/>
      <c r="C121" s="41" t="n"/>
      <c r="D121" s="41" t="n"/>
      <c r="E121" s="19">
        <f>IF(COUNTA(A121:D121)=0,"",IF(OR(ISNUMBER(SEARCH("소계",A121)),ISNUMBER(SEARCH("합계",A121))),"",TRIM(IF(A121="","항목 없음 ","")&amp;IF(B121="","금액 없음 ",IF(ISNUMBER(B121),"","금액 확인 "))&amp;IF(D121="","낸 사람 없음",""))))</f>
        <v/>
      </c>
      <c r="Y121">
        <f>IF(E121="",0,1)</f>
        <v/>
      </c>
    </row>
    <row r="122">
      <c r="A122" s="41" t="n"/>
      <c r="B122" s="24" t="n"/>
      <c r="C122" s="41" t="n"/>
      <c r="D122" s="41" t="n"/>
      <c r="E122" s="19">
        <f>IF(COUNTA(A122:D122)=0,"",IF(OR(ISNUMBER(SEARCH("소계",A122)),ISNUMBER(SEARCH("합계",A122))),"",TRIM(IF(A122="","항목 없음 ","")&amp;IF(B122="","금액 없음 ",IF(ISNUMBER(B122),"","금액 확인 "))&amp;IF(D122="","낸 사람 없음",""))))</f>
        <v/>
      </c>
      <c r="Y122">
        <f>IF(E122="",0,1)</f>
        <v/>
      </c>
    </row>
    <row r="123">
      <c r="A123" s="41" t="n"/>
      <c r="B123" s="24" t="n"/>
      <c r="C123" s="41" t="n"/>
      <c r="D123" s="41" t="n"/>
      <c r="E123" s="19">
        <f>IF(COUNTA(A123:D123)=0,"",IF(OR(ISNUMBER(SEARCH("소계",A123)),ISNUMBER(SEARCH("합계",A123))),"",TRIM(IF(A123="","항목 없음 ","")&amp;IF(B123="","금액 없음 ",IF(ISNUMBER(B123),"","금액 확인 "))&amp;IF(D123="","낸 사람 없음",""))))</f>
        <v/>
      </c>
      <c r="Y123">
        <f>IF(E123="",0,1)</f>
        <v/>
      </c>
    </row>
    <row r="124">
      <c r="A124" s="41" t="n"/>
      <c r="B124" s="24" t="n"/>
      <c r="C124" s="41" t="n"/>
      <c r="D124" s="41" t="n"/>
      <c r="E124" s="19">
        <f>IF(COUNTA(A124:D124)=0,"",IF(OR(ISNUMBER(SEARCH("소계",A124)),ISNUMBER(SEARCH("합계",A124))),"",TRIM(IF(A124="","항목 없음 ","")&amp;IF(B124="","금액 없음 ",IF(ISNUMBER(B124),"","금액 확인 "))&amp;IF(D124="","낸 사람 없음",""))))</f>
        <v/>
      </c>
      <c r="Y124">
        <f>IF(E124="",0,1)</f>
        <v/>
      </c>
    </row>
    <row r="125">
      <c r="A125" s="41" t="n"/>
      <c r="B125" s="24" t="n"/>
      <c r="C125" s="41" t="n"/>
      <c r="D125" s="41" t="n"/>
      <c r="E125" s="19">
        <f>IF(COUNTA(A125:D125)=0,"",IF(OR(ISNUMBER(SEARCH("소계",A125)),ISNUMBER(SEARCH("합계",A125))),"",TRIM(IF(A125="","항목 없음 ","")&amp;IF(B125="","금액 없음 ",IF(ISNUMBER(B125),"","금액 확인 "))&amp;IF(D125="","낸 사람 없음",""))))</f>
        <v/>
      </c>
      <c r="Y125">
        <f>IF(E125="",0,1)</f>
        <v/>
      </c>
    </row>
    <row r="126">
      <c r="A126" s="41" t="n"/>
      <c r="B126" s="24" t="n"/>
      <c r="C126" s="41" t="n"/>
      <c r="D126" s="41" t="n"/>
      <c r="E126" s="19">
        <f>IF(COUNTA(A126:D126)=0,"",IF(OR(ISNUMBER(SEARCH("소계",A126)),ISNUMBER(SEARCH("합계",A126))),"",TRIM(IF(A126="","항목 없음 ","")&amp;IF(B126="","금액 없음 ",IF(ISNUMBER(B126),"","금액 확인 "))&amp;IF(D126="","낸 사람 없음",""))))</f>
        <v/>
      </c>
      <c r="Y126">
        <f>IF(E126="",0,1)</f>
        <v/>
      </c>
    </row>
    <row r="127">
      <c r="A127" s="41" t="n"/>
      <c r="B127" s="24" t="n"/>
      <c r="C127" s="41" t="n"/>
      <c r="D127" s="41" t="n"/>
      <c r="E127" s="19">
        <f>IF(COUNTA(A127:D127)=0,"",IF(OR(ISNUMBER(SEARCH("소계",A127)),ISNUMBER(SEARCH("합계",A127))),"",TRIM(IF(A127="","항목 없음 ","")&amp;IF(B127="","금액 없음 ",IF(ISNUMBER(B127),"","금액 확인 "))&amp;IF(D127="","낸 사람 없음",""))))</f>
        <v/>
      </c>
      <c r="Y127">
        <f>IF(E127="",0,1)</f>
        <v/>
      </c>
    </row>
    <row r="128">
      <c r="A128" s="41" t="n"/>
      <c r="B128" s="24" t="n"/>
      <c r="C128" s="41" t="n"/>
      <c r="D128" s="41" t="n"/>
      <c r="E128" s="19">
        <f>IF(COUNTA(A128:D128)=0,"",IF(OR(ISNUMBER(SEARCH("소계",A128)),ISNUMBER(SEARCH("합계",A128))),"",TRIM(IF(A128="","항목 없음 ","")&amp;IF(B128="","금액 없음 ",IF(ISNUMBER(B128),"","금액 확인 "))&amp;IF(D128="","낸 사람 없음",""))))</f>
        <v/>
      </c>
      <c r="Y128">
        <f>IF(E128="",0,1)</f>
        <v/>
      </c>
    </row>
    <row r="129">
      <c r="A129" s="41" t="n"/>
      <c r="B129" s="24" t="n"/>
      <c r="C129" s="41" t="n"/>
      <c r="D129" s="41" t="n"/>
      <c r="E129" s="19">
        <f>IF(COUNTA(A129:D129)=0,"",IF(OR(ISNUMBER(SEARCH("소계",A129)),ISNUMBER(SEARCH("합계",A129))),"",TRIM(IF(A129="","항목 없음 ","")&amp;IF(B129="","금액 없음 ",IF(ISNUMBER(B129),"","금액 확인 "))&amp;IF(D129="","낸 사람 없음",""))))</f>
        <v/>
      </c>
      <c r="Y129">
        <f>IF(E129="",0,1)</f>
        <v/>
      </c>
    </row>
    <row r="130">
      <c r="A130" s="41" t="n"/>
      <c r="B130" s="24" t="n"/>
      <c r="C130" s="41" t="n"/>
      <c r="D130" s="41" t="n"/>
      <c r="E130" s="19">
        <f>IF(COUNTA(A130:D130)=0,"",IF(OR(ISNUMBER(SEARCH("소계",A130)),ISNUMBER(SEARCH("합계",A130))),"",TRIM(IF(A130="","항목 없음 ","")&amp;IF(B130="","금액 없음 ",IF(ISNUMBER(B130),"","금액 확인 "))&amp;IF(D130="","낸 사람 없음",""))))</f>
        <v/>
      </c>
      <c r="Y130">
        <f>IF(E130="",0,1)</f>
        <v/>
      </c>
    </row>
    <row r="131">
      <c r="A131" s="41" t="n"/>
      <c r="B131" s="24" t="n"/>
      <c r="C131" s="41" t="n"/>
      <c r="D131" s="41" t="n"/>
      <c r="E131" s="19">
        <f>IF(COUNTA(A131:D131)=0,"",IF(OR(ISNUMBER(SEARCH("소계",A131)),ISNUMBER(SEARCH("합계",A131))),"",TRIM(IF(A131="","항목 없음 ","")&amp;IF(B131="","금액 없음 ",IF(ISNUMBER(B131),"","금액 확인 "))&amp;IF(D131="","낸 사람 없음",""))))</f>
        <v/>
      </c>
      <c r="Y131">
        <f>IF(E131="",0,1)</f>
        <v/>
      </c>
    </row>
    <row r="132">
      <c r="A132" s="41" t="n"/>
      <c r="B132" s="24" t="n"/>
      <c r="C132" s="41" t="n"/>
      <c r="D132" s="41" t="n"/>
      <c r="E132" s="19">
        <f>IF(COUNTA(A132:D132)=0,"",IF(OR(ISNUMBER(SEARCH("소계",A132)),ISNUMBER(SEARCH("합계",A132))),"",TRIM(IF(A132="","항목 없음 ","")&amp;IF(B132="","금액 없음 ",IF(ISNUMBER(B132),"","금액 확인 "))&amp;IF(D132="","낸 사람 없음",""))))</f>
        <v/>
      </c>
      <c r="Y132">
        <f>IF(E132="",0,1)</f>
        <v/>
      </c>
    </row>
    <row r="133">
      <c r="A133" s="41" t="n"/>
      <c r="B133" s="24" t="n"/>
      <c r="C133" s="41" t="n"/>
      <c r="D133" s="41" t="n"/>
      <c r="E133" s="19">
        <f>IF(COUNTA(A133:D133)=0,"",IF(OR(ISNUMBER(SEARCH("소계",A133)),ISNUMBER(SEARCH("합계",A133))),"",TRIM(IF(A133="","항목 없음 ","")&amp;IF(B133="","금액 없음 ",IF(ISNUMBER(B133),"","금액 확인 "))&amp;IF(D133="","낸 사람 없음",""))))</f>
        <v/>
      </c>
      <c r="Y133">
        <f>IF(E133="",0,1)</f>
        <v/>
      </c>
    </row>
    <row r="134">
      <c r="A134" s="41" t="n"/>
      <c r="B134" s="24" t="n"/>
      <c r="C134" s="41" t="n"/>
      <c r="D134" s="41" t="n"/>
      <c r="E134" s="19">
        <f>IF(COUNTA(A134:D134)=0,"",IF(OR(ISNUMBER(SEARCH("소계",A134)),ISNUMBER(SEARCH("합계",A134))),"",TRIM(IF(A134="","항목 없음 ","")&amp;IF(B134="","금액 없음 ",IF(ISNUMBER(B134),"","금액 확인 "))&amp;IF(D134="","낸 사람 없음",""))))</f>
        <v/>
      </c>
      <c r="Y134">
        <f>IF(E134="",0,1)</f>
        <v/>
      </c>
    </row>
    <row r="135">
      <c r="A135" s="41" t="n"/>
      <c r="B135" s="24" t="n"/>
      <c r="C135" s="41" t="n"/>
      <c r="D135" s="41" t="n"/>
      <c r="E135" s="19">
        <f>IF(COUNTA(A135:D135)=0,"",IF(OR(ISNUMBER(SEARCH("소계",A135)),ISNUMBER(SEARCH("합계",A135))),"",TRIM(IF(A135="","항목 없음 ","")&amp;IF(B135="","금액 없음 ",IF(ISNUMBER(B135),"","금액 확인 "))&amp;IF(D135="","낸 사람 없음",""))))</f>
        <v/>
      </c>
      <c r="Y135">
        <f>IF(E135="",0,1)</f>
        <v/>
      </c>
    </row>
    <row r="136">
      <c r="A136" s="41" t="n"/>
      <c r="B136" s="24" t="n"/>
      <c r="C136" s="41" t="n"/>
      <c r="D136" s="41" t="n"/>
      <c r="E136" s="19">
        <f>IF(COUNTA(A136:D136)=0,"",IF(OR(ISNUMBER(SEARCH("소계",A136)),ISNUMBER(SEARCH("합계",A136))),"",TRIM(IF(A136="","항목 없음 ","")&amp;IF(B136="","금액 없음 ",IF(ISNUMBER(B136),"","금액 확인 "))&amp;IF(D136="","낸 사람 없음",""))))</f>
        <v/>
      </c>
      <c r="Y136">
        <f>IF(E136="",0,1)</f>
        <v/>
      </c>
    </row>
    <row r="137">
      <c r="A137" s="41" t="n"/>
      <c r="B137" s="24" t="n"/>
      <c r="C137" s="41" t="n"/>
      <c r="D137" s="41" t="n"/>
      <c r="E137" s="19">
        <f>IF(COUNTA(A137:D137)=0,"",IF(OR(ISNUMBER(SEARCH("소계",A137)),ISNUMBER(SEARCH("합계",A137))),"",TRIM(IF(A137="","항목 없음 ","")&amp;IF(B137="","금액 없음 ",IF(ISNUMBER(B137),"","금액 확인 "))&amp;IF(D137="","낸 사람 없음",""))))</f>
        <v/>
      </c>
      <c r="Y137">
        <f>IF(E137="",0,1)</f>
        <v/>
      </c>
    </row>
    <row r="138">
      <c r="A138" s="41" t="n"/>
      <c r="B138" s="24" t="n"/>
      <c r="C138" s="41" t="n"/>
      <c r="D138" s="41" t="n"/>
      <c r="E138" s="19">
        <f>IF(COUNTA(A138:D138)=0,"",IF(OR(ISNUMBER(SEARCH("소계",A138)),ISNUMBER(SEARCH("합계",A138))),"",TRIM(IF(A138="","항목 없음 ","")&amp;IF(B138="","금액 없음 ",IF(ISNUMBER(B138),"","금액 확인 "))&amp;IF(D138="","낸 사람 없음",""))))</f>
        <v/>
      </c>
      <c r="Y138">
        <f>IF(E138="",0,1)</f>
        <v/>
      </c>
    </row>
    <row r="139">
      <c r="A139" s="41" t="n"/>
      <c r="B139" s="24" t="n"/>
      <c r="C139" s="41" t="n"/>
      <c r="D139" s="41" t="n"/>
      <c r="E139" s="19">
        <f>IF(COUNTA(A139:D139)=0,"",IF(OR(ISNUMBER(SEARCH("소계",A139)),ISNUMBER(SEARCH("합계",A139))),"",TRIM(IF(A139="","항목 없음 ","")&amp;IF(B139="","금액 없음 ",IF(ISNUMBER(B139),"","금액 확인 "))&amp;IF(D139="","낸 사람 없음",""))))</f>
        <v/>
      </c>
      <c r="Y139">
        <f>IF(E139="",0,1)</f>
        <v/>
      </c>
    </row>
    <row r="140">
      <c r="A140" s="41" t="n"/>
      <c r="B140" s="24" t="n"/>
      <c r="C140" s="41" t="n"/>
      <c r="D140" s="41" t="n"/>
      <c r="E140" s="19">
        <f>IF(COUNTA(A140:D140)=0,"",IF(OR(ISNUMBER(SEARCH("소계",A140)),ISNUMBER(SEARCH("합계",A140))),"",TRIM(IF(A140="","항목 없음 ","")&amp;IF(B140="","금액 없음 ",IF(ISNUMBER(B140),"","금액 확인 "))&amp;IF(D140="","낸 사람 없음",""))))</f>
        <v/>
      </c>
      <c r="Y140">
        <f>IF(E140="",0,1)</f>
        <v/>
      </c>
    </row>
    <row r="141">
      <c r="A141" s="41" t="n"/>
      <c r="B141" s="24" t="n"/>
      <c r="C141" s="41" t="n"/>
      <c r="D141" s="41" t="n"/>
      <c r="E141" s="19">
        <f>IF(COUNTA(A141:D141)=0,"",IF(OR(ISNUMBER(SEARCH("소계",A141)),ISNUMBER(SEARCH("합계",A141))),"",TRIM(IF(A141="","항목 없음 ","")&amp;IF(B141="","금액 없음 ",IF(ISNUMBER(B141),"","금액 확인 "))&amp;IF(D141="","낸 사람 없음",""))))</f>
        <v/>
      </c>
      <c r="Y141">
        <f>IF(E141="",0,1)</f>
        <v/>
      </c>
    </row>
    <row r="142">
      <c r="A142" s="41" t="n"/>
      <c r="B142" s="24" t="n"/>
      <c r="C142" s="41" t="n"/>
      <c r="D142" s="41" t="n"/>
      <c r="E142" s="19">
        <f>IF(COUNTA(A142:D142)=0,"",IF(OR(ISNUMBER(SEARCH("소계",A142)),ISNUMBER(SEARCH("합계",A142))),"",TRIM(IF(A142="","항목 없음 ","")&amp;IF(B142="","금액 없음 ",IF(ISNUMBER(B142),"","금액 확인 "))&amp;IF(D142="","낸 사람 없음",""))))</f>
        <v/>
      </c>
      <c r="Y142">
        <f>IF(E142="",0,1)</f>
        <v/>
      </c>
    </row>
    <row r="143">
      <c r="A143" s="41" t="n"/>
      <c r="B143" s="24" t="n"/>
      <c r="C143" s="41" t="n"/>
      <c r="D143" s="41" t="n"/>
      <c r="E143" s="19">
        <f>IF(COUNTA(A143:D143)=0,"",IF(OR(ISNUMBER(SEARCH("소계",A143)),ISNUMBER(SEARCH("합계",A143))),"",TRIM(IF(A143="","항목 없음 ","")&amp;IF(B143="","금액 없음 ",IF(ISNUMBER(B143),"","금액 확인 "))&amp;IF(D143="","낸 사람 없음",""))))</f>
        <v/>
      </c>
      <c r="Y143">
        <f>IF(E143="",0,1)</f>
        <v/>
      </c>
    </row>
    <row r="144">
      <c r="A144" s="41" t="n"/>
      <c r="B144" s="24" t="n"/>
      <c r="C144" s="41" t="n"/>
      <c r="D144" s="41" t="n"/>
      <c r="E144" s="19">
        <f>IF(COUNTA(A144:D144)=0,"",IF(OR(ISNUMBER(SEARCH("소계",A144)),ISNUMBER(SEARCH("합계",A144))),"",TRIM(IF(A144="","항목 없음 ","")&amp;IF(B144="","금액 없음 ",IF(ISNUMBER(B144),"","금액 확인 "))&amp;IF(D144="","낸 사람 없음",""))))</f>
        <v/>
      </c>
      <c r="Y144">
        <f>IF(E144="",0,1)</f>
        <v/>
      </c>
    </row>
    <row r="145">
      <c r="A145" s="41" t="n"/>
      <c r="B145" s="24" t="n"/>
      <c r="C145" s="41" t="n"/>
      <c r="D145" s="41" t="n"/>
      <c r="E145" s="19">
        <f>IF(COUNTA(A145:D145)=0,"",IF(OR(ISNUMBER(SEARCH("소계",A145)),ISNUMBER(SEARCH("합계",A145))),"",TRIM(IF(A145="","항목 없음 ","")&amp;IF(B145="","금액 없음 ",IF(ISNUMBER(B145),"","금액 확인 "))&amp;IF(D145="","낸 사람 없음",""))))</f>
        <v/>
      </c>
      <c r="Y145">
        <f>IF(E145="",0,1)</f>
        <v/>
      </c>
    </row>
    <row r="146">
      <c r="A146" s="41" t="n"/>
      <c r="B146" s="24" t="n"/>
      <c r="C146" s="41" t="n"/>
      <c r="D146" s="41" t="n"/>
      <c r="E146" s="19">
        <f>IF(COUNTA(A146:D146)=0,"",IF(OR(ISNUMBER(SEARCH("소계",A146)),ISNUMBER(SEARCH("합계",A146))),"",TRIM(IF(A146="","항목 없음 ","")&amp;IF(B146="","금액 없음 ",IF(ISNUMBER(B146),"","금액 확인 "))&amp;IF(D146="","낸 사람 없음",""))))</f>
        <v/>
      </c>
      <c r="Y146">
        <f>IF(E146="",0,1)</f>
        <v/>
      </c>
    </row>
    <row r="147">
      <c r="A147" s="41" t="n"/>
      <c r="B147" s="24" t="n"/>
      <c r="C147" s="41" t="n"/>
      <c r="D147" s="41" t="n"/>
      <c r="E147" s="19">
        <f>IF(COUNTA(A147:D147)=0,"",IF(OR(ISNUMBER(SEARCH("소계",A147)),ISNUMBER(SEARCH("합계",A147))),"",TRIM(IF(A147="","항목 없음 ","")&amp;IF(B147="","금액 없음 ",IF(ISNUMBER(B147),"","금액 확인 "))&amp;IF(D147="","낸 사람 없음",""))))</f>
        <v/>
      </c>
      <c r="Y147">
        <f>IF(E147="",0,1)</f>
        <v/>
      </c>
    </row>
    <row r="148">
      <c r="A148" s="41" t="n"/>
      <c r="B148" s="24" t="n"/>
      <c r="C148" s="41" t="n"/>
      <c r="D148" s="41" t="n"/>
      <c r="E148" s="19">
        <f>IF(COUNTA(A148:D148)=0,"",IF(OR(ISNUMBER(SEARCH("소계",A148)),ISNUMBER(SEARCH("합계",A148))),"",TRIM(IF(A148="","항목 없음 ","")&amp;IF(B148="","금액 없음 ",IF(ISNUMBER(B148),"","금액 확인 "))&amp;IF(D148="","낸 사람 없음",""))))</f>
        <v/>
      </c>
      <c r="Y148">
        <f>IF(E148="",0,1)</f>
        <v/>
      </c>
    </row>
    <row r="149">
      <c r="A149" s="41" t="n"/>
      <c r="B149" s="24" t="n"/>
      <c r="C149" s="41" t="n"/>
      <c r="D149" s="41" t="n"/>
      <c r="E149" s="19">
        <f>IF(COUNTA(A149:D149)=0,"",IF(OR(ISNUMBER(SEARCH("소계",A149)),ISNUMBER(SEARCH("합계",A149))),"",TRIM(IF(A149="","항목 없음 ","")&amp;IF(B149="","금액 없음 ",IF(ISNUMBER(B149),"","금액 확인 "))&amp;IF(D149="","낸 사람 없음",""))))</f>
        <v/>
      </c>
      <c r="Y149">
        <f>IF(E149="",0,1)</f>
        <v/>
      </c>
    </row>
    <row r="150">
      <c r="A150" s="41" t="n"/>
      <c r="B150" s="24" t="n"/>
      <c r="C150" s="41" t="n"/>
      <c r="D150" s="41" t="n"/>
      <c r="E150" s="19">
        <f>IF(COUNTA(A150:D150)=0,"",IF(OR(ISNUMBER(SEARCH("소계",A150)),ISNUMBER(SEARCH("합계",A150))),"",TRIM(IF(A150="","항목 없음 ","")&amp;IF(B150="","금액 없음 ",IF(ISNUMBER(B150),"","금액 확인 "))&amp;IF(D150="","낸 사람 없음",""))))</f>
        <v/>
      </c>
      <c r="Y150">
        <f>IF(E150="",0,1)</f>
        <v/>
      </c>
    </row>
    <row r="151">
      <c r="A151" s="41" t="n"/>
      <c r="B151" s="24" t="n"/>
      <c r="C151" s="41" t="n"/>
      <c r="D151" s="41" t="n"/>
      <c r="E151" s="19">
        <f>IF(COUNTA(A151:D151)=0,"",IF(OR(ISNUMBER(SEARCH("소계",A151)),ISNUMBER(SEARCH("합계",A151))),"",TRIM(IF(A151="","항목 없음 ","")&amp;IF(B151="","금액 없음 ",IF(ISNUMBER(B151),"","금액 확인 "))&amp;IF(D151="","낸 사람 없음",""))))</f>
        <v/>
      </c>
      <c r="Y151">
        <f>IF(E151="",0,1)</f>
        <v/>
      </c>
    </row>
    <row r="152">
      <c r="A152" s="41" t="n"/>
      <c r="B152" s="24" t="n"/>
      <c r="C152" s="41" t="n"/>
      <c r="D152" s="41" t="n"/>
      <c r="E152" s="19">
        <f>IF(COUNTA(A152:D152)=0,"",IF(OR(ISNUMBER(SEARCH("소계",A152)),ISNUMBER(SEARCH("합계",A152))),"",TRIM(IF(A152="","항목 없음 ","")&amp;IF(B152="","금액 없음 ",IF(ISNUMBER(B152),"","금액 확인 "))&amp;IF(D152="","낸 사람 없음",""))))</f>
        <v/>
      </c>
      <c r="Y152">
        <f>IF(E152="",0,1)</f>
        <v/>
      </c>
    </row>
    <row r="153">
      <c r="A153" s="41" t="n"/>
      <c r="B153" s="24" t="n"/>
      <c r="C153" s="41" t="n"/>
      <c r="D153" s="41" t="n"/>
      <c r="E153" s="19">
        <f>IF(COUNTA(A153:D153)=0,"",IF(OR(ISNUMBER(SEARCH("소계",A153)),ISNUMBER(SEARCH("합계",A153))),"",TRIM(IF(A153="","항목 없음 ","")&amp;IF(B153="","금액 없음 ",IF(ISNUMBER(B153),"","금액 확인 "))&amp;IF(D153="","낸 사람 없음",""))))</f>
        <v/>
      </c>
      <c r="Y153">
        <f>IF(E153="",0,1)</f>
        <v/>
      </c>
    </row>
    <row r="154">
      <c r="A154" s="41" t="n"/>
      <c r="B154" s="24" t="n"/>
      <c r="C154" s="41" t="n"/>
      <c r="D154" s="41" t="n"/>
      <c r="E154" s="19">
        <f>IF(COUNTA(A154:D154)=0,"",IF(OR(ISNUMBER(SEARCH("소계",A154)),ISNUMBER(SEARCH("합계",A154))),"",TRIM(IF(A154="","항목 없음 ","")&amp;IF(B154="","금액 없음 ",IF(ISNUMBER(B154),"","금액 확인 "))&amp;IF(D154="","낸 사람 없음",""))))</f>
        <v/>
      </c>
      <c r="Y154">
        <f>IF(E154="",0,1)</f>
        <v/>
      </c>
    </row>
    <row r="155">
      <c r="A155" s="41" t="n"/>
      <c r="B155" s="24" t="n"/>
      <c r="C155" s="41" t="n"/>
      <c r="D155" s="41" t="n"/>
      <c r="E155" s="19">
        <f>IF(COUNTA(A155:D155)=0,"",IF(OR(ISNUMBER(SEARCH("소계",A155)),ISNUMBER(SEARCH("합계",A155))),"",TRIM(IF(A155="","항목 없음 ","")&amp;IF(B155="","금액 없음 ",IF(ISNUMBER(B155),"","금액 확인 "))&amp;IF(D155="","낸 사람 없음",""))))</f>
        <v/>
      </c>
      <c r="Y155">
        <f>IF(E155="",0,1)</f>
        <v/>
      </c>
    </row>
    <row r="156">
      <c r="A156" s="41" t="n"/>
      <c r="B156" s="24" t="n"/>
      <c r="C156" s="41" t="n"/>
      <c r="D156" s="41" t="n"/>
      <c r="E156" s="19">
        <f>IF(COUNTA(A156:D156)=0,"",IF(OR(ISNUMBER(SEARCH("소계",A156)),ISNUMBER(SEARCH("합계",A156))),"",TRIM(IF(A156="","항목 없음 ","")&amp;IF(B156="","금액 없음 ",IF(ISNUMBER(B156),"","금액 확인 "))&amp;IF(D156="","낸 사람 없음",""))))</f>
        <v/>
      </c>
      <c r="Y156">
        <f>IF(E156="",0,1)</f>
        <v/>
      </c>
    </row>
    <row r="157">
      <c r="A157" s="41" t="n"/>
      <c r="B157" s="24" t="n"/>
      <c r="C157" s="41" t="n"/>
      <c r="D157" s="41" t="n"/>
      <c r="E157" s="19">
        <f>IF(COUNTA(A157:D157)=0,"",IF(OR(ISNUMBER(SEARCH("소계",A157)),ISNUMBER(SEARCH("합계",A157))),"",TRIM(IF(A157="","항목 없음 ","")&amp;IF(B157="","금액 없음 ",IF(ISNUMBER(B157),"","금액 확인 "))&amp;IF(D157="","낸 사람 없음",""))))</f>
        <v/>
      </c>
      <c r="Y157">
        <f>IF(E157="",0,1)</f>
        <v/>
      </c>
    </row>
    <row r="158">
      <c r="A158" s="41" t="n"/>
      <c r="B158" s="24" t="n"/>
      <c r="C158" s="41" t="n"/>
      <c r="D158" s="41" t="n"/>
      <c r="E158" s="19">
        <f>IF(COUNTA(A158:D158)=0,"",IF(OR(ISNUMBER(SEARCH("소계",A158)),ISNUMBER(SEARCH("합계",A158))),"",TRIM(IF(A158="","항목 없음 ","")&amp;IF(B158="","금액 없음 ",IF(ISNUMBER(B158),"","금액 확인 "))&amp;IF(D158="","낸 사람 없음",""))))</f>
        <v/>
      </c>
      <c r="Y158">
        <f>IF(E158="",0,1)</f>
        <v/>
      </c>
    </row>
    <row r="159">
      <c r="A159" s="41" t="n"/>
      <c r="B159" s="24" t="n"/>
      <c r="C159" s="41" t="n"/>
      <c r="D159" s="41" t="n"/>
      <c r="E159" s="19">
        <f>IF(COUNTA(A159:D159)=0,"",IF(OR(ISNUMBER(SEARCH("소계",A159)),ISNUMBER(SEARCH("합계",A159))),"",TRIM(IF(A159="","항목 없음 ","")&amp;IF(B159="","금액 없음 ",IF(ISNUMBER(B159),"","금액 확인 "))&amp;IF(D159="","낸 사람 없음",""))))</f>
        <v/>
      </c>
      <c r="Y159">
        <f>IF(E159="",0,1)</f>
        <v/>
      </c>
    </row>
    <row r="160">
      <c r="A160" s="41" t="n"/>
      <c r="B160" s="24" t="n"/>
      <c r="C160" s="41" t="n"/>
      <c r="D160" s="41" t="n"/>
      <c r="E160" s="19">
        <f>IF(COUNTA(A160:D160)=0,"",IF(OR(ISNUMBER(SEARCH("소계",A160)),ISNUMBER(SEARCH("합계",A160))),"",TRIM(IF(A160="","항목 없음 ","")&amp;IF(B160="","금액 없음 ",IF(ISNUMBER(B160),"","금액 확인 "))&amp;IF(D160="","낸 사람 없음",""))))</f>
        <v/>
      </c>
      <c r="Y160">
        <f>IF(E160="",0,1)</f>
        <v/>
      </c>
    </row>
    <row r="161">
      <c r="A161" s="41" t="n"/>
      <c r="B161" s="24" t="n"/>
      <c r="C161" s="41" t="n"/>
      <c r="D161" s="41" t="n"/>
      <c r="E161" s="19">
        <f>IF(COUNTA(A161:D161)=0,"",IF(OR(ISNUMBER(SEARCH("소계",A161)),ISNUMBER(SEARCH("합계",A161))),"",TRIM(IF(A161="","항목 없음 ","")&amp;IF(B161="","금액 없음 ",IF(ISNUMBER(B161),"","금액 확인 "))&amp;IF(D161="","낸 사람 없음",""))))</f>
        <v/>
      </c>
      <c r="Y161">
        <f>IF(E161="",0,1)</f>
        <v/>
      </c>
    </row>
    <row r="162">
      <c r="A162" s="41" t="n"/>
      <c r="B162" s="24" t="n"/>
      <c r="C162" s="41" t="n"/>
      <c r="D162" s="41" t="n"/>
      <c r="E162" s="19">
        <f>IF(COUNTA(A162:D162)=0,"",IF(OR(ISNUMBER(SEARCH("소계",A162)),ISNUMBER(SEARCH("합계",A162))),"",TRIM(IF(A162="","항목 없음 ","")&amp;IF(B162="","금액 없음 ",IF(ISNUMBER(B162),"","금액 확인 "))&amp;IF(D162="","낸 사람 없음",""))))</f>
        <v/>
      </c>
      <c r="Y162">
        <f>IF(E162="",0,1)</f>
        <v/>
      </c>
    </row>
    <row r="163">
      <c r="A163" s="41" t="n"/>
      <c r="B163" s="24" t="n"/>
      <c r="C163" s="41" t="n"/>
      <c r="D163" s="41" t="n"/>
      <c r="E163" s="19">
        <f>IF(COUNTA(A163:D163)=0,"",IF(OR(ISNUMBER(SEARCH("소계",A163)),ISNUMBER(SEARCH("합계",A163))),"",TRIM(IF(A163="","항목 없음 ","")&amp;IF(B163="","금액 없음 ",IF(ISNUMBER(B163),"","금액 확인 "))&amp;IF(D163="","낸 사람 없음",""))))</f>
        <v/>
      </c>
      <c r="Y163">
        <f>IF(E163="",0,1)</f>
        <v/>
      </c>
    </row>
    <row r="164">
      <c r="A164" s="41" t="n"/>
      <c r="B164" s="24" t="n"/>
      <c r="C164" s="41" t="n"/>
      <c r="D164" s="41" t="n"/>
      <c r="E164" s="19">
        <f>IF(COUNTA(A164:D164)=0,"",IF(OR(ISNUMBER(SEARCH("소계",A164)),ISNUMBER(SEARCH("합계",A164))),"",TRIM(IF(A164="","항목 없음 ","")&amp;IF(B164="","금액 없음 ",IF(ISNUMBER(B164),"","금액 확인 "))&amp;IF(D164="","낸 사람 없음",""))))</f>
        <v/>
      </c>
      <c r="Y164">
        <f>IF(E164="",0,1)</f>
        <v/>
      </c>
    </row>
    <row r="165">
      <c r="A165" s="41" t="n"/>
      <c r="B165" s="24" t="n"/>
      <c r="C165" s="41" t="n"/>
      <c r="D165" s="41" t="n"/>
      <c r="E165" s="19">
        <f>IF(COUNTA(A165:D165)=0,"",IF(OR(ISNUMBER(SEARCH("소계",A165)),ISNUMBER(SEARCH("합계",A165))),"",TRIM(IF(A165="","항목 없음 ","")&amp;IF(B165="","금액 없음 ",IF(ISNUMBER(B165),"","금액 확인 "))&amp;IF(D165="","낸 사람 없음",""))))</f>
        <v/>
      </c>
      <c r="Y165">
        <f>IF(E165="",0,1)</f>
        <v/>
      </c>
    </row>
    <row r="166">
      <c r="A166" s="41" t="n"/>
      <c r="B166" s="24" t="n"/>
      <c r="C166" s="41" t="n"/>
      <c r="D166" s="41" t="n"/>
      <c r="E166" s="19">
        <f>IF(COUNTA(A166:D166)=0,"",IF(OR(ISNUMBER(SEARCH("소계",A166)),ISNUMBER(SEARCH("합계",A166))),"",TRIM(IF(A166="","항목 없음 ","")&amp;IF(B166="","금액 없음 ",IF(ISNUMBER(B166),"","금액 확인 "))&amp;IF(D166="","낸 사람 없음",""))))</f>
        <v/>
      </c>
      <c r="Y166">
        <f>IF(E166="",0,1)</f>
        <v/>
      </c>
    </row>
    <row r="167">
      <c r="A167" s="41" t="n"/>
      <c r="B167" s="24" t="n"/>
      <c r="C167" s="41" t="n"/>
      <c r="D167" s="41" t="n"/>
      <c r="E167" s="19">
        <f>IF(COUNTA(A167:D167)=0,"",IF(OR(ISNUMBER(SEARCH("소계",A167)),ISNUMBER(SEARCH("합계",A167))),"",TRIM(IF(A167="","항목 없음 ","")&amp;IF(B167="","금액 없음 ",IF(ISNUMBER(B167),"","금액 확인 "))&amp;IF(D167="","낸 사람 없음",""))))</f>
        <v/>
      </c>
      <c r="Y167">
        <f>IF(E167="",0,1)</f>
        <v/>
      </c>
    </row>
    <row r="168">
      <c r="A168" s="41" t="n"/>
      <c r="B168" s="24" t="n"/>
      <c r="C168" s="41" t="n"/>
      <c r="D168" s="41" t="n"/>
      <c r="E168" s="19">
        <f>IF(COUNTA(A168:D168)=0,"",IF(OR(ISNUMBER(SEARCH("소계",A168)),ISNUMBER(SEARCH("합계",A168))),"",TRIM(IF(A168="","항목 없음 ","")&amp;IF(B168="","금액 없음 ",IF(ISNUMBER(B168),"","금액 확인 "))&amp;IF(D168="","낸 사람 없음",""))))</f>
        <v/>
      </c>
      <c r="Y168">
        <f>IF(E168="",0,1)</f>
        <v/>
      </c>
    </row>
    <row r="169">
      <c r="A169" s="41" t="n"/>
      <c r="B169" s="24" t="n"/>
      <c r="C169" s="41" t="n"/>
      <c r="D169" s="41" t="n"/>
      <c r="E169" s="19">
        <f>IF(COUNTA(A169:D169)=0,"",IF(OR(ISNUMBER(SEARCH("소계",A169)),ISNUMBER(SEARCH("합계",A169))),"",TRIM(IF(A169="","항목 없음 ","")&amp;IF(B169="","금액 없음 ",IF(ISNUMBER(B169),"","금액 확인 "))&amp;IF(D169="","낸 사람 없음",""))))</f>
        <v/>
      </c>
      <c r="Y169">
        <f>IF(E169="",0,1)</f>
        <v/>
      </c>
    </row>
    <row r="170">
      <c r="A170" s="41" t="n"/>
      <c r="B170" s="24" t="n"/>
      <c r="C170" s="41" t="n"/>
      <c r="D170" s="41" t="n"/>
      <c r="E170" s="19">
        <f>IF(COUNTA(A170:D170)=0,"",IF(OR(ISNUMBER(SEARCH("소계",A170)),ISNUMBER(SEARCH("합계",A170))),"",TRIM(IF(A170="","항목 없음 ","")&amp;IF(B170="","금액 없음 ",IF(ISNUMBER(B170),"","금액 확인 "))&amp;IF(D170="","낸 사람 없음",""))))</f>
        <v/>
      </c>
      <c r="Y170">
        <f>IF(E170="",0,1)</f>
        <v/>
      </c>
    </row>
    <row r="171">
      <c r="A171" s="41" t="n"/>
      <c r="B171" s="24" t="n"/>
      <c r="C171" s="41" t="n"/>
      <c r="D171" s="41" t="n"/>
      <c r="E171" s="19">
        <f>IF(COUNTA(A171:D171)=0,"",IF(OR(ISNUMBER(SEARCH("소계",A171)),ISNUMBER(SEARCH("합계",A171))),"",TRIM(IF(A171="","항목 없음 ","")&amp;IF(B171="","금액 없음 ",IF(ISNUMBER(B171),"","금액 확인 "))&amp;IF(D171="","낸 사람 없음",""))))</f>
        <v/>
      </c>
      <c r="Y171">
        <f>IF(E171="",0,1)</f>
        <v/>
      </c>
    </row>
    <row r="172">
      <c r="A172" s="41" t="n"/>
      <c r="B172" s="24" t="n"/>
      <c r="C172" s="41" t="n"/>
      <c r="D172" s="41" t="n"/>
      <c r="E172" s="19">
        <f>IF(COUNTA(A172:D172)=0,"",IF(OR(ISNUMBER(SEARCH("소계",A172)),ISNUMBER(SEARCH("합계",A172))),"",TRIM(IF(A172="","항목 없음 ","")&amp;IF(B172="","금액 없음 ",IF(ISNUMBER(B172),"","금액 확인 "))&amp;IF(D172="","낸 사람 없음",""))))</f>
        <v/>
      </c>
      <c r="Y172">
        <f>IF(E172="",0,1)</f>
        <v/>
      </c>
    </row>
    <row r="173">
      <c r="A173" s="41" t="n"/>
      <c r="B173" s="24" t="n"/>
      <c r="C173" s="41" t="n"/>
      <c r="D173" s="41" t="n"/>
      <c r="E173" s="19">
        <f>IF(COUNTA(A173:D173)=0,"",IF(OR(ISNUMBER(SEARCH("소계",A173)),ISNUMBER(SEARCH("합계",A173))),"",TRIM(IF(A173="","항목 없음 ","")&amp;IF(B173="","금액 없음 ",IF(ISNUMBER(B173),"","금액 확인 "))&amp;IF(D173="","낸 사람 없음",""))))</f>
        <v/>
      </c>
      <c r="Y173">
        <f>IF(E173="",0,1)</f>
        <v/>
      </c>
    </row>
    <row r="174">
      <c r="A174" s="41" t="n"/>
      <c r="B174" s="24" t="n"/>
      <c r="C174" s="41" t="n"/>
      <c r="D174" s="41" t="n"/>
      <c r="E174" s="19">
        <f>IF(COUNTA(A174:D174)=0,"",IF(OR(ISNUMBER(SEARCH("소계",A174)),ISNUMBER(SEARCH("합계",A174))),"",TRIM(IF(A174="","항목 없음 ","")&amp;IF(B174="","금액 없음 ",IF(ISNUMBER(B174),"","금액 확인 "))&amp;IF(D174="","낸 사람 없음",""))))</f>
        <v/>
      </c>
      <c r="Y174">
        <f>IF(E174="",0,1)</f>
        <v/>
      </c>
    </row>
    <row r="175">
      <c r="A175" s="41" t="n"/>
      <c r="B175" s="24" t="n"/>
      <c r="C175" s="41" t="n"/>
      <c r="D175" s="41" t="n"/>
      <c r="E175" s="19">
        <f>IF(COUNTA(A175:D175)=0,"",IF(OR(ISNUMBER(SEARCH("소계",A175)),ISNUMBER(SEARCH("합계",A175))),"",TRIM(IF(A175="","항목 없음 ","")&amp;IF(B175="","금액 없음 ",IF(ISNUMBER(B175),"","금액 확인 "))&amp;IF(D175="","낸 사람 없음",""))))</f>
        <v/>
      </c>
      <c r="Y175">
        <f>IF(E175="",0,1)</f>
        <v/>
      </c>
    </row>
    <row r="176">
      <c r="A176" s="41" t="n"/>
      <c r="B176" s="24" t="n"/>
      <c r="C176" s="41" t="n"/>
      <c r="D176" s="41" t="n"/>
      <c r="E176" s="19">
        <f>IF(COUNTA(A176:D176)=0,"",IF(OR(ISNUMBER(SEARCH("소계",A176)),ISNUMBER(SEARCH("합계",A176))),"",TRIM(IF(A176="","항목 없음 ","")&amp;IF(B176="","금액 없음 ",IF(ISNUMBER(B176),"","금액 확인 "))&amp;IF(D176="","낸 사람 없음",""))))</f>
        <v/>
      </c>
      <c r="Y176">
        <f>IF(E176="",0,1)</f>
        <v/>
      </c>
    </row>
    <row r="177">
      <c r="A177" s="41" t="n"/>
      <c r="B177" s="24" t="n"/>
      <c r="C177" s="41" t="n"/>
      <c r="D177" s="41" t="n"/>
      <c r="E177" s="19">
        <f>IF(COUNTA(A177:D177)=0,"",IF(OR(ISNUMBER(SEARCH("소계",A177)),ISNUMBER(SEARCH("합계",A177))),"",TRIM(IF(A177="","항목 없음 ","")&amp;IF(B177="","금액 없음 ",IF(ISNUMBER(B177),"","금액 확인 "))&amp;IF(D177="","낸 사람 없음",""))))</f>
        <v/>
      </c>
      <c r="Y177">
        <f>IF(E177="",0,1)</f>
        <v/>
      </c>
    </row>
    <row r="178">
      <c r="A178" s="41" t="n"/>
      <c r="B178" s="24" t="n"/>
      <c r="C178" s="41" t="n"/>
      <c r="D178" s="41" t="n"/>
      <c r="E178" s="19">
        <f>IF(COUNTA(A178:D178)=0,"",IF(OR(ISNUMBER(SEARCH("소계",A178)),ISNUMBER(SEARCH("합계",A178))),"",TRIM(IF(A178="","항목 없음 ","")&amp;IF(B178="","금액 없음 ",IF(ISNUMBER(B178),"","금액 확인 "))&amp;IF(D178="","낸 사람 없음",""))))</f>
        <v/>
      </c>
      <c r="Y178">
        <f>IF(E178="",0,1)</f>
        <v/>
      </c>
    </row>
    <row r="179">
      <c r="A179" s="41" t="n"/>
      <c r="B179" s="24" t="n"/>
      <c r="C179" s="41" t="n"/>
      <c r="D179" s="41" t="n"/>
      <c r="E179" s="19">
        <f>IF(COUNTA(A179:D179)=0,"",IF(OR(ISNUMBER(SEARCH("소계",A179)),ISNUMBER(SEARCH("합계",A179))),"",TRIM(IF(A179="","항목 없음 ","")&amp;IF(B179="","금액 없음 ",IF(ISNUMBER(B179),"","금액 확인 "))&amp;IF(D179="","낸 사람 없음",""))))</f>
        <v/>
      </c>
      <c r="Y179">
        <f>IF(E179="",0,1)</f>
        <v/>
      </c>
    </row>
    <row r="180">
      <c r="A180" s="41" t="n"/>
      <c r="B180" s="24" t="n"/>
      <c r="C180" s="41" t="n"/>
      <c r="D180" s="41" t="n"/>
      <c r="E180" s="19">
        <f>IF(COUNTA(A180:D180)=0,"",IF(OR(ISNUMBER(SEARCH("소계",A180)),ISNUMBER(SEARCH("합계",A180))),"",TRIM(IF(A180="","항목 없음 ","")&amp;IF(B180="","금액 없음 ",IF(ISNUMBER(B180),"","금액 확인 "))&amp;IF(D180="","낸 사람 없음",""))))</f>
        <v/>
      </c>
      <c r="Y180">
        <f>IF(E180="",0,1)</f>
        <v/>
      </c>
    </row>
    <row r="181">
      <c r="A181" s="41" t="n"/>
      <c r="B181" s="24" t="n"/>
      <c r="C181" s="41" t="n"/>
      <c r="D181" s="41" t="n"/>
      <c r="E181" s="19">
        <f>IF(COUNTA(A181:D181)=0,"",IF(OR(ISNUMBER(SEARCH("소계",A181)),ISNUMBER(SEARCH("합계",A181))),"",TRIM(IF(A181="","항목 없음 ","")&amp;IF(B181="","금액 없음 ",IF(ISNUMBER(B181),"","금액 확인 "))&amp;IF(D181="","낸 사람 없음",""))))</f>
        <v/>
      </c>
      <c r="Y181">
        <f>IF(E181="",0,1)</f>
        <v/>
      </c>
    </row>
    <row r="182">
      <c r="A182" s="41" t="n"/>
      <c r="B182" s="24" t="n"/>
      <c r="C182" s="41" t="n"/>
      <c r="D182" s="41" t="n"/>
      <c r="E182" s="19">
        <f>IF(COUNTA(A182:D182)=0,"",IF(OR(ISNUMBER(SEARCH("소계",A182)),ISNUMBER(SEARCH("합계",A182))),"",TRIM(IF(A182="","항목 없음 ","")&amp;IF(B182="","금액 없음 ",IF(ISNUMBER(B182),"","금액 확인 "))&amp;IF(D182="","낸 사람 없음",""))))</f>
        <v/>
      </c>
      <c r="Y182">
        <f>IF(E182="",0,1)</f>
        <v/>
      </c>
    </row>
    <row r="183">
      <c r="A183" s="41" t="n"/>
      <c r="B183" s="24" t="n"/>
      <c r="C183" s="41" t="n"/>
      <c r="D183" s="41" t="n"/>
      <c r="E183" s="19">
        <f>IF(COUNTA(A183:D183)=0,"",IF(OR(ISNUMBER(SEARCH("소계",A183)),ISNUMBER(SEARCH("합계",A183))),"",TRIM(IF(A183="","항목 없음 ","")&amp;IF(B183="","금액 없음 ",IF(ISNUMBER(B183),"","금액 확인 "))&amp;IF(D183="","낸 사람 없음",""))))</f>
        <v/>
      </c>
      <c r="Y183">
        <f>IF(E183="",0,1)</f>
        <v/>
      </c>
    </row>
    <row r="184">
      <c r="A184" s="41" t="n"/>
      <c r="B184" s="24" t="n"/>
      <c r="C184" s="41" t="n"/>
      <c r="D184" s="41" t="n"/>
      <c r="E184" s="19">
        <f>IF(COUNTA(A184:D184)=0,"",IF(OR(ISNUMBER(SEARCH("소계",A184)),ISNUMBER(SEARCH("합계",A184))),"",TRIM(IF(A184="","항목 없음 ","")&amp;IF(B184="","금액 없음 ",IF(ISNUMBER(B184),"","금액 확인 "))&amp;IF(D184="","낸 사람 없음",""))))</f>
        <v/>
      </c>
      <c r="Y184">
        <f>IF(E184="",0,1)</f>
        <v/>
      </c>
    </row>
    <row r="185">
      <c r="A185" s="41" t="n"/>
      <c r="B185" s="24" t="n"/>
      <c r="C185" s="41" t="n"/>
      <c r="D185" s="41" t="n"/>
      <c r="E185" s="19">
        <f>IF(COUNTA(A185:D185)=0,"",IF(OR(ISNUMBER(SEARCH("소계",A185)),ISNUMBER(SEARCH("합계",A185))),"",TRIM(IF(A185="","항목 없음 ","")&amp;IF(B185="","금액 없음 ",IF(ISNUMBER(B185),"","금액 확인 "))&amp;IF(D185="","낸 사람 없음",""))))</f>
        <v/>
      </c>
      <c r="Y185">
        <f>IF(E185="",0,1)</f>
        <v/>
      </c>
    </row>
    <row r="186">
      <c r="A186" s="41" t="n"/>
      <c r="B186" s="24" t="n"/>
      <c r="C186" s="41" t="n"/>
      <c r="D186" s="41" t="n"/>
      <c r="E186" s="19">
        <f>IF(COUNTA(A186:D186)=0,"",IF(OR(ISNUMBER(SEARCH("소계",A186)),ISNUMBER(SEARCH("합계",A186))),"",TRIM(IF(A186="","항목 없음 ","")&amp;IF(B186="","금액 없음 ",IF(ISNUMBER(B186),"","금액 확인 "))&amp;IF(D186="","낸 사람 없음",""))))</f>
        <v/>
      </c>
      <c r="Y186">
        <f>IF(E186="",0,1)</f>
        <v/>
      </c>
    </row>
    <row r="187">
      <c r="A187" s="41" t="n"/>
      <c r="B187" s="24" t="n"/>
      <c r="C187" s="41" t="n"/>
      <c r="D187" s="41" t="n"/>
      <c r="E187" s="19">
        <f>IF(COUNTA(A187:D187)=0,"",IF(OR(ISNUMBER(SEARCH("소계",A187)),ISNUMBER(SEARCH("합계",A187))),"",TRIM(IF(A187="","항목 없음 ","")&amp;IF(B187="","금액 없음 ",IF(ISNUMBER(B187),"","금액 확인 "))&amp;IF(D187="","낸 사람 없음",""))))</f>
        <v/>
      </c>
      <c r="Y187">
        <f>IF(E187="",0,1)</f>
        <v/>
      </c>
    </row>
    <row r="188">
      <c r="A188" s="41" t="n"/>
      <c r="B188" s="24" t="n"/>
      <c r="C188" s="41" t="n"/>
      <c r="D188" s="41" t="n"/>
      <c r="E188" s="19">
        <f>IF(COUNTA(A188:D188)=0,"",IF(OR(ISNUMBER(SEARCH("소계",A188)),ISNUMBER(SEARCH("합계",A188))),"",TRIM(IF(A188="","항목 없음 ","")&amp;IF(B188="","금액 없음 ",IF(ISNUMBER(B188),"","금액 확인 "))&amp;IF(D188="","낸 사람 없음",""))))</f>
        <v/>
      </c>
      <c r="Y188">
        <f>IF(E188="",0,1)</f>
        <v/>
      </c>
    </row>
    <row r="189">
      <c r="A189" s="41" t="n"/>
      <c r="B189" s="24" t="n"/>
      <c r="C189" s="41" t="n"/>
      <c r="D189" s="41" t="n"/>
      <c r="E189" s="19">
        <f>IF(COUNTA(A189:D189)=0,"",IF(OR(ISNUMBER(SEARCH("소계",A189)),ISNUMBER(SEARCH("합계",A189))),"",TRIM(IF(A189="","항목 없음 ","")&amp;IF(B189="","금액 없음 ",IF(ISNUMBER(B189),"","금액 확인 "))&amp;IF(D189="","낸 사람 없음",""))))</f>
        <v/>
      </c>
      <c r="Y189">
        <f>IF(E189="",0,1)</f>
        <v/>
      </c>
    </row>
    <row r="190">
      <c r="A190" s="41" t="n"/>
      <c r="B190" s="24" t="n"/>
      <c r="C190" s="41" t="n"/>
      <c r="D190" s="41" t="n"/>
      <c r="E190" s="19">
        <f>IF(COUNTA(A190:D190)=0,"",IF(OR(ISNUMBER(SEARCH("소계",A190)),ISNUMBER(SEARCH("합계",A190))),"",TRIM(IF(A190="","항목 없음 ","")&amp;IF(B190="","금액 없음 ",IF(ISNUMBER(B190),"","금액 확인 "))&amp;IF(D190="","낸 사람 없음",""))))</f>
        <v/>
      </c>
      <c r="Y190">
        <f>IF(E190="",0,1)</f>
        <v/>
      </c>
    </row>
    <row r="191">
      <c r="A191" s="41" t="n"/>
      <c r="B191" s="24" t="n"/>
      <c r="C191" s="41" t="n"/>
      <c r="D191" s="41" t="n"/>
      <c r="E191" s="19">
        <f>IF(COUNTA(A191:D191)=0,"",IF(OR(ISNUMBER(SEARCH("소계",A191)),ISNUMBER(SEARCH("합계",A191))),"",TRIM(IF(A191="","항목 없음 ","")&amp;IF(B191="","금액 없음 ",IF(ISNUMBER(B191),"","금액 확인 "))&amp;IF(D191="","낸 사람 없음",""))))</f>
        <v/>
      </c>
      <c r="Y191">
        <f>IF(E191="",0,1)</f>
        <v/>
      </c>
    </row>
    <row r="192">
      <c r="A192" s="41" t="n"/>
      <c r="B192" s="24" t="n"/>
      <c r="C192" s="41" t="n"/>
      <c r="D192" s="41" t="n"/>
      <c r="E192" s="19">
        <f>IF(COUNTA(A192:D192)=0,"",IF(OR(ISNUMBER(SEARCH("소계",A192)),ISNUMBER(SEARCH("합계",A192))),"",TRIM(IF(A192="","항목 없음 ","")&amp;IF(B192="","금액 없음 ",IF(ISNUMBER(B192),"","금액 확인 "))&amp;IF(D192="","낸 사람 없음",""))))</f>
        <v/>
      </c>
      <c r="Y192">
        <f>IF(E192="",0,1)</f>
        <v/>
      </c>
    </row>
    <row r="193">
      <c r="A193" s="41" t="n"/>
      <c r="B193" s="24" t="n"/>
      <c r="C193" s="41" t="n"/>
      <c r="D193" s="41" t="n"/>
      <c r="E193" s="19">
        <f>IF(COUNTA(A193:D193)=0,"",IF(OR(ISNUMBER(SEARCH("소계",A193)),ISNUMBER(SEARCH("합계",A193))),"",TRIM(IF(A193="","항목 없음 ","")&amp;IF(B193="","금액 없음 ",IF(ISNUMBER(B193),"","금액 확인 "))&amp;IF(D193="","낸 사람 없음",""))))</f>
        <v/>
      </c>
      <c r="Y193">
        <f>IF(E193="",0,1)</f>
        <v/>
      </c>
    </row>
    <row r="194">
      <c r="A194" s="41" t="n"/>
      <c r="B194" s="24" t="n"/>
      <c r="C194" s="41" t="n"/>
      <c r="D194" s="41" t="n"/>
      <c r="E194" s="19">
        <f>IF(COUNTA(A194:D194)=0,"",IF(OR(ISNUMBER(SEARCH("소계",A194)),ISNUMBER(SEARCH("합계",A194))),"",TRIM(IF(A194="","항목 없음 ","")&amp;IF(B194="","금액 없음 ",IF(ISNUMBER(B194),"","금액 확인 "))&amp;IF(D194="","낸 사람 없음",""))))</f>
        <v/>
      </c>
      <c r="Y194">
        <f>IF(E194="",0,1)</f>
        <v/>
      </c>
    </row>
    <row r="195">
      <c r="A195" s="41" t="n"/>
      <c r="B195" s="24" t="n"/>
      <c r="C195" s="41" t="n"/>
      <c r="D195" s="41" t="n"/>
      <c r="E195" s="19">
        <f>IF(COUNTA(A195:D195)=0,"",IF(OR(ISNUMBER(SEARCH("소계",A195)),ISNUMBER(SEARCH("합계",A195))),"",TRIM(IF(A195="","항목 없음 ","")&amp;IF(B195="","금액 없음 ",IF(ISNUMBER(B195),"","금액 확인 "))&amp;IF(D195="","낸 사람 없음",""))))</f>
        <v/>
      </c>
      <c r="Y195">
        <f>IF(E195="",0,1)</f>
        <v/>
      </c>
    </row>
    <row r="196">
      <c r="A196" s="41" t="n"/>
      <c r="B196" s="24" t="n"/>
      <c r="C196" s="41" t="n"/>
      <c r="D196" s="41" t="n"/>
      <c r="E196" s="19">
        <f>IF(COUNTA(A196:D196)=0,"",IF(OR(ISNUMBER(SEARCH("소계",A196)),ISNUMBER(SEARCH("합계",A196))),"",TRIM(IF(A196="","항목 없음 ","")&amp;IF(B196="","금액 없음 ",IF(ISNUMBER(B196),"","금액 확인 "))&amp;IF(D196="","낸 사람 없음",""))))</f>
        <v/>
      </c>
      <c r="Y196">
        <f>IF(E196="",0,1)</f>
        <v/>
      </c>
    </row>
    <row r="197">
      <c r="A197" s="41" t="n"/>
      <c r="B197" s="24" t="n"/>
      <c r="C197" s="41" t="n"/>
      <c r="D197" s="41" t="n"/>
      <c r="E197" s="19">
        <f>IF(COUNTA(A197:D197)=0,"",IF(OR(ISNUMBER(SEARCH("소계",A197)),ISNUMBER(SEARCH("합계",A197))),"",TRIM(IF(A197="","항목 없음 ","")&amp;IF(B197="","금액 없음 ",IF(ISNUMBER(B197),"","금액 확인 "))&amp;IF(D197="","낸 사람 없음",""))))</f>
        <v/>
      </c>
      <c r="Y197">
        <f>IF(E197="",0,1)</f>
        <v/>
      </c>
    </row>
    <row r="198">
      <c r="A198" s="41" t="n"/>
      <c r="B198" s="24" t="n"/>
      <c r="C198" s="41" t="n"/>
      <c r="D198" s="41" t="n"/>
      <c r="E198" s="19">
        <f>IF(COUNTA(A198:D198)=0,"",IF(OR(ISNUMBER(SEARCH("소계",A198)),ISNUMBER(SEARCH("합계",A198))),"",TRIM(IF(A198="","항목 없음 ","")&amp;IF(B198="","금액 없음 ",IF(ISNUMBER(B198),"","금액 확인 "))&amp;IF(D198="","낸 사람 없음",""))))</f>
        <v/>
      </c>
      <c r="Y198">
        <f>IF(E198="",0,1)</f>
        <v/>
      </c>
    </row>
    <row r="199">
      <c r="A199" s="41" t="n"/>
      <c r="B199" s="24" t="n"/>
      <c r="C199" s="41" t="n"/>
      <c r="D199" s="41" t="n"/>
      <c r="E199" s="19">
        <f>IF(COUNTA(A199:D199)=0,"",IF(OR(ISNUMBER(SEARCH("소계",A199)),ISNUMBER(SEARCH("합계",A199))),"",TRIM(IF(A199="","항목 없음 ","")&amp;IF(B199="","금액 없음 ",IF(ISNUMBER(B199),"","금액 확인 "))&amp;IF(D199="","낸 사람 없음",""))))</f>
        <v/>
      </c>
      <c r="Y199">
        <f>IF(E199="",0,1)</f>
        <v/>
      </c>
    </row>
    <row r="200">
      <c r="A200" s="41" t="n"/>
      <c r="B200" s="24" t="n"/>
      <c r="C200" s="41" t="n"/>
      <c r="D200" s="41" t="n"/>
      <c r="E200" s="19">
        <f>IF(COUNTA(A200:D200)=0,"",IF(OR(ISNUMBER(SEARCH("소계",A200)),ISNUMBER(SEARCH("합계",A200))),"",TRIM(IF(A200="","항목 없음 ","")&amp;IF(B200="","금액 없음 ",IF(ISNUMBER(B200),"","금액 확인 "))&amp;IF(D200="","낸 사람 없음",""))))</f>
        <v/>
      </c>
      <c r="Y200">
        <f>IF(E200="",0,1)</f>
        <v/>
      </c>
    </row>
    <row r="201">
      <c r="A201" s="41" t="n"/>
      <c r="B201" s="24" t="n"/>
      <c r="C201" s="41" t="n"/>
      <c r="D201" s="41" t="n"/>
      <c r="E201" s="19">
        <f>IF(COUNTA(A201:D201)=0,"",IF(OR(ISNUMBER(SEARCH("소계",A201)),ISNUMBER(SEARCH("합계",A201))),"",TRIM(IF(A201="","항목 없음 ","")&amp;IF(B201="","금액 없음 ",IF(ISNUMBER(B201),"","금액 확인 "))&amp;IF(D201="","낸 사람 없음",""))))</f>
        <v/>
      </c>
      <c r="Y201">
        <f>IF(E201="",0,1)</f>
        <v/>
      </c>
    </row>
    <row r="202">
      <c r="A202" s="41" t="n"/>
      <c r="B202" s="24" t="n"/>
      <c r="C202" s="41" t="n"/>
      <c r="D202" s="41" t="n"/>
      <c r="E202" s="19">
        <f>IF(COUNTA(A202:D202)=0,"",IF(OR(ISNUMBER(SEARCH("소계",A202)),ISNUMBER(SEARCH("합계",A202))),"",TRIM(IF(A202="","항목 없음 ","")&amp;IF(B202="","금액 없음 ",IF(ISNUMBER(B202),"","금액 확인 "))&amp;IF(D202="","낸 사람 없음",""))))</f>
        <v/>
      </c>
      <c r="Y202">
        <f>IF(E202="",0,1)</f>
        <v/>
      </c>
    </row>
    <row r="203">
      <c r="A203" s="41" t="n"/>
      <c r="B203" s="24" t="n"/>
      <c r="C203" s="41" t="n"/>
      <c r="D203" s="41" t="n"/>
      <c r="E203" s="19">
        <f>IF(COUNTA(A203:D203)=0,"",IF(OR(ISNUMBER(SEARCH("소계",A203)),ISNUMBER(SEARCH("합계",A203))),"",TRIM(IF(A203="","항목 없음 ","")&amp;IF(B203="","금액 없음 ",IF(ISNUMBER(B203),"","금액 확인 "))&amp;IF(D203="","낸 사람 없음",""))))</f>
        <v/>
      </c>
      <c r="Y203">
        <f>IF(E203="",0,1)</f>
        <v/>
      </c>
    </row>
    <row r="204">
      <c r="A204" s="41" t="n"/>
      <c r="B204" s="24" t="n"/>
      <c r="C204" s="41" t="n"/>
      <c r="D204" s="41" t="n"/>
      <c r="E204" s="19">
        <f>IF(COUNTA(A204:D204)=0,"",IF(OR(ISNUMBER(SEARCH("소계",A204)),ISNUMBER(SEARCH("합계",A204))),"",TRIM(IF(A204="","항목 없음 ","")&amp;IF(B204="","금액 없음 ",IF(ISNUMBER(B204),"","금액 확인 "))&amp;IF(D204="","낸 사람 없음",""))))</f>
        <v/>
      </c>
      <c r="Y204">
        <f>IF(E204="",0,1)</f>
        <v/>
      </c>
    </row>
    <row r="205">
      <c r="A205" s="41" t="n"/>
      <c r="B205" s="24" t="n"/>
      <c r="C205" s="41" t="n"/>
      <c r="D205" s="41" t="n"/>
      <c r="E205" s="19">
        <f>IF(COUNTA(A205:D205)=0,"",IF(OR(ISNUMBER(SEARCH("소계",A205)),ISNUMBER(SEARCH("합계",A205))),"",TRIM(IF(A205="","항목 없음 ","")&amp;IF(B205="","금액 없음 ",IF(ISNUMBER(B205),"","금액 확인 "))&amp;IF(D205="","낸 사람 없음",""))))</f>
        <v/>
      </c>
      <c r="Y205">
        <f>IF(E205="",0,1)</f>
        <v/>
      </c>
    </row>
    <row r="206">
      <c r="A206" s="41" t="n"/>
      <c r="B206" s="24" t="n"/>
      <c r="C206" s="41" t="n"/>
      <c r="D206" s="41" t="n"/>
      <c r="E206" s="19">
        <f>IF(COUNTA(A206:D206)=0,"",IF(OR(ISNUMBER(SEARCH("소계",A206)),ISNUMBER(SEARCH("합계",A206))),"",TRIM(IF(A206="","항목 없음 ","")&amp;IF(B206="","금액 없음 ",IF(ISNUMBER(B206),"","금액 확인 "))&amp;IF(D206="","낸 사람 없음",""))))</f>
        <v/>
      </c>
      <c r="Y206">
        <f>IF(E206="",0,1)</f>
        <v/>
      </c>
    </row>
    <row r="207">
      <c r="A207" s="41" t="n"/>
      <c r="B207" s="24" t="n"/>
      <c r="C207" s="41" t="n"/>
      <c r="D207" s="41" t="n"/>
      <c r="E207" s="19">
        <f>IF(COUNTA(A207:D207)=0,"",IF(OR(ISNUMBER(SEARCH("소계",A207)),ISNUMBER(SEARCH("합계",A207))),"",TRIM(IF(A207="","항목 없음 ","")&amp;IF(B207="","금액 없음 ",IF(ISNUMBER(B207),"","금액 확인 "))&amp;IF(D207="","낸 사람 없음",""))))</f>
        <v/>
      </c>
      <c r="Y207">
        <f>IF(E207="",0,1)</f>
        <v/>
      </c>
    </row>
    <row r="208">
      <c r="A208" s="41" t="n"/>
      <c r="B208" s="24" t="n"/>
      <c r="C208" s="41" t="n"/>
      <c r="D208" s="41" t="n"/>
      <c r="E208" s="19">
        <f>IF(COUNTA(A208:D208)=0,"",IF(OR(ISNUMBER(SEARCH("소계",A208)),ISNUMBER(SEARCH("합계",A208))),"",TRIM(IF(A208="","항목 없음 ","")&amp;IF(B208="","금액 없음 ",IF(ISNUMBER(B208),"","금액 확인 "))&amp;IF(D208="","낸 사람 없음",""))))</f>
        <v/>
      </c>
      <c r="Y208">
        <f>IF(E208="",0,1)</f>
        <v/>
      </c>
    </row>
    <row r="209">
      <c r="A209" s="41" t="n"/>
      <c r="B209" s="24" t="n"/>
      <c r="C209" s="41" t="n"/>
      <c r="D209" s="41" t="n"/>
      <c r="E209" s="19">
        <f>IF(COUNTA(A209:D209)=0,"",IF(OR(ISNUMBER(SEARCH("소계",A209)),ISNUMBER(SEARCH("합계",A209))),"",TRIM(IF(A209="","항목 없음 ","")&amp;IF(B209="","금액 없음 ",IF(ISNUMBER(B209),"","금액 확인 "))&amp;IF(D209="","낸 사람 없음",""))))</f>
        <v/>
      </c>
      <c r="Y209">
        <f>IF(E209="",0,1)</f>
        <v/>
      </c>
    </row>
    <row r="210">
      <c r="A210" s="41" t="n"/>
      <c r="B210" s="24" t="n"/>
      <c r="C210" s="41" t="n"/>
      <c r="D210" s="41" t="n"/>
      <c r="E210" s="19">
        <f>IF(COUNTA(A210:D210)=0,"",IF(OR(ISNUMBER(SEARCH("소계",A210)),ISNUMBER(SEARCH("합계",A210))),"",TRIM(IF(A210="","항목 없음 ","")&amp;IF(B210="","금액 없음 ",IF(ISNUMBER(B210),"","금액 확인 "))&amp;IF(D210="","낸 사람 없음",""))))</f>
        <v/>
      </c>
      <c r="Y210">
        <f>IF(E210="",0,1)</f>
        <v/>
      </c>
    </row>
    <row r="211">
      <c r="A211" s="41" t="n"/>
      <c r="B211" s="24" t="n"/>
      <c r="C211" s="41" t="n"/>
      <c r="D211" s="41" t="n"/>
      <c r="E211" s="19">
        <f>IF(COUNTA(A211:D211)=0,"",IF(OR(ISNUMBER(SEARCH("소계",A211)),ISNUMBER(SEARCH("합계",A211))),"",TRIM(IF(A211="","항목 없음 ","")&amp;IF(B211="","금액 없음 ",IF(ISNUMBER(B211),"","금액 확인 "))&amp;IF(D211="","낸 사람 없음",""))))</f>
        <v/>
      </c>
      <c r="Y211">
        <f>IF(E211="",0,1)</f>
        <v/>
      </c>
    </row>
    <row r="212">
      <c r="A212" s="41" t="n"/>
      <c r="B212" s="24" t="n"/>
      <c r="C212" s="41" t="n"/>
      <c r="D212" s="41" t="n"/>
      <c r="E212" s="19">
        <f>IF(COUNTA(A212:D212)=0,"",IF(OR(ISNUMBER(SEARCH("소계",A212)),ISNUMBER(SEARCH("합계",A212))),"",TRIM(IF(A212="","항목 없음 ","")&amp;IF(B212="","금액 없음 ",IF(ISNUMBER(B212),"","금액 확인 "))&amp;IF(D212="","낸 사람 없음",""))))</f>
        <v/>
      </c>
      <c r="Y212">
        <f>IF(E212="",0,1)</f>
        <v/>
      </c>
    </row>
    <row r="213">
      <c r="A213" s="41" t="n"/>
      <c r="B213" s="24" t="n"/>
      <c r="C213" s="41" t="n"/>
      <c r="D213" s="41" t="n"/>
      <c r="E213" s="19">
        <f>IF(COUNTA(A213:D213)=0,"",IF(OR(ISNUMBER(SEARCH("소계",A213)),ISNUMBER(SEARCH("합계",A213))),"",TRIM(IF(A213="","항목 없음 ","")&amp;IF(B213="","금액 없음 ",IF(ISNUMBER(B213),"","금액 확인 "))&amp;IF(D213="","낸 사람 없음",""))))</f>
        <v/>
      </c>
      <c r="Y213">
        <f>IF(E213="",0,1)</f>
        <v/>
      </c>
    </row>
    <row r="214">
      <c r="A214" s="41" t="n"/>
      <c r="B214" s="24" t="n"/>
      <c r="C214" s="41" t="n"/>
      <c r="D214" s="41" t="n"/>
      <c r="E214" s="19">
        <f>IF(COUNTA(A214:D214)=0,"",IF(OR(ISNUMBER(SEARCH("소계",A214)),ISNUMBER(SEARCH("합계",A214))),"",TRIM(IF(A214="","항목 없음 ","")&amp;IF(B214="","금액 없음 ",IF(ISNUMBER(B214),"","금액 확인 "))&amp;IF(D214="","낸 사람 없음",""))))</f>
        <v/>
      </c>
      <c r="Y214">
        <f>IF(E214="",0,1)</f>
        <v/>
      </c>
    </row>
    <row r="215">
      <c r="A215" s="41" t="n"/>
      <c r="B215" s="24" t="n"/>
      <c r="C215" s="41" t="n"/>
      <c r="D215" s="41" t="n"/>
      <c r="E215" s="19">
        <f>IF(COUNTA(A215:D215)=0,"",IF(OR(ISNUMBER(SEARCH("소계",A215)),ISNUMBER(SEARCH("합계",A215))),"",TRIM(IF(A215="","항목 없음 ","")&amp;IF(B215="","금액 없음 ",IF(ISNUMBER(B215),"","금액 확인 "))&amp;IF(D215="","낸 사람 없음",""))))</f>
        <v/>
      </c>
      <c r="Y215">
        <f>IF(E215="",0,1)</f>
        <v/>
      </c>
    </row>
    <row r="216">
      <c r="A216" s="41" t="n"/>
      <c r="B216" s="24" t="n"/>
      <c r="C216" s="41" t="n"/>
      <c r="D216" s="41" t="n"/>
      <c r="E216" s="19">
        <f>IF(COUNTA(A216:D216)=0,"",IF(OR(ISNUMBER(SEARCH("소계",A216)),ISNUMBER(SEARCH("합계",A216))),"",TRIM(IF(A216="","항목 없음 ","")&amp;IF(B216="","금액 없음 ",IF(ISNUMBER(B216),"","금액 확인 "))&amp;IF(D216="","낸 사람 없음",""))))</f>
        <v/>
      </c>
      <c r="Y216">
        <f>IF(E216="",0,1)</f>
        <v/>
      </c>
    </row>
    <row r="217">
      <c r="A217" s="41" t="n"/>
      <c r="B217" s="24" t="n"/>
      <c r="C217" s="41" t="n"/>
      <c r="D217" s="41" t="n"/>
      <c r="E217" s="19">
        <f>IF(COUNTA(A217:D217)=0,"",IF(OR(ISNUMBER(SEARCH("소계",A217)),ISNUMBER(SEARCH("합계",A217))),"",TRIM(IF(A217="","항목 없음 ","")&amp;IF(B217="","금액 없음 ",IF(ISNUMBER(B217),"","금액 확인 "))&amp;IF(D217="","낸 사람 없음",""))))</f>
        <v/>
      </c>
      <c r="Y217">
        <f>IF(E217="",0,1)</f>
        <v/>
      </c>
    </row>
    <row r="218">
      <c r="A218" s="41" t="n"/>
      <c r="B218" s="24" t="n"/>
      <c r="C218" s="41" t="n"/>
      <c r="D218" s="41" t="n"/>
      <c r="E218" s="19">
        <f>IF(COUNTA(A218:D218)=0,"",IF(OR(ISNUMBER(SEARCH("소계",A218)),ISNUMBER(SEARCH("합계",A218))),"",TRIM(IF(A218="","항목 없음 ","")&amp;IF(B218="","금액 없음 ",IF(ISNUMBER(B218),"","금액 확인 "))&amp;IF(D218="","낸 사람 없음",""))))</f>
        <v/>
      </c>
      <c r="Y218">
        <f>IF(E218="",0,1)</f>
        <v/>
      </c>
    </row>
    <row r="219">
      <c r="A219" s="41" t="n"/>
      <c r="B219" s="24" t="n"/>
      <c r="C219" s="41" t="n"/>
      <c r="D219" s="41" t="n"/>
      <c r="E219" s="19">
        <f>IF(COUNTA(A219:D219)=0,"",IF(OR(ISNUMBER(SEARCH("소계",A219)),ISNUMBER(SEARCH("합계",A219))),"",TRIM(IF(A219="","항목 없음 ","")&amp;IF(B219="","금액 없음 ",IF(ISNUMBER(B219),"","금액 확인 "))&amp;IF(D219="","낸 사람 없음",""))))</f>
        <v/>
      </c>
      <c r="Y219">
        <f>IF(E219="",0,1)</f>
        <v/>
      </c>
    </row>
    <row r="220">
      <c r="A220" s="41" t="n"/>
      <c r="B220" s="24" t="n"/>
      <c r="C220" s="41" t="n"/>
      <c r="D220" s="41" t="n"/>
      <c r="E220" s="19">
        <f>IF(COUNTA(A220:D220)=0,"",IF(OR(ISNUMBER(SEARCH("소계",A220)),ISNUMBER(SEARCH("합계",A220))),"",TRIM(IF(A220="","항목 없음 ","")&amp;IF(B220="","금액 없음 ",IF(ISNUMBER(B220),"","금액 확인 "))&amp;IF(D220="","낸 사람 없음",""))))</f>
        <v/>
      </c>
      <c r="Y220">
        <f>IF(E220="",0,1)</f>
        <v/>
      </c>
    </row>
    <row r="221">
      <c r="A221" s="41" t="n"/>
      <c r="B221" s="24" t="n"/>
      <c r="C221" s="41" t="n"/>
      <c r="D221" s="41" t="n"/>
      <c r="E221" s="19">
        <f>IF(COUNTA(A221:D221)=0,"",IF(OR(ISNUMBER(SEARCH("소계",A221)),ISNUMBER(SEARCH("합계",A221))),"",TRIM(IF(A221="","항목 없음 ","")&amp;IF(B221="","금액 없음 ",IF(ISNUMBER(B221),"","금액 확인 "))&amp;IF(D221="","낸 사람 없음",""))))</f>
        <v/>
      </c>
      <c r="Y221">
        <f>IF(E221="",0,1)</f>
        <v/>
      </c>
    </row>
    <row r="222">
      <c r="A222" s="41" t="n"/>
      <c r="B222" s="24" t="n"/>
      <c r="C222" s="41" t="n"/>
      <c r="D222" s="41" t="n"/>
      <c r="E222" s="19">
        <f>IF(COUNTA(A222:D222)=0,"",IF(OR(ISNUMBER(SEARCH("소계",A222)),ISNUMBER(SEARCH("합계",A222))),"",TRIM(IF(A222="","항목 없음 ","")&amp;IF(B222="","금액 없음 ",IF(ISNUMBER(B222),"","금액 확인 "))&amp;IF(D222="","낸 사람 없음",""))))</f>
        <v/>
      </c>
      <c r="Y222">
        <f>IF(E222="",0,1)</f>
        <v/>
      </c>
    </row>
    <row r="223">
      <c r="A223" s="41" t="n"/>
      <c r="B223" s="24" t="n"/>
      <c r="C223" s="41" t="n"/>
      <c r="D223" s="41" t="n"/>
      <c r="E223" s="19">
        <f>IF(COUNTA(A223:D223)=0,"",IF(OR(ISNUMBER(SEARCH("소계",A223)),ISNUMBER(SEARCH("합계",A223))),"",TRIM(IF(A223="","항목 없음 ","")&amp;IF(B223="","금액 없음 ",IF(ISNUMBER(B223),"","금액 확인 "))&amp;IF(D223="","낸 사람 없음",""))))</f>
        <v/>
      </c>
      <c r="Y223">
        <f>IF(E223="",0,1)</f>
        <v/>
      </c>
    </row>
    <row r="224">
      <c r="A224" s="41" t="n"/>
      <c r="B224" s="24" t="n"/>
      <c r="C224" s="41" t="n"/>
      <c r="D224" s="41" t="n"/>
      <c r="E224" s="19">
        <f>IF(COUNTA(A224:D224)=0,"",IF(OR(ISNUMBER(SEARCH("소계",A224)),ISNUMBER(SEARCH("합계",A224))),"",TRIM(IF(A224="","항목 없음 ","")&amp;IF(B224="","금액 없음 ",IF(ISNUMBER(B224),"","금액 확인 "))&amp;IF(D224="","낸 사람 없음",""))))</f>
        <v/>
      </c>
      <c r="Y224">
        <f>IF(E224="",0,1)</f>
        <v/>
      </c>
    </row>
    <row r="225">
      <c r="A225" s="41" t="n"/>
      <c r="B225" s="24" t="n"/>
      <c r="C225" s="41" t="n"/>
      <c r="D225" s="41" t="n"/>
      <c r="E225" s="19">
        <f>IF(COUNTA(A225:D225)=0,"",IF(OR(ISNUMBER(SEARCH("소계",A225)),ISNUMBER(SEARCH("합계",A225))),"",TRIM(IF(A225="","항목 없음 ","")&amp;IF(B225="","금액 없음 ",IF(ISNUMBER(B225),"","금액 확인 "))&amp;IF(D225="","낸 사람 없음",""))))</f>
        <v/>
      </c>
      <c r="Y225">
        <f>IF(E225="",0,1)</f>
        <v/>
      </c>
    </row>
    <row r="226">
      <c r="A226" s="41" t="n"/>
      <c r="B226" s="24" t="n"/>
      <c r="C226" s="41" t="n"/>
      <c r="D226" s="41" t="n"/>
      <c r="E226" s="19">
        <f>IF(COUNTA(A226:D226)=0,"",IF(OR(ISNUMBER(SEARCH("소계",A226)),ISNUMBER(SEARCH("합계",A226))),"",TRIM(IF(A226="","항목 없음 ","")&amp;IF(B226="","금액 없음 ",IF(ISNUMBER(B226),"","금액 확인 "))&amp;IF(D226="","낸 사람 없음",""))))</f>
        <v/>
      </c>
      <c r="Y226">
        <f>IF(E226="",0,1)</f>
        <v/>
      </c>
    </row>
    <row r="227">
      <c r="A227" s="41" t="n"/>
      <c r="B227" s="24" t="n"/>
      <c r="C227" s="41" t="n"/>
      <c r="D227" s="41" t="n"/>
      <c r="E227" s="19">
        <f>IF(COUNTA(A227:D227)=0,"",IF(OR(ISNUMBER(SEARCH("소계",A227)),ISNUMBER(SEARCH("합계",A227))),"",TRIM(IF(A227="","항목 없음 ","")&amp;IF(B227="","금액 없음 ",IF(ISNUMBER(B227),"","금액 확인 "))&amp;IF(D227="","낸 사람 없음",""))))</f>
        <v/>
      </c>
      <c r="Y227">
        <f>IF(E227="",0,1)</f>
        <v/>
      </c>
    </row>
    <row r="228">
      <c r="A228" s="41" t="n"/>
      <c r="B228" s="24" t="n"/>
      <c r="C228" s="41" t="n"/>
      <c r="D228" s="41" t="n"/>
      <c r="E228" s="19">
        <f>IF(COUNTA(A228:D228)=0,"",IF(OR(ISNUMBER(SEARCH("소계",A228)),ISNUMBER(SEARCH("합계",A228))),"",TRIM(IF(A228="","항목 없음 ","")&amp;IF(B228="","금액 없음 ",IF(ISNUMBER(B228),"","금액 확인 "))&amp;IF(D228="","낸 사람 없음",""))))</f>
        <v/>
      </c>
      <c r="Y228">
        <f>IF(E228="",0,1)</f>
        <v/>
      </c>
    </row>
    <row r="229">
      <c r="A229" s="41" t="n"/>
      <c r="B229" s="24" t="n"/>
      <c r="C229" s="41" t="n"/>
      <c r="D229" s="41" t="n"/>
      <c r="E229" s="19">
        <f>IF(COUNTA(A229:D229)=0,"",IF(OR(ISNUMBER(SEARCH("소계",A229)),ISNUMBER(SEARCH("합계",A229))),"",TRIM(IF(A229="","항목 없음 ","")&amp;IF(B229="","금액 없음 ",IF(ISNUMBER(B229),"","금액 확인 "))&amp;IF(D229="","낸 사람 없음",""))))</f>
        <v/>
      </c>
      <c r="Y229">
        <f>IF(E229="",0,1)</f>
        <v/>
      </c>
    </row>
    <row r="230">
      <c r="A230" s="41" t="n"/>
      <c r="B230" s="24" t="n"/>
      <c r="C230" s="41" t="n"/>
      <c r="D230" s="41" t="n"/>
      <c r="E230" s="19">
        <f>IF(COUNTA(A230:D230)=0,"",IF(OR(ISNUMBER(SEARCH("소계",A230)),ISNUMBER(SEARCH("합계",A230))),"",TRIM(IF(A230="","항목 없음 ","")&amp;IF(B230="","금액 없음 ",IF(ISNUMBER(B230),"","금액 확인 "))&amp;IF(D230="","낸 사람 없음",""))))</f>
        <v/>
      </c>
      <c r="Y230">
        <f>IF(E230="",0,1)</f>
        <v/>
      </c>
    </row>
    <row r="231">
      <c r="A231" s="41" t="n"/>
      <c r="B231" s="24" t="n"/>
      <c r="C231" s="41" t="n"/>
      <c r="D231" s="41" t="n"/>
      <c r="E231" s="19">
        <f>IF(COUNTA(A231:D231)=0,"",IF(OR(ISNUMBER(SEARCH("소계",A231)),ISNUMBER(SEARCH("합계",A231))),"",TRIM(IF(A231="","항목 없음 ","")&amp;IF(B231="","금액 없음 ",IF(ISNUMBER(B231),"","금액 확인 "))&amp;IF(D231="","낸 사람 없음",""))))</f>
        <v/>
      </c>
      <c r="Y231">
        <f>IF(E231="",0,1)</f>
        <v/>
      </c>
    </row>
    <row r="232">
      <c r="A232" s="41" t="n"/>
      <c r="B232" s="24" t="n"/>
      <c r="C232" s="41" t="n"/>
      <c r="D232" s="41" t="n"/>
      <c r="E232" s="19">
        <f>IF(COUNTA(A232:D232)=0,"",IF(OR(ISNUMBER(SEARCH("소계",A232)),ISNUMBER(SEARCH("합계",A232))),"",TRIM(IF(A232="","항목 없음 ","")&amp;IF(B232="","금액 없음 ",IF(ISNUMBER(B232),"","금액 확인 "))&amp;IF(D232="","낸 사람 없음",""))))</f>
        <v/>
      </c>
      <c r="Y232">
        <f>IF(E232="",0,1)</f>
        <v/>
      </c>
    </row>
    <row r="233">
      <c r="A233" s="41" t="n"/>
      <c r="B233" s="24" t="n"/>
      <c r="C233" s="41" t="n"/>
      <c r="D233" s="41" t="n"/>
      <c r="E233" s="19">
        <f>IF(COUNTA(A233:D233)=0,"",IF(OR(ISNUMBER(SEARCH("소계",A233)),ISNUMBER(SEARCH("합계",A233))),"",TRIM(IF(A233="","항목 없음 ","")&amp;IF(B233="","금액 없음 ",IF(ISNUMBER(B233),"","금액 확인 "))&amp;IF(D233="","낸 사람 없음",""))))</f>
        <v/>
      </c>
      <c r="Y233">
        <f>IF(E233="",0,1)</f>
        <v/>
      </c>
    </row>
    <row r="234">
      <c r="A234" s="41" t="n"/>
      <c r="B234" s="24" t="n"/>
      <c r="C234" s="41" t="n"/>
      <c r="D234" s="41" t="n"/>
      <c r="E234" s="19">
        <f>IF(COUNTA(A234:D234)=0,"",IF(OR(ISNUMBER(SEARCH("소계",A234)),ISNUMBER(SEARCH("합계",A234))),"",TRIM(IF(A234="","항목 없음 ","")&amp;IF(B234="","금액 없음 ",IF(ISNUMBER(B234),"","금액 확인 "))&amp;IF(D234="","낸 사람 없음",""))))</f>
        <v/>
      </c>
      <c r="Y234">
        <f>IF(E234="",0,1)</f>
        <v/>
      </c>
    </row>
    <row r="235">
      <c r="A235" s="41" t="n"/>
      <c r="B235" s="24" t="n"/>
      <c r="C235" s="41" t="n"/>
      <c r="D235" s="41" t="n"/>
      <c r="E235" s="19">
        <f>IF(COUNTA(A235:D235)=0,"",IF(OR(ISNUMBER(SEARCH("소계",A235)),ISNUMBER(SEARCH("합계",A235))),"",TRIM(IF(A235="","항목 없음 ","")&amp;IF(B235="","금액 없음 ",IF(ISNUMBER(B235),"","금액 확인 "))&amp;IF(D235="","낸 사람 없음",""))))</f>
        <v/>
      </c>
      <c r="Y235">
        <f>IF(E235="",0,1)</f>
        <v/>
      </c>
    </row>
    <row r="236">
      <c r="A236" s="41" t="n"/>
      <c r="B236" s="24" t="n"/>
      <c r="C236" s="41" t="n"/>
      <c r="D236" s="41" t="n"/>
      <c r="E236" s="19">
        <f>IF(COUNTA(A236:D236)=0,"",IF(OR(ISNUMBER(SEARCH("소계",A236)),ISNUMBER(SEARCH("합계",A236))),"",TRIM(IF(A236="","항목 없음 ","")&amp;IF(B236="","금액 없음 ",IF(ISNUMBER(B236),"","금액 확인 "))&amp;IF(D236="","낸 사람 없음",""))))</f>
        <v/>
      </c>
      <c r="Y236">
        <f>IF(E236="",0,1)</f>
        <v/>
      </c>
    </row>
    <row r="237">
      <c r="A237" s="41" t="n"/>
      <c r="B237" s="24" t="n"/>
      <c r="C237" s="41" t="n"/>
      <c r="D237" s="41" t="n"/>
      <c r="E237" s="19">
        <f>IF(COUNTA(A237:D237)=0,"",IF(OR(ISNUMBER(SEARCH("소계",A237)),ISNUMBER(SEARCH("합계",A237))),"",TRIM(IF(A237="","항목 없음 ","")&amp;IF(B237="","금액 없음 ",IF(ISNUMBER(B237),"","금액 확인 "))&amp;IF(D237="","낸 사람 없음",""))))</f>
        <v/>
      </c>
      <c r="Y237">
        <f>IF(E237="",0,1)</f>
        <v/>
      </c>
    </row>
    <row r="238">
      <c r="A238" s="41" t="n"/>
      <c r="B238" s="24" t="n"/>
      <c r="C238" s="41" t="n"/>
      <c r="D238" s="41" t="n"/>
      <c r="E238" s="19">
        <f>IF(COUNTA(A238:D238)=0,"",IF(OR(ISNUMBER(SEARCH("소계",A238)),ISNUMBER(SEARCH("합계",A238))),"",TRIM(IF(A238="","항목 없음 ","")&amp;IF(B238="","금액 없음 ",IF(ISNUMBER(B238),"","금액 확인 "))&amp;IF(D238="","낸 사람 없음",""))))</f>
        <v/>
      </c>
      <c r="Y238">
        <f>IF(E238="",0,1)</f>
        <v/>
      </c>
    </row>
    <row r="239">
      <c r="A239" s="41" t="n"/>
      <c r="B239" s="24" t="n"/>
      <c r="C239" s="41" t="n"/>
      <c r="D239" s="41" t="n"/>
      <c r="E239" s="19">
        <f>IF(COUNTA(A239:D239)=0,"",IF(OR(ISNUMBER(SEARCH("소계",A239)),ISNUMBER(SEARCH("합계",A239))),"",TRIM(IF(A239="","항목 없음 ","")&amp;IF(B239="","금액 없음 ",IF(ISNUMBER(B239),"","금액 확인 "))&amp;IF(D239="","낸 사람 없음",""))))</f>
        <v/>
      </c>
      <c r="Y239">
        <f>IF(E239="",0,1)</f>
        <v/>
      </c>
    </row>
    <row r="240">
      <c r="A240" s="41" t="n"/>
      <c r="B240" s="24" t="n"/>
      <c r="C240" s="41" t="n"/>
      <c r="D240" s="41" t="n"/>
      <c r="E240" s="19">
        <f>IF(COUNTA(A240:D240)=0,"",IF(OR(ISNUMBER(SEARCH("소계",A240)),ISNUMBER(SEARCH("합계",A240))),"",TRIM(IF(A240="","항목 없음 ","")&amp;IF(B240="","금액 없음 ",IF(ISNUMBER(B240),"","금액 확인 "))&amp;IF(D240="","낸 사람 없음",""))))</f>
        <v/>
      </c>
      <c r="Y240">
        <f>IF(E240="",0,1)</f>
        <v/>
      </c>
    </row>
    <row r="241">
      <c r="A241" s="41" t="n"/>
      <c r="B241" s="24" t="n"/>
      <c r="C241" s="41" t="n"/>
      <c r="D241" s="41" t="n"/>
      <c r="E241" s="19">
        <f>IF(COUNTA(A241:D241)=0,"",IF(OR(ISNUMBER(SEARCH("소계",A241)),ISNUMBER(SEARCH("합계",A241))),"",TRIM(IF(A241="","항목 없음 ","")&amp;IF(B241="","금액 없음 ",IF(ISNUMBER(B241),"","금액 확인 "))&amp;IF(D241="","낸 사람 없음",""))))</f>
        <v/>
      </c>
      <c r="Y241">
        <f>IF(E241="",0,1)</f>
        <v/>
      </c>
    </row>
    <row r="242">
      <c r="A242" s="41" t="n"/>
      <c r="B242" s="24" t="n"/>
      <c r="C242" s="41" t="n"/>
      <c r="D242" s="41" t="n"/>
      <c r="E242" s="19">
        <f>IF(COUNTA(A242:D242)=0,"",IF(OR(ISNUMBER(SEARCH("소계",A242)),ISNUMBER(SEARCH("합계",A242))),"",TRIM(IF(A242="","항목 없음 ","")&amp;IF(B242="","금액 없음 ",IF(ISNUMBER(B242),"","금액 확인 "))&amp;IF(D242="","낸 사람 없음",""))))</f>
        <v/>
      </c>
      <c r="Y242">
        <f>IF(E242="",0,1)</f>
        <v/>
      </c>
    </row>
    <row r="243">
      <c r="A243" s="41" t="n"/>
      <c r="B243" s="24" t="n"/>
      <c r="C243" s="41" t="n"/>
      <c r="D243" s="41" t="n"/>
      <c r="E243" s="19">
        <f>IF(COUNTA(A243:D243)=0,"",IF(OR(ISNUMBER(SEARCH("소계",A243)),ISNUMBER(SEARCH("합계",A243))),"",TRIM(IF(A243="","항목 없음 ","")&amp;IF(B243="","금액 없음 ",IF(ISNUMBER(B243),"","금액 확인 "))&amp;IF(D243="","낸 사람 없음",""))))</f>
        <v/>
      </c>
      <c r="Y243">
        <f>IF(E243="",0,1)</f>
        <v/>
      </c>
    </row>
    <row r="244">
      <c r="A244" s="41" t="n"/>
      <c r="B244" s="24" t="n"/>
      <c r="C244" s="41" t="n"/>
      <c r="D244" s="41" t="n"/>
      <c r="E244" s="19">
        <f>IF(COUNTA(A244:D244)=0,"",IF(OR(ISNUMBER(SEARCH("소계",A244)),ISNUMBER(SEARCH("합계",A244))),"",TRIM(IF(A244="","항목 없음 ","")&amp;IF(B244="","금액 없음 ",IF(ISNUMBER(B244),"","금액 확인 "))&amp;IF(D244="","낸 사람 없음",""))))</f>
        <v/>
      </c>
      <c r="Y244">
        <f>IF(E244="",0,1)</f>
        <v/>
      </c>
    </row>
    <row r="245">
      <c r="A245" s="41" t="n"/>
      <c r="B245" s="24" t="n"/>
      <c r="C245" s="41" t="n"/>
      <c r="D245" s="41" t="n"/>
      <c r="E245" s="19">
        <f>IF(COUNTA(A245:D245)=0,"",IF(OR(ISNUMBER(SEARCH("소계",A245)),ISNUMBER(SEARCH("합계",A245))),"",TRIM(IF(A245="","항목 없음 ","")&amp;IF(B245="","금액 없음 ",IF(ISNUMBER(B245),"","금액 확인 "))&amp;IF(D245="","낸 사람 없음",""))))</f>
        <v/>
      </c>
      <c r="Y245">
        <f>IF(E245="",0,1)</f>
        <v/>
      </c>
    </row>
    <row r="246">
      <c r="A246" s="41" t="n"/>
      <c r="B246" s="24" t="n"/>
      <c r="C246" s="41" t="n"/>
      <c r="D246" s="41" t="n"/>
      <c r="E246" s="19">
        <f>IF(COUNTA(A246:D246)=0,"",IF(OR(ISNUMBER(SEARCH("소계",A246)),ISNUMBER(SEARCH("합계",A246))),"",TRIM(IF(A246="","항목 없음 ","")&amp;IF(B246="","금액 없음 ",IF(ISNUMBER(B246),"","금액 확인 "))&amp;IF(D246="","낸 사람 없음",""))))</f>
        <v/>
      </c>
      <c r="Y246">
        <f>IF(E246="",0,1)</f>
        <v/>
      </c>
    </row>
    <row r="247">
      <c r="A247" s="41" t="n"/>
      <c r="B247" s="24" t="n"/>
      <c r="C247" s="41" t="n"/>
      <c r="D247" s="41" t="n"/>
      <c r="E247" s="19">
        <f>IF(COUNTA(A247:D247)=0,"",IF(OR(ISNUMBER(SEARCH("소계",A247)),ISNUMBER(SEARCH("합계",A247))),"",TRIM(IF(A247="","항목 없음 ","")&amp;IF(B247="","금액 없음 ",IF(ISNUMBER(B247),"","금액 확인 "))&amp;IF(D247="","낸 사람 없음",""))))</f>
        <v/>
      </c>
      <c r="Y247">
        <f>IF(E247="",0,1)</f>
        <v/>
      </c>
    </row>
    <row r="248">
      <c r="A248" s="41" t="n"/>
      <c r="B248" s="24" t="n"/>
      <c r="C248" s="41" t="n"/>
      <c r="D248" s="41" t="n"/>
      <c r="E248" s="19">
        <f>IF(COUNTA(A248:D248)=0,"",IF(OR(ISNUMBER(SEARCH("소계",A248)),ISNUMBER(SEARCH("합계",A248))),"",TRIM(IF(A248="","항목 없음 ","")&amp;IF(B248="","금액 없음 ",IF(ISNUMBER(B248),"","금액 확인 "))&amp;IF(D248="","낸 사람 없음",""))))</f>
        <v/>
      </c>
      <c r="Y248">
        <f>IF(E248="",0,1)</f>
        <v/>
      </c>
    </row>
    <row r="249">
      <c r="A249" s="41" t="n"/>
      <c r="B249" s="24" t="n"/>
      <c r="C249" s="41" t="n"/>
      <c r="D249" s="41" t="n"/>
      <c r="E249" s="19">
        <f>IF(COUNTA(A249:D249)=0,"",IF(OR(ISNUMBER(SEARCH("소계",A249)),ISNUMBER(SEARCH("합계",A249))),"",TRIM(IF(A249="","항목 없음 ","")&amp;IF(B249="","금액 없음 ",IF(ISNUMBER(B249),"","금액 확인 "))&amp;IF(D249="","낸 사람 없음",""))))</f>
        <v/>
      </c>
      <c r="Y249">
        <f>IF(E249="",0,1)</f>
        <v/>
      </c>
    </row>
    <row r="250">
      <c r="A250" s="41" t="n"/>
      <c r="B250" s="24" t="n"/>
      <c r="C250" s="41" t="n"/>
      <c r="D250" s="41" t="n"/>
      <c r="E250" s="19">
        <f>IF(COUNTA(A250:D250)=0,"",IF(OR(ISNUMBER(SEARCH("소계",A250)),ISNUMBER(SEARCH("합계",A250))),"",TRIM(IF(A250="","항목 없음 ","")&amp;IF(B250="","금액 없음 ",IF(ISNUMBER(B250),"","금액 확인 "))&amp;IF(D250="","낸 사람 없음",""))))</f>
        <v/>
      </c>
      <c r="Y250">
        <f>IF(E250="",0,1)</f>
        <v/>
      </c>
    </row>
    <row r="251">
      <c r="A251" s="41" t="n"/>
      <c r="B251" s="24" t="n"/>
      <c r="C251" s="41" t="n"/>
      <c r="D251" s="41" t="n"/>
      <c r="E251" s="19">
        <f>IF(COUNTA(A251:D251)=0,"",IF(OR(ISNUMBER(SEARCH("소계",A251)),ISNUMBER(SEARCH("합계",A251))),"",TRIM(IF(A251="","항목 없음 ","")&amp;IF(B251="","금액 없음 ",IF(ISNUMBER(B251),"","금액 확인 "))&amp;IF(D251="","낸 사람 없음",""))))</f>
        <v/>
      </c>
      <c r="Y251">
        <f>IF(E251="",0,1)</f>
        <v/>
      </c>
    </row>
    <row r="252">
      <c r="A252" s="41" t="n"/>
      <c r="B252" s="24" t="n"/>
      <c r="C252" s="41" t="n"/>
      <c r="D252" s="41" t="n"/>
      <c r="E252" s="19">
        <f>IF(COUNTA(A252:D252)=0,"",IF(OR(ISNUMBER(SEARCH("소계",A252)),ISNUMBER(SEARCH("합계",A252))),"",TRIM(IF(A252="","항목 없음 ","")&amp;IF(B252="","금액 없음 ",IF(ISNUMBER(B252),"","금액 확인 "))&amp;IF(D252="","낸 사람 없음",""))))</f>
        <v/>
      </c>
      <c r="Y252">
        <f>IF(E252="",0,1)</f>
        <v/>
      </c>
    </row>
    <row r="253">
      <c r="A253" s="41" t="n"/>
      <c r="B253" s="24" t="n"/>
      <c r="C253" s="41" t="n"/>
      <c r="D253" s="41" t="n"/>
      <c r="E253" s="19">
        <f>IF(COUNTA(A253:D253)=0,"",IF(OR(ISNUMBER(SEARCH("소계",A253)),ISNUMBER(SEARCH("합계",A253))),"",TRIM(IF(A253="","항목 없음 ","")&amp;IF(B253="","금액 없음 ",IF(ISNUMBER(B253),"","금액 확인 "))&amp;IF(D253="","낸 사람 없음",""))))</f>
        <v/>
      </c>
      <c r="Y253">
        <f>IF(E253="",0,1)</f>
        <v/>
      </c>
    </row>
    <row r="254">
      <c r="A254" s="41" t="n"/>
      <c r="B254" s="24" t="n"/>
      <c r="C254" s="41" t="n"/>
      <c r="D254" s="41" t="n"/>
      <c r="E254" s="19">
        <f>IF(COUNTA(A254:D254)=0,"",IF(OR(ISNUMBER(SEARCH("소계",A254)),ISNUMBER(SEARCH("합계",A254))),"",TRIM(IF(A254="","항목 없음 ","")&amp;IF(B254="","금액 없음 ",IF(ISNUMBER(B254),"","금액 확인 "))&amp;IF(D254="","낸 사람 없음",""))))</f>
        <v/>
      </c>
      <c r="Y254">
        <f>IF(E254="",0,1)</f>
        <v/>
      </c>
    </row>
    <row r="255">
      <c r="A255" s="41" t="n"/>
      <c r="B255" s="24" t="n"/>
      <c r="C255" s="41" t="n"/>
      <c r="D255" s="41" t="n"/>
      <c r="E255" s="19">
        <f>IF(COUNTA(A255:D255)=0,"",IF(OR(ISNUMBER(SEARCH("소계",A255)),ISNUMBER(SEARCH("합계",A255))),"",TRIM(IF(A255="","항목 없음 ","")&amp;IF(B255="","금액 없음 ",IF(ISNUMBER(B255),"","금액 확인 "))&amp;IF(D255="","낸 사람 없음",""))))</f>
        <v/>
      </c>
      <c r="Y255">
        <f>IF(E255="",0,1)</f>
        <v/>
      </c>
    </row>
    <row r="256">
      <c r="A256" s="41" t="n"/>
      <c r="B256" s="24" t="n"/>
      <c r="C256" s="41" t="n"/>
      <c r="D256" s="41" t="n"/>
      <c r="E256" s="19">
        <f>IF(COUNTA(A256:D256)=0,"",IF(OR(ISNUMBER(SEARCH("소계",A256)),ISNUMBER(SEARCH("합계",A256))),"",TRIM(IF(A256="","항목 없음 ","")&amp;IF(B256="","금액 없음 ",IF(ISNUMBER(B256),"","금액 확인 "))&amp;IF(D256="","낸 사람 없음",""))))</f>
        <v/>
      </c>
      <c r="Y256">
        <f>IF(E256="",0,1)</f>
        <v/>
      </c>
    </row>
    <row r="257">
      <c r="A257" s="41" t="n"/>
      <c r="B257" s="24" t="n"/>
      <c r="C257" s="41" t="n"/>
      <c r="D257" s="41" t="n"/>
      <c r="E257" s="19">
        <f>IF(COUNTA(A257:D257)=0,"",IF(OR(ISNUMBER(SEARCH("소계",A257)),ISNUMBER(SEARCH("합계",A257))),"",TRIM(IF(A257="","항목 없음 ","")&amp;IF(B257="","금액 없음 ",IF(ISNUMBER(B257),"","금액 확인 "))&amp;IF(D257="","낸 사람 없음",""))))</f>
        <v/>
      </c>
      <c r="Y257">
        <f>IF(E257="",0,1)</f>
        <v/>
      </c>
    </row>
    <row r="258">
      <c r="A258" s="41" t="n"/>
      <c r="B258" s="24" t="n"/>
      <c r="C258" s="41" t="n"/>
      <c r="D258" s="41" t="n"/>
      <c r="E258" s="19">
        <f>IF(COUNTA(A258:D258)=0,"",IF(OR(ISNUMBER(SEARCH("소계",A258)),ISNUMBER(SEARCH("합계",A258))),"",TRIM(IF(A258="","항목 없음 ","")&amp;IF(B258="","금액 없음 ",IF(ISNUMBER(B258),"","금액 확인 "))&amp;IF(D258="","낸 사람 없음",""))))</f>
        <v/>
      </c>
      <c r="Y258">
        <f>IF(E258="",0,1)</f>
        <v/>
      </c>
    </row>
    <row r="259">
      <c r="A259" s="41" t="n"/>
      <c r="B259" s="24" t="n"/>
      <c r="C259" s="41" t="n"/>
      <c r="D259" s="41" t="n"/>
      <c r="E259" s="19">
        <f>IF(COUNTA(A259:D259)=0,"",IF(OR(ISNUMBER(SEARCH("소계",A259)),ISNUMBER(SEARCH("합계",A259))),"",TRIM(IF(A259="","항목 없음 ","")&amp;IF(B259="","금액 없음 ",IF(ISNUMBER(B259),"","금액 확인 "))&amp;IF(D259="","낸 사람 없음",""))))</f>
        <v/>
      </c>
      <c r="Y259">
        <f>IF(E259="",0,1)</f>
        <v/>
      </c>
    </row>
    <row r="260">
      <c r="A260" s="41" t="n"/>
      <c r="B260" s="24" t="n"/>
      <c r="C260" s="41" t="n"/>
      <c r="D260" s="41" t="n"/>
      <c r="E260" s="19">
        <f>IF(COUNTA(A260:D260)=0,"",IF(OR(ISNUMBER(SEARCH("소계",A260)),ISNUMBER(SEARCH("합계",A260))),"",TRIM(IF(A260="","항목 없음 ","")&amp;IF(B260="","금액 없음 ",IF(ISNUMBER(B260),"","금액 확인 "))&amp;IF(D260="","낸 사람 없음",""))))</f>
        <v/>
      </c>
      <c r="Y260">
        <f>IF(E260="",0,1)</f>
        <v/>
      </c>
    </row>
    <row r="261">
      <c r="A261" s="41" t="n"/>
      <c r="B261" s="24" t="n"/>
      <c r="C261" s="41" t="n"/>
      <c r="D261" s="41" t="n"/>
      <c r="E261" s="19">
        <f>IF(COUNTA(A261:D261)=0,"",IF(OR(ISNUMBER(SEARCH("소계",A261)),ISNUMBER(SEARCH("합계",A261))),"",TRIM(IF(A261="","항목 없음 ","")&amp;IF(B261="","금액 없음 ",IF(ISNUMBER(B261),"","금액 확인 "))&amp;IF(D261="","낸 사람 없음",""))))</f>
        <v/>
      </c>
      <c r="Y261">
        <f>IF(E261="",0,1)</f>
        <v/>
      </c>
    </row>
    <row r="262">
      <c r="A262" s="41" t="n"/>
      <c r="B262" s="24" t="n"/>
      <c r="C262" s="41" t="n"/>
      <c r="D262" s="41" t="n"/>
      <c r="E262" s="19">
        <f>IF(COUNTA(A262:D262)=0,"",IF(OR(ISNUMBER(SEARCH("소계",A262)),ISNUMBER(SEARCH("합계",A262))),"",TRIM(IF(A262="","항목 없음 ","")&amp;IF(B262="","금액 없음 ",IF(ISNUMBER(B262),"","금액 확인 "))&amp;IF(D262="","낸 사람 없음",""))))</f>
        <v/>
      </c>
      <c r="Y262">
        <f>IF(E262="",0,1)</f>
        <v/>
      </c>
    </row>
    <row r="263">
      <c r="A263" s="41" t="n"/>
      <c r="B263" s="24" t="n"/>
      <c r="C263" s="41" t="n"/>
      <c r="D263" s="41" t="n"/>
      <c r="E263" s="19">
        <f>IF(COUNTA(A263:D263)=0,"",IF(OR(ISNUMBER(SEARCH("소계",A263)),ISNUMBER(SEARCH("합계",A263))),"",TRIM(IF(A263="","항목 없음 ","")&amp;IF(B263="","금액 없음 ",IF(ISNUMBER(B263),"","금액 확인 "))&amp;IF(D263="","낸 사람 없음",""))))</f>
        <v/>
      </c>
      <c r="Y263">
        <f>IF(E263="",0,1)</f>
        <v/>
      </c>
    </row>
    <row r="264">
      <c r="A264" s="41" t="n"/>
      <c r="B264" s="24" t="n"/>
      <c r="C264" s="41" t="n"/>
      <c r="D264" s="41" t="n"/>
      <c r="E264" s="19">
        <f>IF(COUNTA(A264:D264)=0,"",IF(OR(ISNUMBER(SEARCH("소계",A264)),ISNUMBER(SEARCH("합계",A264))),"",TRIM(IF(A264="","항목 없음 ","")&amp;IF(B264="","금액 없음 ",IF(ISNUMBER(B264),"","금액 확인 "))&amp;IF(D264="","낸 사람 없음",""))))</f>
        <v/>
      </c>
      <c r="Y264">
        <f>IF(E264="",0,1)</f>
        <v/>
      </c>
    </row>
    <row r="265">
      <c r="A265" s="41" t="n"/>
      <c r="B265" s="24" t="n"/>
      <c r="C265" s="41" t="n"/>
      <c r="D265" s="41" t="n"/>
      <c r="E265" s="19">
        <f>IF(COUNTA(A265:D265)=0,"",IF(OR(ISNUMBER(SEARCH("소계",A265)),ISNUMBER(SEARCH("합계",A265))),"",TRIM(IF(A265="","항목 없음 ","")&amp;IF(B265="","금액 없음 ",IF(ISNUMBER(B265),"","금액 확인 "))&amp;IF(D265="","낸 사람 없음",""))))</f>
        <v/>
      </c>
      <c r="Y265">
        <f>IF(E265="",0,1)</f>
        <v/>
      </c>
    </row>
    <row r="266">
      <c r="A266" s="41" t="n"/>
      <c r="B266" s="24" t="n"/>
      <c r="C266" s="41" t="n"/>
      <c r="D266" s="41" t="n"/>
      <c r="E266" s="19">
        <f>IF(COUNTA(A266:D266)=0,"",IF(OR(ISNUMBER(SEARCH("소계",A266)),ISNUMBER(SEARCH("합계",A266))),"",TRIM(IF(A266="","항목 없음 ","")&amp;IF(B266="","금액 없음 ",IF(ISNUMBER(B266),"","금액 확인 "))&amp;IF(D266="","낸 사람 없음",""))))</f>
        <v/>
      </c>
      <c r="Y266">
        <f>IF(E266="",0,1)</f>
        <v/>
      </c>
    </row>
    <row r="267">
      <c r="A267" s="41" t="n"/>
      <c r="B267" s="24" t="n"/>
      <c r="C267" s="41" t="n"/>
      <c r="D267" s="41" t="n"/>
      <c r="E267" s="19">
        <f>IF(COUNTA(A267:D267)=0,"",IF(OR(ISNUMBER(SEARCH("소계",A267)),ISNUMBER(SEARCH("합계",A267))),"",TRIM(IF(A267="","항목 없음 ","")&amp;IF(B267="","금액 없음 ",IF(ISNUMBER(B267),"","금액 확인 "))&amp;IF(D267="","낸 사람 없음",""))))</f>
        <v/>
      </c>
      <c r="Y267">
        <f>IF(E267="",0,1)</f>
        <v/>
      </c>
    </row>
    <row r="268">
      <c r="A268" s="41" t="n"/>
      <c r="B268" s="24" t="n"/>
      <c r="C268" s="41" t="n"/>
      <c r="D268" s="41" t="n"/>
      <c r="E268" s="19">
        <f>IF(COUNTA(A268:D268)=0,"",IF(OR(ISNUMBER(SEARCH("소계",A268)),ISNUMBER(SEARCH("합계",A268))),"",TRIM(IF(A268="","항목 없음 ","")&amp;IF(B268="","금액 없음 ",IF(ISNUMBER(B268),"","금액 확인 "))&amp;IF(D268="","낸 사람 없음",""))))</f>
        <v/>
      </c>
      <c r="Y268">
        <f>IF(E268="",0,1)</f>
        <v/>
      </c>
    </row>
    <row r="269">
      <c r="A269" s="41" t="n"/>
      <c r="B269" s="24" t="n"/>
      <c r="C269" s="41" t="n"/>
      <c r="D269" s="41" t="n"/>
      <c r="E269" s="19">
        <f>IF(COUNTA(A269:D269)=0,"",IF(OR(ISNUMBER(SEARCH("소계",A269)),ISNUMBER(SEARCH("합계",A269))),"",TRIM(IF(A269="","항목 없음 ","")&amp;IF(B269="","금액 없음 ",IF(ISNUMBER(B269),"","금액 확인 "))&amp;IF(D269="","낸 사람 없음",""))))</f>
        <v/>
      </c>
      <c r="Y269">
        <f>IF(E269="",0,1)</f>
        <v/>
      </c>
    </row>
    <row r="270">
      <c r="A270" s="41" t="n"/>
      <c r="B270" s="24" t="n"/>
      <c r="C270" s="41" t="n"/>
      <c r="D270" s="41" t="n"/>
      <c r="E270" s="19">
        <f>IF(COUNTA(A270:D270)=0,"",IF(OR(ISNUMBER(SEARCH("소계",A270)),ISNUMBER(SEARCH("합계",A270))),"",TRIM(IF(A270="","항목 없음 ","")&amp;IF(B270="","금액 없음 ",IF(ISNUMBER(B270),"","금액 확인 "))&amp;IF(D270="","낸 사람 없음",""))))</f>
        <v/>
      </c>
      <c r="Y270">
        <f>IF(E270="",0,1)</f>
        <v/>
      </c>
    </row>
    <row r="271">
      <c r="A271" s="41" t="n"/>
      <c r="B271" s="24" t="n"/>
      <c r="C271" s="41" t="n"/>
      <c r="D271" s="41" t="n"/>
      <c r="E271" s="19">
        <f>IF(COUNTA(A271:D271)=0,"",IF(OR(ISNUMBER(SEARCH("소계",A271)),ISNUMBER(SEARCH("합계",A271))),"",TRIM(IF(A271="","항목 없음 ","")&amp;IF(B271="","금액 없음 ",IF(ISNUMBER(B271),"","금액 확인 "))&amp;IF(D271="","낸 사람 없음",""))))</f>
        <v/>
      </c>
      <c r="Y271">
        <f>IF(E271="",0,1)</f>
        <v/>
      </c>
    </row>
    <row r="272">
      <c r="A272" s="41" t="n"/>
      <c r="B272" s="24" t="n"/>
      <c r="C272" s="41" t="n"/>
      <c r="D272" s="41" t="n"/>
      <c r="E272" s="19">
        <f>IF(COUNTA(A272:D272)=0,"",IF(OR(ISNUMBER(SEARCH("소계",A272)),ISNUMBER(SEARCH("합계",A272))),"",TRIM(IF(A272="","항목 없음 ","")&amp;IF(B272="","금액 없음 ",IF(ISNUMBER(B272),"","금액 확인 "))&amp;IF(D272="","낸 사람 없음",""))))</f>
        <v/>
      </c>
      <c r="Y272">
        <f>IF(E272="",0,1)</f>
        <v/>
      </c>
    </row>
    <row r="273">
      <c r="A273" s="41" t="n"/>
      <c r="B273" s="24" t="n"/>
      <c r="C273" s="41" t="n"/>
      <c r="D273" s="41" t="n"/>
      <c r="E273" s="19">
        <f>IF(COUNTA(A273:D273)=0,"",IF(OR(ISNUMBER(SEARCH("소계",A273)),ISNUMBER(SEARCH("합계",A273))),"",TRIM(IF(A273="","항목 없음 ","")&amp;IF(B273="","금액 없음 ",IF(ISNUMBER(B273),"","금액 확인 "))&amp;IF(D273="","낸 사람 없음",""))))</f>
        <v/>
      </c>
      <c r="Y273">
        <f>IF(E273="",0,1)</f>
        <v/>
      </c>
    </row>
    <row r="274">
      <c r="A274" s="41" t="n"/>
      <c r="B274" s="24" t="n"/>
      <c r="C274" s="41" t="n"/>
      <c r="D274" s="41" t="n"/>
      <c r="E274" s="19">
        <f>IF(COUNTA(A274:D274)=0,"",IF(OR(ISNUMBER(SEARCH("소계",A274)),ISNUMBER(SEARCH("합계",A274))),"",TRIM(IF(A274="","항목 없음 ","")&amp;IF(B274="","금액 없음 ",IF(ISNUMBER(B274),"","금액 확인 "))&amp;IF(D274="","낸 사람 없음",""))))</f>
        <v/>
      </c>
      <c r="Y274">
        <f>IF(E274="",0,1)</f>
        <v/>
      </c>
    </row>
    <row r="275">
      <c r="A275" s="41" t="n"/>
      <c r="B275" s="24" t="n"/>
      <c r="C275" s="41" t="n"/>
      <c r="D275" s="41" t="n"/>
      <c r="E275" s="19">
        <f>IF(COUNTA(A275:D275)=0,"",IF(OR(ISNUMBER(SEARCH("소계",A275)),ISNUMBER(SEARCH("합계",A275))),"",TRIM(IF(A275="","항목 없음 ","")&amp;IF(B275="","금액 없음 ",IF(ISNUMBER(B275),"","금액 확인 "))&amp;IF(D275="","낸 사람 없음",""))))</f>
        <v/>
      </c>
      <c r="Y275">
        <f>IF(E275="",0,1)</f>
        <v/>
      </c>
    </row>
    <row r="276">
      <c r="A276" s="41" t="n"/>
      <c r="B276" s="24" t="n"/>
      <c r="C276" s="41" t="n"/>
      <c r="D276" s="41" t="n"/>
      <c r="E276" s="19">
        <f>IF(COUNTA(A276:D276)=0,"",IF(OR(ISNUMBER(SEARCH("소계",A276)),ISNUMBER(SEARCH("합계",A276))),"",TRIM(IF(A276="","항목 없음 ","")&amp;IF(B276="","금액 없음 ",IF(ISNUMBER(B276),"","금액 확인 "))&amp;IF(D276="","낸 사람 없음",""))))</f>
        <v/>
      </c>
      <c r="Y276">
        <f>IF(E276="",0,1)</f>
        <v/>
      </c>
    </row>
    <row r="277">
      <c r="A277" s="41" t="n"/>
      <c r="B277" s="24" t="n"/>
      <c r="C277" s="41" t="n"/>
      <c r="D277" s="41" t="n"/>
      <c r="E277" s="19">
        <f>IF(COUNTA(A277:D277)=0,"",IF(OR(ISNUMBER(SEARCH("소계",A277)),ISNUMBER(SEARCH("합계",A277))),"",TRIM(IF(A277="","항목 없음 ","")&amp;IF(B277="","금액 없음 ",IF(ISNUMBER(B277),"","금액 확인 "))&amp;IF(D277="","낸 사람 없음",""))))</f>
        <v/>
      </c>
      <c r="Y277">
        <f>IF(E277="",0,1)</f>
        <v/>
      </c>
    </row>
    <row r="278">
      <c r="A278" s="41" t="n"/>
      <c r="B278" s="24" t="n"/>
      <c r="C278" s="41" t="n"/>
      <c r="D278" s="41" t="n"/>
      <c r="E278" s="19">
        <f>IF(COUNTA(A278:D278)=0,"",IF(OR(ISNUMBER(SEARCH("소계",A278)),ISNUMBER(SEARCH("합계",A278))),"",TRIM(IF(A278="","항목 없음 ","")&amp;IF(B278="","금액 없음 ",IF(ISNUMBER(B278),"","금액 확인 "))&amp;IF(D278="","낸 사람 없음",""))))</f>
        <v/>
      </c>
      <c r="Y278">
        <f>IF(E278="",0,1)</f>
        <v/>
      </c>
    </row>
    <row r="279">
      <c r="A279" s="41" t="n"/>
      <c r="B279" s="24" t="n"/>
      <c r="C279" s="41" t="n"/>
      <c r="D279" s="41" t="n"/>
      <c r="E279" s="19">
        <f>IF(COUNTA(A279:D279)=0,"",IF(OR(ISNUMBER(SEARCH("소계",A279)),ISNUMBER(SEARCH("합계",A279))),"",TRIM(IF(A279="","항목 없음 ","")&amp;IF(B279="","금액 없음 ",IF(ISNUMBER(B279),"","금액 확인 "))&amp;IF(D279="","낸 사람 없음",""))))</f>
        <v/>
      </c>
      <c r="Y279">
        <f>IF(E279="",0,1)</f>
        <v/>
      </c>
    </row>
    <row r="280">
      <c r="A280" s="41" t="n"/>
      <c r="B280" s="24" t="n"/>
      <c r="C280" s="41" t="n"/>
      <c r="D280" s="41" t="n"/>
      <c r="E280" s="19">
        <f>IF(COUNTA(A280:D280)=0,"",IF(OR(ISNUMBER(SEARCH("소계",A280)),ISNUMBER(SEARCH("합계",A280))),"",TRIM(IF(A280="","항목 없음 ","")&amp;IF(B280="","금액 없음 ",IF(ISNUMBER(B280),"","금액 확인 "))&amp;IF(D280="","낸 사람 없음",""))))</f>
        <v/>
      </c>
      <c r="Y280">
        <f>IF(E280="",0,1)</f>
        <v/>
      </c>
    </row>
    <row r="281">
      <c r="A281" s="41" t="n"/>
      <c r="B281" s="24" t="n"/>
      <c r="C281" s="41" t="n"/>
      <c r="D281" s="41" t="n"/>
      <c r="E281" s="19">
        <f>IF(COUNTA(A281:D281)=0,"",IF(OR(ISNUMBER(SEARCH("소계",A281)),ISNUMBER(SEARCH("합계",A281))),"",TRIM(IF(A281="","항목 없음 ","")&amp;IF(B281="","금액 없음 ",IF(ISNUMBER(B281),"","금액 확인 "))&amp;IF(D281="","낸 사람 없음",""))))</f>
        <v/>
      </c>
      <c r="Y281">
        <f>IF(E281="",0,1)</f>
        <v/>
      </c>
    </row>
    <row r="282">
      <c r="A282" s="41" t="n"/>
      <c r="B282" s="24" t="n"/>
      <c r="C282" s="41" t="n"/>
      <c r="D282" s="41" t="n"/>
      <c r="E282" s="19">
        <f>IF(COUNTA(A282:D282)=0,"",IF(OR(ISNUMBER(SEARCH("소계",A282)),ISNUMBER(SEARCH("합계",A282))),"",TRIM(IF(A282="","항목 없음 ","")&amp;IF(B282="","금액 없음 ",IF(ISNUMBER(B282),"","금액 확인 "))&amp;IF(D282="","낸 사람 없음",""))))</f>
        <v/>
      </c>
      <c r="Y282">
        <f>IF(E282="",0,1)</f>
        <v/>
      </c>
    </row>
    <row r="283">
      <c r="A283" s="41" t="n"/>
      <c r="B283" s="24" t="n"/>
      <c r="C283" s="41" t="n"/>
      <c r="D283" s="41" t="n"/>
      <c r="E283" s="19">
        <f>IF(COUNTA(A283:D283)=0,"",IF(OR(ISNUMBER(SEARCH("소계",A283)),ISNUMBER(SEARCH("합계",A283))),"",TRIM(IF(A283="","항목 없음 ","")&amp;IF(B283="","금액 없음 ",IF(ISNUMBER(B283),"","금액 확인 "))&amp;IF(D283="","낸 사람 없음",""))))</f>
        <v/>
      </c>
      <c r="Y283">
        <f>IF(E283="",0,1)</f>
        <v/>
      </c>
    </row>
    <row r="284">
      <c r="A284" s="41" t="n"/>
      <c r="B284" s="24" t="n"/>
      <c r="C284" s="41" t="n"/>
      <c r="D284" s="41" t="n"/>
      <c r="E284" s="19">
        <f>IF(COUNTA(A284:D284)=0,"",IF(OR(ISNUMBER(SEARCH("소계",A284)),ISNUMBER(SEARCH("합계",A284))),"",TRIM(IF(A284="","항목 없음 ","")&amp;IF(B284="","금액 없음 ",IF(ISNUMBER(B284),"","금액 확인 "))&amp;IF(D284="","낸 사람 없음",""))))</f>
        <v/>
      </c>
      <c r="Y284">
        <f>IF(E284="",0,1)</f>
        <v/>
      </c>
    </row>
    <row r="285">
      <c r="A285" s="41" t="n"/>
      <c r="B285" s="24" t="n"/>
      <c r="C285" s="41" t="n"/>
      <c r="D285" s="41" t="n"/>
      <c r="E285" s="19">
        <f>IF(COUNTA(A285:D285)=0,"",IF(OR(ISNUMBER(SEARCH("소계",A285)),ISNUMBER(SEARCH("합계",A285))),"",TRIM(IF(A285="","항목 없음 ","")&amp;IF(B285="","금액 없음 ",IF(ISNUMBER(B285),"","금액 확인 "))&amp;IF(D285="","낸 사람 없음",""))))</f>
        <v/>
      </c>
      <c r="Y285">
        <f>IF(E285="",0,1)</f>
        <v/>
      </c>
    </row>
    <row r="286">
      <c r="A286" s="41" t="n"/>
      <c r="B286" s="24" t="n"/>
      <c r="C286" s="41" t="n"/>
      <c r="D286" s="41" t="n"/>
      <c r="E286" s="19">
        <f>IF(COUNTA(A286:D286)=0,"",IF(OR(ISNUMBER(SEARCH("소계",A286)),ISNUMBER(SEARCH("합계",A286))),"",TRIM(IF(A286="","항목 없음 ","")&amp;IF(B286="","금액 없음 ",IF(ISNUMBER(B286),"","금액 확인 "))&amp;IF(D286="","낸 사람 없음",""))))</f>
        <v/>
      </c>
      <c r="Y286">
        <f>IF(E286="",0,1)</f>
        <v/>
      </c>
    </row>
    <row r="287">
      <c r="A287" s="41" t="n"/>
      <c r="B287" s="24" t="n"/>
      <c r="C287" s="41" t="n"/>
      <c r="D287" s="41" t="n"/>
      <c r="E287" s="19">
        <f>IF(COUNTA(A287:D287)=0,"",IF(OR(ISNUMBER(SEARCH("소계",A287)),ISNUMBER(SEARCH("합계",A287))),"",TRIM(IF(A287="","항목 없음 ","")&amp;IF(B287="","금액 없음 ",IF(ISNUMBER(B287),"","금액 확인 "))&amp;IF(D287="","낸 사람 없음",""))))</f>
        <v/>
      </c>
      <c r="Y287">
        <f>IF(E287="",0,1)</f>
        <v/>
      </c>
    </row>
    <row r="288">
      <c r="A288" s="41" t="n"/>
      <c r="B288" s="24" t="n"/>
      <c r="C288" s="41" t="n"/>
      <c r="D288" s="41" t="n"/>
      <c r="E288" s="19">
        <f>IF(COUNTA(A288:D288)=0,"",IF(OR(ISNUMBER(SEARCH("소계",A288)),ISNUMBER(SEARCH("합계",A288))),"",TRIM(IF(A288="","항목 없음 ","")&amp;IF(B288="","금액 없음 ",IF(ISNUMBER(B288),"","금액 확인 "))&amp;IF(D288="","낸 사람 없음",""))))</f>
        <v/>
      </c>
      <c r="Y288">
        <f>IF(E288="",0,1)</f>
        <v/>
      </c>
    </row>
    <row r="289">
      <c r="A289" s="41" t="n"/>
      <c r="B289" s="24" t="n"/>
      <c r="C289" s="41" t="n"/>
      <c r="D289" s="41" t="n"/>
      <c r="E289" s="19">
        <f>IF(COUNTA(A289:D289)=0,"",IF(OR(ISNUMBER(SEARCH("소계",A289)),ISNUMBER(SEARCH("합계",A289))),"",TRIM(IF(A289="","항목 없음 ","")&amp;IF(B289="","금액 없음 ",IF(ISNUMBER(B289),"","금액 확인 "))&amp;IF(D289="","낸 사람 없음",""))))</f>
        <v/>
      </c>
      <c r="Y289">
        <f>IF(E289="",0,1)</f>
        <v/>
      </c>
    </row>
    <row r="290">
      <c r="A290" s="41" t="n"/>
      <c r="B290" s="24" t="n"/>
      <c r="C290" s="41" t="n"/>
      <c r="D290" s="41" t="n"/>
      <c r="E290" s="19">
        <f>IF(COUNTA(A290:D290)=0,"",IF(OR(ISNUMBER(SEARCH("소계",A290)),ISNUMBER(SEARCH("합계",A290))),"",TRIM(IF(A290="","항목 없음 ","")&amp;IF(B290="","금액 없음 ",IF(ISNUMBER(B290),"","금액 확인 "))&amp;IF(D290="","낸 사람 없음",""))))</f>
        <v/>
      </c>
      <c r="Y290">
        <f>IF(E290="",0,1)</f>
        <v/>
      </c>
    </row>
    <row r="291">
      <c r="A291" s="41" t="n"/>
      <c r="B291" s="24" t="n"/>
      <c r="C291" s="41" t="n"/>
      <c r="D291" s="41" t="n"/>
      <c r="E291" s="19">
        <f>IF(COUNTA(A291:D291)=0,"",IF(OR(ISNUMBER(SEARCH("소계",A291)),ISNUMBER(SEARCH("합계",A291))),"",TRIM(IF(A291="","항목 없음 ","")&amp;IF(B291="","금액 없음 ",IF(ISNUMBER(B291),"","금액 확인 "))&amp;IF(D291="","낸 사람 없음",""))))</f>
        <v/>
      </c>
      <c r="Y291">
        <f>IF(E291="",0,1)</f>
        <v/>
      </c>
    </row>
    <row r="292">
      <c r="A292" s="41" t="n"/>
      <c r="B292" s="24" t="n"/>
      <c r="C292" s="41" t="n"/>
      <c r="D292" s="41" t="n"/>
      <c r="E292" s="19">
        <f>IF(COUNTA(A292:D292)=0,"",IF(OR(ISNUMBER(SEARCH("소계",A292)),ISNUMBER(SEARCH("합계",A292))),"",TRIM(IF(A292="","항목 없음 ","")&amp;IF(B292="","금액 없음 ",IF(ISNUMBER(B292),"","금액 확인 "))&amp;IF(D292="","낸 사람 없음",""))))</f>
        <v/>
      </c>
      <c r="Y292">
        <f>IF(E292="",0,1)</f>
        <v/>
      </c>
    </row>
    <row r="293">
      <c r="A293" s="41" t="n"/>
      <c r="B293" s="24" t="n"/>
      <c r="C293" s="41" t="n"/>
      <c r="D293" s="41" t="n"/>
      <c r="E293" s="19">
        <f>IF(COUNTA(A293:D293)=0,"",IF(OR(ISNUMBER(SEARCH("소계",A293)),ISNUMBER(SEARCH("합계",A293))),"",TRIM(IF(A293="","항목 없음 ","")&amp;IF(B293="","금액 없음 ",IF(ISNUMBER(B293),"","금액 확인 "))&amp;IF(D293="","낸 사람 없음",""))))</f>
        <v/>
      </c>
      <c r="Y293">
        <f>IF(E293="",0,1)</f>
        <v/>
      </c>
    </row>
    <row r="294">
      <c r="A294" s="41" t="n"/>
      <c r="B294" s="24" t="n"/>
      <c r="C294" s="41" t="n"/>
      <c r="D294" s="41" t="n"/>
      <c r="E294" s="19">
        <f>IF(COUNTA(A294:D294)=0,"",IF(OR(ISNUMBER(SEARCH("소계",A294)),ISNUMBER(SEARCH("합계",A294))),"",TRIM(IF(A294="","항목 없음 ","")&amp;IF(B294="","금액 없음 ",IF(ISNUMBER(B294),"","금액 확인 "))&amp;IF(D294="","낸 사람 없음",""))))</f>
        <v/>
      </c>
      <c r="Y294">
        <f>IF(E294="",0,1)</f>
        <v/>
      </c>
    </row>
    <row r="295">
      <c r="A295" s="41" t="n"/>
      <c r="B295" s="24" t="n"/>
      <c r="C295" s="41" t="n"/>
      <c r="D295" s="41" t="n"/>
      <c r="E295" s="19">
        <f>IF(COUNTA(A295:D295)=0,"",IF(OR(ISNUMBER(SEARCH("소계",A295)),ISNUMBER(SEARCH("합계",A295))),"",TRIM(IF(A295="","항목 없음 ","")&amp;IF(B295="","금액 없음 ",IF(ISNUMBER(B295),"","금액 확인 "))&amp;IF(D295="","낸 사람 없음",""))))</f>
        <v/>
      </c>
      <c r="Y295">
        <f>IF(E295="",0,1)</f>
        <v/>
      </c>
    </row>
    <row r="296">
      <c r="A296" s="41" t="n"/>
      <c r="B296" s="24" t="n"/>
      <c r="C296" s="41" t="n"/>
      <c r="D296" s="41" t="n"/>
      <c r="E296" s="19">
        <f>IF(COUNTA(A296:D296)=0,"",IF(OR(ISNUMBER(SEARCH("소계",A296)),ISNUMBER(SEARCH("합계",A296))),"",TRIM(IF(A296="","항목 없음 ","")&amp;IF(B296="","금액 없음 ",IF(ISNUMBER(B296),"","금액 확인 "))&amp;IF(D296="","낸 사람 없음",""))))</f>
        <v/>
      </c>
      <c r="Y296">
        <f>IF(E296="",0,1)</f>
        <v/>
      </c>
    </row>
    <row r="297">
      <c r="A297" s="41" t="n"/>
      <c r="B297" s="24" t="n"/>
      <c r="C297" s="41" t="n"/>
      <c r="D297" s="41" t="n"/>
      <c r="E297" s="19">
        <f>IF(COUNTA(A297:D297)=0,"",IF(OR(ISNUMBER(SEARCH("소계",A297)),ISNUMBER(SEARCH("합계",A297))),"",TRIM(IF(A297="","항목 없음 ","")&amp;IF(B297="","금액 없음 ",IF(ISNUMBER(B297),"","금액 확인 "))&amp;IF(D297="","낸 사람 없음",""))))</f>
        <v/>
      </c>
      <c r="Y297">
        <f>IF(E297="",0,1)</f>
        <v/>
      </c>
    </row>
    <row r="298">
      <c r="A298" s="41" t="n"/>
      <c r="B298" s="24" t="n"/>
      <c r="C298" s="41" t="n"/>
      <c r="D298" s="41" t="n"/>
      <c r="E298" s="19">
        <f>IF(COUNTA(A298:D298)=0,"",IF(OR(ISNUMBER(SEARCH("소계",A298)),ISNUMBER(SEARCH("합계",A298))),"",TRIM(IF(A298="","항목 없음 ","")&amp;IF(B298="","금액 없음 ",IF(ISNUMBER(B298),"","금액 확인 "))&amp;IF(D298="","낸 사람 없음",""))))</f>
        <v/>
      </c>
      <c r="Y298">
        <f>IF(E298="",0,1)</f>
        <v/>
      </c>
    </row>
    <row r="299">
      <c r="A299" s="41" t="n"/>
      <c r="B299" s="24" t="n"/>
      <c r="C299" s="41" t="n"/>
      <c r="D299" s="41" t="n"/>
      <c r="E299" s="19">
        <f>IF(COUNTA(A299:D299)=0,"",IF(OR(ISNUMBER(SEARCH("소계",A299)),ISNUMBER(SEARCH("합계",A299))),"",TRIM(IF(A299="","항목 없음 ","")&amp;IF(B299="","금액 없음 ",IF(ISNUMBER(B299),"","금액 확인 "))&amp;IF(D299="","낸 사람 없음",""))))</f>
        <v/>
      </c>
      <c r="Y299">
        <f>IF(E299="",0,1)</f>
        <v/>
      </c>
    </row>
    <row r="300">
      <c r="A300" s="41" t="n"/>
      <c r="B300" s="24" t="n"/>
      <c r="C300" s="41" t="n"/>
      <c r="D300" s="41" t="n"/>
      <c r="E300" s="19">
        <f>IF(COUNTA(A300:D300)=0,"",IF(OR(ISNUMBER(SEARCH("소계",A300)),ISNUMBER(SEARCH("합계",A300))),"",TRIM(IF(A300="","항목 없음 ","")&amp;IF(B300="","금액 없음 ",IF(ISNUMBER(B300),"","금액 확인 "))&amp;IF(D300="","낸 사람 없음",""))))</f>
        <v/>
      </c>
      <c r="Y300">
        <f>IF(E300="",0,1)</f>
        <v/>
      </c>
    </row>
    <row r="301">
      <c r="A301" s="41" t="n"/>
      <c r="B301" s="24" t="n"/>
      <c r="C301" s="41" t="n"/>
      <c r="D301" s="41" t="n"/>
      <c r="E301" s="19">
        <f>IF(COUNTA(A301:D301)=0,"",IF(OR(ISNUMBER(SEARCH("소계",A301)),ISNUMBER(SEARCH("합계",A301))),"",TRIM(IF(A301="","항목 없음 ","")&amp;IF(B301="","금액 없음 ",IF(ISNUMBER(B301),"","금액 확인 "))&amp;IF(D301="","낸 사람 없음",""))))</f>
        <v/>
      </c>
      <c r="Y301">
        <f>IF(E301="",0,1)</f>
        <v/>
      </c>
    </row>
  </sheetData>
  <conditionalFormatting sqref="A2:E301">
    <cfRule type="expression" priority="1" dxfId="1">
      <formula>$E2&lt;&gt;""</formula>
    </cfRule>
  </conditionalFormatting>
  <dataValidations count="1">
    <dataValidation sqref="D2:D301" showDropDown="0" showInputMessage="0" showErrorMessage="0" allowBlank="1" type="list">
      <formula1>=$G$12:$G$32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2026-11-01T02:47:16Z</dcterms:created>
  <dcterms:modified xmlns:dcterms="http://purl.org/dc/terms/" xmlns:xsi="http://www.w3.org/2001/XMLSchema-instance" xsi:type="dcterms:W3CDTF">2026-11-01T02:47:16Z</dcterms:modified>
</cp:coreProperties>
</file>